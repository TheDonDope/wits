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-10" sheetId="1" r:id="rId5"/>
    <sheet state="visible" name="2023-11" sheetId="2" r:id="rId6"/>
    <sheet state="visible" name="2023-12" sheetId="3" r:id="rId7"/>
    <sheet state="visible" name="2024-01" sheetId="4" r:id="rId8"/>
    <sheet state="visible" name="2024-02" sheetId="5" r:id="rId9"/>
    <sheet state="visible" name="2024-03" sheetId="6" r:id="rId10"/>
    <sheet state="visible" name="2024-04" sheetId="7" r:id="rId11"/>
    <sheet state="visible" name="2024-05" sheetId="8" r:id="rId12"/>
    <sheet state="visible" name="2024-06" sheetId="9" r:id="rId13"/>
    <sheet state="visible" name="2024-07" sheetId="10" r:id="rId14"/>
    <sheet state="visible" name="2024-08" sheetId="11" r:id="rId15"/>
    <sheet state="visible" name="2024-12-1" sheetId="12" r:id="rId16"/>
    <sheet state="visible" name="2024-12-2" sheetId="13" r:id="rId17"/>
    <sheet state="visible" name="2025-01" sheetId="14" r:id="rId18"/>
    <sheet state="visible" name="2025-02" sheetId="15" r:id="rId19"/>
    <sheet state="visible" name="2025-03" sheetId="16" r:id="rId20"/>
    <sheet state="visible" name="2025-05" sheetId="17" r:id="rId21"/>
    <sheet state="visible" name="2025-06" sheetId="18" r:id="rId22"/>
    <sheet state="visible" name="2025-07" sheetId="19" r:id="rId23"/>
    <sheet state="visible" name="2025-08" sheetId="20" r:id="rId24"/>
    <sheet state="visible" name="2025-09" sheetId="21" r:id="rId25"/>
    <sheet state="visible" name="2025-10" sheetId="22" r:id="rId26"/>
    <sheet state="visible" name="2025-11" sheetId="23" r:id="rId27"/>
    <sheet state="visible" name="2025-12" sheetId="24" r:id="rId28"/>
    <sheet state="visible" name="2026-01" sheetId="25" r:id="rId29"/>
    <sheet state="visible" name="2026-02" sheetId="26" r:id="rId30"/>
    <sheet state="visible" name="2026-03" sheetId="27" r:id="rId31"/>
    <sheet state="visible" name="2026-06" sheetId="28" r:id="rId32"/>
    <sheet state="visible" name="2026-07" sheetId="29" r:id="rId33"/>
    <sheet state="visible" name="2026-08" sheetId="30" r:id="rId34"/>
  </sheets>
  <definedNames/>
  <calcPr/>
</workbook>
</file>

<file path=xl/sharedStrings.xml><?xml version="1.0" encoding="utf-8"?>
<sst xmlns="http://schemas.openxmlformats.org/spreadsheetml/2006/main" count="3894" uniqueCount="145">
  <si>
    <t>Quantity IMC 20/1 Hindu Kush(g)</t>
  </si>
  <si>
    <t># therapy days</t>
  </si>
  <si>
    <t>Quantity 420 Natural 20/1 CA GG (g)</t>
  </si>
  <si>
    <t>Quantity CannabiStada 22/1 Gorilla Glue #4 (g)</t>
  </si>
  <si>
    <t>Quantity Grünhorn 22/1 Gorilla Glue #4 (g)</t>
  </si>
  <si>
    <t>Estimated # therapy days</t>
  </si>
  <si>
    <t>Quantity AVAAY 16/1 Blueberry Haze (g)</t>
  </si>
  <si>
    <t xml:space="preserve">Avg per day </t>
  </si>
  <si>
    <t>Date</t>
  </si>
  <si>
    <t>Strain</t>
  </si>
  <si>
    <t>Amount</t>
  </si>
  <si>
    <t>Remaining HK</t>
  </si>
  <si>
    <t>Remaining GG#4</t>
  </si>
  <si>
    <t>Remaining BBH</t>
  </si>
  <si>
    <t>Reserve HK</t>
  </si>
  <si>
    <t>Reserve GG#4</t>
  </si>
  <si>
    <t>Reserve BBH</t>
  </si>
  <si>
    <t>Hindu Kush</t>
  </si>
  <si>
    <t>Gorilla Glue #4</t>
  </si>
  <si>
    <t>Blueberry Haze</t>
  </si>
  <si>
    <t>IMC 20/1 T01 Hindu Kush(g)</t>
  </si>
  <si>
    <t>Pedanios 22/1 DNK Ghost Train Haze (g)</t>
  </si>
  <si>
    <t>420 Evolution 27/1 CA FLM Frozen Lemon Mints (g)</t>
  </si>
  <si>
    <t>Remaining GTH</t>
  </si>
  <si>
    <t>Remaining FLM</t>
  </si>
  <si>
    <t>Reserve GTH</t>
  </si>
  <si>
    <t>Reserve FLM</t>
  </si>
  <si>
    <t>Ghost Train Haze</t>
  </si>
  <si>
    <t>Frozen Lemon Mints</t>
  </si>
  <si>
    <t>Canify 22/1 PT Ku. Master Kush DAB (g)</t>
  </si>
  <si>
    <t>420 Evolution 30/1 CA BUL Bucket List (g)</t>
  </si>
  <si>
    <t>Remaining MK</t>
  </si>
  <si>
    <t>Remaining BL</t>
  </si>
  <si>
    <t>Reserve MK</t>
  </si>
  <si>
    <t>Reserve BL</t>
  </si>
  <si>
    <t>Master Kush</t>
  </si>
  <si>
    <t>Bucket List</t>
  </si>
  <si>
    <t>420 Evolution 22/1 CA MAC: MAC1 (g)</t>
  </si>
  <si>
    <t>Avaay 27/1 SCG: Super Citra G. (g)</t>
  </si>
  <si>
    <t>Remaining MAC1</t>
  </si>
  <si>
    <t>Remaining SCG</t>
  </si>
  <si>
    <t>Reserve MAC1</t>
  </si>
  <si>
    <t>Reserve SCG</t>
  </si>
  <si>
    <t>MAC1</t>
  </si>
  <si>
    <t>Super Citra G</t>
  </si>
  <si>
    <t>CNBS FK 30/1: Florida Kush. (g)</t>
  </si>
  <si>
    <t>Remaining FK</t>
  </si>
  <si>
    <t>Reserve FK</t>
  </si>
  <si>
    <t>420 Evolution 25/1 CA MAC: MAC1 (g)</t>
  </si>
  <si>
    <t>Cannamedical 28/1 Hybrid Ultra Ghost Train Haze (g)</t>
  </si>
  <si>
    <t>Cannabis 1A 16/1 White Widow (g)</t>
  </si>
  <si>
    <t>Tilray 18/1 Spotlight Porto Blueberry (g)</t>
  </si>
  <si>
    <t>Remaining WW</t>
  </si>
  <si>
    <t>Remaining BB</t>
  </si>
  <si>
    <t>WEECO 23/1 Frosted Lemon Angel (g)</t>
  </si>
  <si>
    <t>Cantourage 25/1 MAC 1+ (g)</t>
  </si>
  <si>
    <t>Remaining FLA</t>
  </si>
  <si>
    <t>Remaining MAC1+</t>
  </si>
  <si>
    <t>Reserve WW</t>
  </si>
  <si>
    <t>Reserve FLA</t>
  </si>
  <si>
    <t>Reserve MAC1+</t>
  </si>
  <si>
    <t>WW</t>
  </si>
  <si>
    <t>FLA</t>
  </si>
  <si>
    <t>MAC1+</t>
  </si>
  <si>
    <t>All Nations 25/1 Lemon Tartz (g)</t>
  </si>
  <si>
    <t>Barongo 27/1 MAC3 (g)</t>
  </si>
  <si>
    <t>Remaining LTZ</t>
  </si>
  <si>
    <t>Remaining MAC3</t>
  </si>
  <si>
    <t>Remaining MA3</t>
  </si>
  <si>
    <t>Reserve LTZ</t>
  </si>
  <si>
    <t>Reserve MAC3</t>
  </si>
  <si>
    <t>Cannamedical Hybrid Ultra DK 28/1 Ghost Train Haze (g)</t>
  </si>
  <si>
    <t>Pretty Smalls LT 21/1 Lemon Tartz (g)</t>
  </si>
  <si>
    <t>420 Evolution 22/1 MAC 1 (g)</t>
  </si>
  <si>
    <t>Remaining MA1</t>
  </si>
  <si>
    <t>enua 22/1 Super Alient Mints CA (g)</t>
  </si>
  <si>
    <t>All Nations Mac Doughnut GM 25/1 (g)</t>
  </si>
  <si>
    <t>Remaining SAM</t>
  </si>
  <si>
    <t>Remaining MAC</t>
  </si>
  <si>
    <t>Reserve SAM</t>
  </si>
  <si>
    <t>Reserve MAC</t>
  </si>
  <si>
    <t>Cannamedical 28/1 Diamond Mints (g)</t>
  </si>
  <si>
    <t>Cansativa 22/1 Hawaiian Rain (g)</t>
  </si>
  <si>
    <t>Remaining DM</t>
  </si>
  <si>
    <t>Remaining HR</t>
  </si>
  <si>
    <t>Reserve DM</t>
  </si>
  <si>
    <t>Reserve HR</t>
  </si>
  <si>
    <t>Enua 30/1 Lemonade Haze (g)</t>
  </si>
  <si>
    <t>All Nations 21/1 Mac Daddy (g)</t>
  </si>
  <si>
    <t>Remaining LHZ</t>
  </si>
  <si>
    <t>Remaining MD</t>
  </si>
  <si>
    <t>Reserve LHZ</t>
  </si>
  <si>
    <t>Reserve MD</t>
  </si>
  <si>
    <t>Tweed 27/1 Jack Herer (g)</t>
  </si>
  <si>
    <t>All Nations 21/1 Lemon Tartz (g)</t>
  </si>
  <si>
    <t>Cannamedical Sativa Forte 24/1 Amsterdam Amnesia (g)</t>
  </si>
  <si>
    <t>Remaining JH</t>
  </si>
  <si>
    <t>Remaining LT</t>
  </si>
  <si>
    <t>Remaining AA</t>
  </si>
  <si>
    <t>Reserve JH</t>
  </si>
  <si>
    <t>Reserve LT</t>
  </si>
  <si>
    <t>Reserve AA</t>
  </si>
  <si>
    <t>Canopy Bakerstreeet 22/1 Hindu Kush (g)</t>
  </si>
  <si>
    <t>Cannamedical Hybrid Classic 18/1 MAC 3 (g)</t>
  </si>
  <si>
    <t>Cantourage 25/1 MAC1+ (g)</t>
  </si>
  <si>
    <t>Mediprocan Lunaris 23/1 Paradiso (g)</t>
  </si>
  <si>
    <t>Cannamedical Indica Forte SM 24/1 Pineapple Express (g)</t>
  </si>
  <si>
    <t>Remaining PD</t>
  </si>
  <si>
    <t>Reserve PD</t>
  </si>
  <si>
    <t>Remaining PE</t>
  </si>
  <si>
    <t>Reserve PE</t>
  </si>
  <si>
    <t>enua 22/1 Black Cherry Punch (g)</t>
  </si>
  <si>
    <t>TRUU GT 25/1 Crumbled Lime (g)</t>
  </si>
  <si>
    <t>BCP</t>
  </si>
  <si>
    <t>Remaining CL</t>
  </si>
  <si>
    <t>Reserve BCP</t>
  </si>
  <si>
    <t>Reserve CL</t>
  </si>
  <si>
    <t>Cannamedical 24/1 Strawberry OG (g)</t>
  </si>
  <si>
    <t>Cansativa Vanilla Cake 26/1 (g)</t>
  </si>
  <si>
    <t>Cansativa 33/1 Sonic Lemon Fuel (g)</t>
  </si>
  <si>
    <t>Khiron 20/1 Wedding Cake (g)</t>
  </si>
  <si>
    <t>Enua 22/1 Wedding Cake (g)</t>
  </si>
  <si>
    <t>Remaining SOG</t>
  </si>
  <si>
    <t>Remaining VC</t>
  </si>
  <si>
    <t>Remaining SLF</t>
  </si>
  <si>
    <t>Reserve SOG</t>
  </si>
  <si>
    <t>Reserve VC</t>
  </si>
  <si>
    <t>Reserve SLF</t>
  </si>
  <si>
    <t>Cannamedical 28/1 Lemon Cookie (g)</t>
  </si>
  <si>
    <t>Canopy 21/1 Jack Haze (g)</t>
  </si>
  <si>
    <t>NICE 28/1 Munson (g)</t>
  </si>
  <si>
    <t>Remaining WC</t>
  </si>
  <si>
    <t>Remaining LC</t>
  </si>
  <si>
    <t>Reserve WC</t>
  </si>
  <si>
    <t>Reserve LC</t>
  </si>
  <si>
    <t>Remaining MUN</t>
  </si>
  <si>
    <t>Reserve MUN</t>
  </si>
  <si>
    <t xml:space="preserve"> </t>
  </si>
  <si>
    <t>https://www.zeit.de/familie/2026-06/erstausstattung-baby-alltag-tipps-kosten</t>
  </si>
  <si>
    <t>420 Evolution 27/1 Ice Cream Cake (g)</t>
  </si>
  <si>
    <t>Enua 36/1 Citrus Slap (g)</t>
  </si>
  <si>
    <t>Median per day</t>
  </si>
  <si>
    <t>NICE 32/1 Morning Sun (g)</t>
  </si>
  <si>
    <t>All Nations 29/1 Mac Doughnut (g)</t>
  </si>
  <si>
    <t>Sumo 25/1 Papaya Bomb (g)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</si>
</sst>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1">
    <font>
      <sz val="10.0"/>
      <color rgb="FF000000"/>
      <name val="Arial"/>
      <scheme val="minor"/>
    </font>
    <font>
      <b/>
      <sz val="11.0"/>
      <color theme="1"/>
      <name val="Roboto Mono"/>
    </font>
    <font>
      <sz val="11.0"/>
      <color theme="1"/>
      <name val="Roboto Mono"/>
    </font>
    <font>
      <i/>
      <sz val="11.0"/>
      <color theme="1"/>
      <name val="Roboto Mono"/>
    </font>
    <font>
      <sz val="11.0"/>
      <color theme="1"/>
      <name val="Arial"/>
      <scheme val="minor"/>
    </font>
    <font>
      <sz val="11.0"/>
      <color rgb="FF000000"/>
      <name val="&quot;Google Sans Mono&quot;"/>
    </font>
    <font>
      <sz val="11.0"/>
      <color rgb="FF000000"/>
      <name val="Roboto Mono"/>
    </font>
    <font>
      <color theme="1"/>
      <name val="Arial"/>
      <scheme val="minor"/>
    </font>
    <font>
      <sz val="11.0"/>
      <color theme="1"/>
      <name val="Google Sans Mono"/>
    </font>
    <font>
      <color theme="1"/>
      <name val="Arial"/>
    </font>
    <font>
      <u/>
      <sz val="11.0"/>
      <color rgb="FF0000FF"/>
      <name val="Roboto Mon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2" numFmtId="0" xfId="0" applyFont="1"/>
    <xf borderId="0" fillId="0" fontId="2" numFmtId="2" xfId="0" applyFont="1" applyNumberFormat="1"/>
    <xf borderId="0" fillId="0" fontId="3" numFmtId="10" xfId="0" applyFont="1" applyNumberFormat="1"/>
    <xf borderId="0" fillId="0" fontId="2" numFmtId="0" xfId="0" applyAlignment="1" applyFont="1">
      <alignment readingOrder="0"/>
    </xf>
    <xf borderId="0" fillId="0" fontId="4" numFmtId="0" xfId="0" applyFont="1"/>
    <xf borderId="0" fillId="0" fontId="3" numFmtId="10" xfId="0" applyAlignment="1" applyFont="1" applyNumberFormat="1">
      <alignment readingOrder="0"/>
    </xf>
    <xf borderId="0" fillId="0" fontId="1" numFmtId="2" xfId="0" applyFont="1" applyNumberFormat="1"/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0" fillId="0" fontId="2" numFmtId="10" xfId="0" applyAlignment="1" applyFont="1" applyNumberFormat="1">
      <alignment readingOrder="0"/>
    </xf>
    <xf borderId="0" fillId="2" fontId="5" numFmtId="2" xfId="0" applyFill="1" applyFont="1" applyNumberFormat="1"/>
    <xf borderId="0" fillId="2" fontId="6" numFmtId="2" xfId="0" applyFill="1" applyFont="1" applyNumberFormat="1"/>
    <xf borderId="0" fillId="2" fontId="6" numFmtId="10" xfId="0" applyFill="1" applyFont="1" applyNumberFormat="1"/>
    <xf borderId="0" fillId="2" fontId="6" numFmtId="0" xfId="0" applyFill="1" applyFont="1"/>
    <xf borderId="0" fillId="0" fontId="7" numFmtId="0" xfId="0" applyFont="1"/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2" xfId="0" applyAlignment="1" applyFont="1" applyNumberFormat="1">
      <alignment horizontal="right" vertical="bottom"/>
    </xf>
    <xf borderId="0" fillId="2" fontId="2" numFmtId="2" xfId="0" applyAlignment="1" applyFill="1" applyFont="1" applyNumberFormat="1">
      <alignment horizontal="right" vertical="bottom"/>
    </xf>
    <xf borderId="0" fillId="2" fontId="2" numFmtId="10" xfId="0" applyAlignment="1" applyFill="1" applyFont="1" applyNumberFormat="1">
      <alignment horizontal="right" vertical="bottom"/>
    </xf>
    <xf borderId="0" fillId="2" fontId="8" numFmtId="2" xfId="0" applyAlignment="1" applyFill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0" fontId="9" numFmtId="0" xfId="0" applyAlignment="1" applyFont="1">
      <alignment vertical="bottom"/>
    </xf>
    <xf borderId="0" fillId="0" fontId="7" numFmtId="164" xfId="0" applyAlignment="1" applyFont="1" applyNumberFormat="1">
      <alignment readingOrder="0"/>
    </xf>
    <xf borderId="0" fillId="0" fontId="2" numFmtId="2" xfId="0" applyAlignment="1" applyFont="1" applyNumberFormat="1">
      <alignment horizontal="right" readingOrder="0" vertical="bottom"/>
    </xf>
    <xf borderId="0" fillId="2" fontId="2" numFmtId="0" xfId="0" applyAlignment="1" applyFill="1" applyFont="1">
      <alignment horizontal="right" readingOrder="0" vertical="bottom"/>
    </xf>
    <xf borderId="0" fillId="0" fontId="10" numFmtId="0" xfId="0" applyAlignment="1" applyFont="1">
      <alignment horizontal="right" readingOrder="0" vertical="bottom"/>
    </xf>
    <xf borderId="0" fillId="0" fontId="2" numFmtId="16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zeit.de/familie/2026-06/erstausstattung-baby-alltag-tipps-kosten" TargetMode="External"/><Relationship Id="rId2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1.5"/>
    <col customWidth="1" min="2" max="2" width="20.0"/>
    <col customWidth="1" min="3" max="3" width="10.25"/>
    <col customWidth="1" min="4" max="4" width="17.0"/>
    <col customWidth="1" min="5" max="5" width="15.0"/>
    <col customWidth="1" min="6" max="6" width="17.0"/>
    <col customWidth="1" min="7" max="7" width="16.13"/>
    <col customWidth="1" min="8" max="9" width="16.38"/>
    <col customWidth="1" min="10" max="10" width="12.63"/>
    <col customWidth="1" min="11" max="11" width="14.88"/>
    <col customWidth="1" min="12" max="12" width="13.0"/>
  </cols>
  <sheetData>
    <row r="1">
      <c r="A1" s="1" t="s">
        <v>0</v>
      </c>
      <c r="B1" s="2">
        <v>12.0</v>
      </c>
      <c r="C1" s="4">
        <f>D86</f>
        <v>0</v>
      </c>
      <c r="D1" s="5">
        <f t="shared" ref="D1:D4" si="1">C1/B1</f>
        <v>0</v>
      </c>
      <c r="G1" s="1" t="s">
        <v>1</v>
      </c>
      <c r="H1" s="3">
        <f>IFERROR(__xludf.DUMMYFUNCTION("COUNTUNIQUE(A9:A80)"),24.0)</f>
        <v>24</v>
      </c>
      <c r="I1" s="3"/>
      <c r="J1" s="6"/>
      <c r="K1" s="3"/>
      <c r="L1" s="3"/>
      <c r="M1" s="7"/>
      <c r="N1" s="7"/>
    </row>
    <row r="2">
      <c r="A2" s="1" t="s">
        <v>3</v>
      </c>
      <c r="B2" s="2">
        <v>15.0</v>
      </c>
      <c r="C2" s="4">
        <f>F86</f>
        <v>0</v>
      </c>
      <c r="D2" s="5">
        <f t="shared" si="1"/>
        <v>0</v>
      </c>
      <c r="G2" s="1" t="s">
        <v>5</v>
      </c>
      <c r="H2" s="3">
        <f>(B1+B2+B3)/F4</f>
        <v>24</v>
      </c>
      <c r="I2" s="3"/>
      <c r="J2" s="3"/>
      <c r="K2" s="3"/>
      <c r="L2" s="3"/>
      <c r="M2" s="7"/>
      <c r="N2" s="7"/>
    </row>
    <row r="3">
      <c r="A3" s="1" t="s">
        <v>6</v>
      </c>
      <c r="B3" s="2">
        <v>10.0</v>
      </c>
      <c r="C3" s="4">
        <f>H86</f>
        <v>0</v>
      </c>
      <c r="D3" s="8">
        <f t="shared" si="1"/>
        <v>0</v>
      </c>
      <c r="E3" s="3"/>
      <c r="F3" s="6"/>
      <c r="G3" s="3"/>
      <c r="H3" s="3"/>
      <c r="I3" s="3"/>
      <c r="J3" s="3"/>
      <c r="K3" s="3"/>
      <c r="L3" s="3"/>
      <c r="M3" s="7"/>
      <c r="N3" s="7"/>
    </row>
    <row r="4">
      <c r="A4" s="3"/>
      <c r="B4" s="9">
        <f t="shared" ref="B4:C4" si="2">SUM(B1:B3)</f>
        <v>37</v>
      </c>
      <c r="C4" s="9">
        <f t="shared" si="2"/>
        <v>0</v>
      </c>
      <c r="D4" s="5">
        <f t="shared" si="1"/>
        <v>0</v>
      </c>
      <c r="E4" s="1" t="s">
        <v>7</v>
      </c>
      <c r="F4" s="3">
        <f>SUM(C9:C86)/H1</f>
        <v>1.541666667</v>
      </c>
      <c r="G4" s="3"/>
      <c r="H4" s="3"/>
      <c r="I4" s="3"/>
      <c r="J4" s="3"/>
      <c r="K4" s="3"/>
      <c r="L4" s="3"/>
      <c r="M4" s="7"/>
      <c r="N4" s="7"/>
    </row>
    <row r="5">
      <c r="A5" s="10" t="s">
        <v>8</v>
      </c>
      <c r="B5" s="10" t="s">
        <v>9</v>
      </c>
      <c r="C5" s="10" t="s">
        <v>10</v>
      </c>
      <c r="D5" s="10" t="s">
        <v>11</v>
      </c>
      <c r="E5" s="10" t="s">
        <v>11</v>
      </c>
      <c r="F5" s="10" t="s">
        <v>12</v>
      </c>
      <c r="G5" s="10" t="s">
        <v>12</v>
      </c>
      <c r="H5" s="10" t="s">
        <v>13</v>
      </c>
      <c r="I5" s="10" t="s">
        <v>13</v>
      </c>
      <c r="J5" s="10" t="s">
        <v>14</v>
      </c>
      <c r="K5" s="10" t="s">
        <v>15</v>
      </c>
      <c r="L5" s="10" t="s">
        <v>16</v>
      </c>
      <c r="M5" s="7"/>
      <c r="N5" s="7"/>
    </row>
    <row r="6">
      <c r="A6" s="12">
        <v>45208.0</v>
      </c>
      <c r="B6" s="6" t="s">
        <v>17</v>
      </c>
      <c r="C6" s="2">
        <v>0.0</v>
      </c>
      <c r="D6" s="4">
        <f>IF(B6="Hindu Kush",B1-C6,B1)</f>
        <v>12</v>
      </c>
      <c r="E6" s="13">
        <f>D6/B1</f>
        <v>1</v>
      </c>
      <c r="F6" s="2">
        <f>IF(B6="Gorilla Glue #4",B2-C6,B2)</f>
        <v>15</v>
      </c>
      <c r="G6" s="14">
        <f>F6/B2</f>
        <v>1</v>
      </c>
      <c r="H6" s="15">
        <f>IF(B6="Blueberry Haze",B3-C6,B3)</f>
        <v>10</v>
      </c>
      <c r="I6" s="14">
        <f>H6/B3</f>
        <v>1</v>
      </c>
      <c r="J6" s="2">
        <v>0.0</v>
      </c>
      <c r="K6" s="2">
        <v>0.0</v>
      </c>
      <c r="L6" s="2">
        <v>0.0</v>
      </c>
      <c r="M6" s="7"/>
      <c r="N6" s="7"/>
    </row>
    <row r="7">
      <c r="A7" s="12">
        <v>45208.0</v>
      </c>
      <c r="B7" s="6" t="s">
        <v>18</v>
      </c>
      <c r="C7" s="2">
        <v>0.0</v>
      </c>
      <c r="D7" s="16">
        <f t="shared" ref="D7:D86" si="3">IF(B7="Hindu Kush",D6-C7,D6)</f>
        <v>12</v>
      </c>
      <c r="E7" s="17">
        <f>D7/B1</f>
        <v>1</v>
      </c>
      <c r="F7" s="16">
        <f t="shared" ref="F7:F86" si="4">IF(B7="Gorilla Glue #4",F6-C7,F6)</f>
        <v>15</v>
      </c>
      <c r="G7" s="17">
        <f>F7/B2</f>
        <v>1</v>
      </c>
      <c r="H7" s="15">
        <f t="shared" ref="H7:H86" si="5">IF(B7="Blueberry Haze",H6-C7,H6)</f>
        <v>10</v>
      </c>
      <c r="I7" s="14">
        <f>H7/B3</f>
        <v>1</v>
      </c>
      <c r="J7" s="2">
        <v>0.0</v>
      </c>
      <c r="K7" s="2">
        <v>0.0</v>
      </c>
      <c r="L7" s="2">
        <v>0.0</v>
      </c>
      <c r="M7" s="7"/>
      <c r="N7" s="7"/>
    </row>
    <row r="8">
      <c r="A8" s="12">
        <v>45208.0</v>
      </c>
      <c r="B8" s="6" t="s">
        <v>19</v>
      </c>
      <c r="C8" s="2">
        <v>0.0</v>
      </c>
      <c r="D8" s="16">
        <f t="shared" si="3"/>
        <v>12</v>
      </c>
      <c r="E8" s="17">
        <f>D8/B1</f>
        <v>1</v>
      </c>
      <c r="F8" s="16">
        <f t="shared" si="4"/>
        <v>15</v>
      </c>
      <c r="G8" s="17">
        <f>F8/B2</f>
        <v>1</v>
      </c>
      <c r="H8" s="15">
        <f t="shared" si="5"/>
        <v>10</v>
      </c>
      <c r="I8" s="14">
        <f>H8/B3</f>
        <v>1</v>
      </c>
      <c r="J8" s="2">
        <v>0.0</v>
      </c>
      <c r="K8" s="2">
        <v>0.0</v>
      </c>
      <c r="L8" s="2">
        <v>0.0</v>
      </c>
      <c r="M8" s="7"/>
      <c r="N8" s="7"/>
    </row>
    <row r="9">
      <c r="A9" s="12">
        <v>45209.0</v>
      </c>
      <c r="B9" s="6" t="s">
        <v>17</v>
      </c>
      <c r="C9" s="2">
        <v>1.33</v>
      </c>
      <c r="D9" s="16">
        <f t="shared" si="3"/>
        <v>10.67</v>
      </c>
      <c r="E9" s="17">
        <f>D9/B1</f>
        <v>0.8891666667</v>
      </c>
      <c r="F9" s="16">
        <f t="shared" si="4"/>
        <v>15</v>
      </c>
      <c r="G9" s="17">
        <f>F9/B2</f>
        <v>1</v>
      </c>
      <c r="H9" s="15">
        <f t="shared" si="5"/>
        <v>10</v>
      </c>
      <c r="I9" s="14">
        <f>H9/B3</f>
        <v>1</v>
      </c>
      <c r="J9" s="2">
        <v>0.6</v>
      </c>
      <c r="K9" s="2">
        <v>0.6</v>
      </c>
      <c r="L9" s="2">
        <v>0.6</v>
      </c>
      <c r="M9" s="7"/>
      <c r="N9" s="7"/>
    </row>
    <row r="10">
      <c r="A10" s="12">
        <v>45209.0</v>
      </c>
      <c r="B10" s="6" t="s">
        <v>18</v>
      </c>
      <c r="C10" s="2">
        <v>1.35</v>
      </c>
      <c r="D10" s="16">
        <f t="shared" si="3"/>
        <v>10.67</v>
      </c>
      <c r="E10" s="17">
        <f>D10/B1</f>
        <v>0.8891666667</v>
      </c>
      <c r="F10" s="16">
        <f t="shared" si="4"/>
        <v>13.65</v>
      </c>
      <c r="G10" s="17">
        <f>F10/B2</f>
        <v>0.91</v>
      </c>
      <c r="H10" s="15">
        <f t="shared" si="5"/>
        <v>10</v>
      </c>
      <c r="I10" s="14">
        <f>H10/B3</f>
        <v>1</v>
      </c>
      <c r="J10" s="2">
        <v>0.6</v>
      </c>
      <c r="K10" s="2">
        <v>0.6</v>
      </c>
      <c r="L10" s="2">
        <v>0.6</v>
      </c>
      <c r="M10" s="7"/>
      <c r="N10" s="7"/>
    </row>
    <row r="11">
      <c r="A11" s="12">
        <v>45209.0</v>
      </c>
      <c r="B11" s="6" t="s">
        <v>19</v>
      </c>
      <c r="C11" s="2">
        <v>1.36</v>
      </c>
      <c r="D11" s="16">
        <f t="shared" si="3"/>
        <v>10.67</v>
      </c>
      <c r="E11" s="17">
        <f>D11/B1</f>
        <v>0.8891666667</v>
      </c>
      <c r="F11" s="16">
        <f t="shared" si="4"/>
        <v>13.65</v>
      </c>
      <c r="G11" s="17">
        <f>F11/B2</f>
        <v>0.91</v>
      </c>
      <c r="H11" s="15">
        <f t="shared" si="5"/>
        <v>8.64</v>
      </c>
      <c r="I11" s="14">
        <f>H11/B3</f>
        <v>0.864</v>
      </c>
      <c r="J11" s="2">
        <v>0.6</v>
      </c>
      <c r="K11" s="2">
        <v>0.6</v>
      </c>
      <c r="L11" s="2">
        <v>0.6</v>
      </c>
      <c r="M11" s="7"/>
      <c r="N11" s="7"/>
    </row>
    <row r="12">
      <c r="A12" s="12">
        <v>45210.0</v>
      </c>
      <c r="B12" s="6" t="s">
        <v>17</v>
      </c>
      <c r="C12" s="2">
        <v>0.59</v>
      </c>
      <c r="D12" s="16">
        <f t="shared" si="3"/>
        <v>10.08</v>
      </c>
      <c r="E12" s="17">
        <f>D12/B1</f>
        <v>0.84</v>
      </c>
      <c r="F12" s="16">
        <f t="shared" si="4"/>
        <v>13.65</v>
      </c>
      <c r="G12" s="17">
        <f>F12/B2</f>
        <v>0.91</v>
      </c>
      <c r="H12" s="15">
        <f t="shared" si="5"/>
        <v>8.64</v>
      </c>
      <c r="I12" s="14">
        <f>H12/B3</f>
        <v>0.864</v>
      </c>
      <c r="J12" s="2">
        <v>0.6</v>
      </c>
      <c r="K12" s="2">
        <v>0.6</v>
      </c>
      <c r="L12" s="2">
        <v>0.6</v>
      </c>
      <c r="M12" s="7"/>
      <c r="N12" s="7"/>
    </row>
    <row r="13">
      <c r="A13" s="12">
        <v>45210.0</v>
      </c>
      <c r="B13" s="6" t="s">
        <v>18</v>
      </c>
      <c r="C13" s="2">
        <v>0.72</v>
      </c>
      <c r="D13" s="16">
        <f t="shared" si="3"/>
        <v>10.08</v>
      </c>
      <c r="E13" s="17">
        <f>D13/B1</f>
        <v>0.84</v>
      </c>
      <c r="F13" s="16">
        <f t="shared" si="4"/>
        <v>12.93</v>
      </c>
      <c r="G13" s="17">
        <f>F13/B2</f>
        <v>0.862</v>
      </c>
      <c r="H13" s="15">
        <f t="shared" si="5"/>
        <v>8.64</v>
      </c>
      <c r="I13" s="14">
        <f>H13/B3</f>
        <v>0.864</v>
      </c>
      <c r="J13" s="2">
        <v>0.6</v>
      </c>
      <c r="K13" s="2">
        <v>0.6</v>
      </c>
      <c r="L13" s="2">
        <v>0.6</v>
      </c>
      <c r="M13" s="7"/>
      <c r="N13" s="7"/>
    </row>
    <row r="14">
      <c r="A14" s="12">
        <v>45210.0</v>
      </c>
      <c r="B14" s="6" t="s">
        <v>19</v>
      </c>
      <c r="C14" s="2">
        <v>0.34</v>
      </c>
      <c r="D14" s="16">
        <f t="shared" si="3"/>
        <v>10.08</v>
      </c>
      <c r="E14" s="17">
        <f>D14/B1</f>
        <v>0.84</v>
      </c>
      <c r="F14" s="16">
        <f t="shared" si="4"/>
        <v>12.93</v>
      </c>
      <c r="G14" s="17">
        <f>F14/B2</f>
        <v>0.862</v>
      </c>
      <c r="H14" s="15">
        <f t="shared" si="5"/>
        <v>8.3</v>
      </c>
      <c r="I14" s="14">
        <f>H14/B3</f>
        <v>0.83</v>
      </c>
      <c r="J14" s="2">
        <v>0.6</v>
      </c>
      <c r="K14" s="2">
        <v>0.6</v>
      </c>
      <c r="L14" s="2">
        <v>0.6</v>
      </c>
      <c r="M14" s="7"/>
      <c r="N14" s="7"/>
    </row>
    <row r="15">
      <c r="A15" s="12">
        <v>45211.0</v>
      </c>
      <c r="B15" s="6" t="s">
        <v>17</v>
      </c>
      <c r="C15" s="2">
        <v>0.24</v>
      </c>
      <c r="D15" s="16">
        <f t="shared" si="3"/>
        <v>9.84</v>
      </c>
      <c r="E15" s="17">
        <f>D15/B1</f>
        <v>0.82</v>
      </c>
      <c r="F15" s="16">
        <f t="shared" si="4"/>
        <v>12.93</v>
      </c>
      <c r="G15" s="17">
        <f>F15/B2</f>
        <v>0.862</v>
      </c>
      <c r="H15" s="15">
        <f t="shared" si="5"/>
        <v>8.3</v>
      </c>
      <c r="I15" s="14">
        <f>H15/B3</f>
        <v>0.83</v>
      </c>
      <c r="J15" s="2">
        <v>0.6</v>
      </c>
      <c r="K15" s="2">
        <v>0.6</v>
      </c>
      <c r="L15" s="2">
        <v>0.6</v>
      </c>
      <c r="M15" s="7"/>
      <c r="N15" s="7"/>
    </row>
    <row r="16">
      <c r="A16" s="12">
        <v>45211.0</v>
      </c>
      <c r="B16" s="6" t="s">
        <v>18</v>
      </c>
      <c r="C16" s="2">
        <v>0.19</v>
      </c>
      <c r="D16" s="16">
        <f t="shared" si="3"/>
        <v>9.84</v>
      </c>
      <c r="E16" s="17">
        <f>D16/B1</f>
        <v>0.82</v>
      </c>
      <c r="F16" s="16">
        <f t="shared" si="4"/>
        <v>12.74</v>
      </c>
      <c r="G16" s="17">
        <f>F16/B2</f>
        <v>0.8493333333</v>
      </c>
      <c r="H16" s="15">
        <f t="shared" si="5"/>
        <v>8.3</v>
      </c>
      <c r="I16" s="14">
        <f>H16/B3</f>
        <v>0.83</v>
      </c>
      <c r="J16" s="2">
        <v>0.6</v>
      </c>
      <c r="K16" s="2">
        <v>0.6</v>
      </c>
      <c r="L16" s="2">
        <v>0.6</v>
      </c>
      <c r="M16" s="7"/>
      <c r="N16" s="7"/>
    </row>
    <row r="17">
      <c r="A17" s="12">
        <v>45211.0</v>
      </c>
      <c r="B17" s="6" t="s">
        <v>19</v>
      </c>
      <c r="C17" s="2">
        <v>0.36</v>
      </c>
      <c r="D17" s="16">
        <f t="shared" si="3"/>
        <v>9.84</v>
      </c>
      <c r="E17" s="17">
        <f>D17/B1</f>
        <v>0.82</v>
      </c>
      <c r="F17" s="16">
        <f t="shared" si="4"/>
        <v>12.74</v>
      </c>
      <c r="G17" s="17">
        <f>F17/B2</f>
        <v>0.8493333333</v>
      </c>
      <c r="H17" s="15">
        <f t="shared" si="5"/>
        <v>7.94</v>
      </c>
      <c r="I17" s="14">
        <f>H17/B3</f>
        <v>0.794</v>
      </c>
      <c r="J17" s="2">
        <v>0.6</v>
      </c>
      <c r="K17" s="2">
        <v>0.6</v>
      </c>
      <c r="L17" s="2">
        <v>0.6</v>
      </c>
      <c r="M17" s="7"/>
      <c r="N17" s="7"/>
    </row>
    <row r="18">
      <c r="A18" s="12">
        <v>45212.0</v>
      </c>
      <c r="B18" s="6" t="s">
        <v>17</v>
      </c>
      <c r="C18" s="2">
        <v>0.24</v>
      </c>
      <c r="D18" s="16">
        <f t="shared" si="3"/>
        <v>9.6</v>
      </c>
      <c r="E18" s="17">
        <f>D18/B1</f>
        <v>0.8</v>
      </c>
      <c r="F18" s="16">
        <f t="shared" si="4"/>
        <v>12.74</v>
      </c>
      <c r="G18" s="17">
        <f>F18/B2</f>
        <v>0.8493333333</v>
      </c>
      <c r="H18" s="15">
        <f t="shared" si="5"/>
        <v>7.94</v>
      </c>
      <c r="I18" s="14">
        <f>H18/B3</f>
        <v>0.794</v>
      </c>
      <c r="J18" s="2">
        <v>0.6</v>
      </c>
      <c r="K18" s="2">
        <v>0.6</v>
      </c>
      <c r="L18" s="2">
        <v>0.6</v>
      </c>
      <c r="M18" s="7"/>
      <c r="N18" s="7"/>
    </row>
    <row r="19">
      <c r="A19" s="12">
        <v>45212.0</v>
      </c>
      <c r="B19" s="6" t="s">
        <v>18</v>
      </c>
      <c r="C19" s="2">
        <v>0.43</v>
      </c>
      <c r="D19" s="16">
        <f t="shared" si="3"/>
        <v>9.6</v>
      </c>
      <c r="E19" s="17">
        <f>D19/B1</f>
        <v>0.8</v>
      </c>
      <c r="F19" s="16">
        <f t="shared" si="4"/>
        <v>12.31</v>
      </c>
      <c r="G19" s="17">
        <f>F19/B2</f>
        <v>0.8206666667</v>
      </c>
      <c r="H19" s="15">
        <f t="shared" si="5"/>
        <v>7.94</v>
      </c>
      <c r="I19" s="14">
        <f>H19/B3</f>
        <v>0.794</v>
      </c>
      <c r="J19" s="2">
        <v>0.6</v>
      </c>
      <c r="K19" s="2">
        <v>0.6</v>
      </c>
      <c r="L19" s="2">
        <v>0.6</v>
      </c>
      <c r="M19" s="7"/>
      <c r="N19" s="7"/>
    </row>
    <row r="20">
      <c r="A20" s="12">
        <v>45212.0</v>
      </c>
      <c r="B20" s="6" t="s">
        <v>19</v>
      </c>
      <c r="C20" s="2">
        <v>0.42</v>
      </c>
      <c r="D20" s="16">
        <f t="shared" si="3"/>
        <v>9.6</v>
      </c>
      <c r="E20" s="17">
        <f>D20/B1</f>
        <v>0.8</v>
      </c>
      <c r="F20" s="16">
        <f t="shared" si="4"/>
        <v>12.31</v>
      </c>
      <c r="G20" s="17">
        <f>F20/B2</f>
        <v>0.8206666667</v>
      </c>
      <c r="H20" s="15">
        <f t="shared" si="5"/>
        <v>7.52</v>
      </c>
      <c r="I20" s="14">
        <f>H20/B3</f>
        <v>0.752</v>
      </c>
      <c r="J20" s="2">
        <v>0.6</v>
      </c>
      <c r="K20" s="2">
        <v>0.6</v>
      </c>
      <c r="L20" s="2">
        <v>0.6</v>
      </c>
      <c r="M20" s="7"/>
      <c r="N20" s="7"/>
    </row>
    <row r="21">
      <c r="A21" s="12">
        <v>45213.0</v>
      </c>
      <c r="B21" s="6" t="s">
        <v>17</v>
      </c>
      <c r="C21" s="2">
        <v>0.7</v>
      </c>
      <c r="D21" s="16">
        <f t="shared" si="3"/>
        <v>8.9</v>
      </c>
      <c r="E21" s="17">
        <f>D21/B1</f>
        <v>0.7416666667</v>
      </c>
      <c r="F21" s="16">
        <f t="shared" si="4"/>
        <v>12.31</v>
      </c>
      <c r="G21" s="17">
        <f>F21/B2</f>
        <v>0.8206666667</v>
      </c>
      <c r="H21" s="15">
        <f t="shared" si="5"/>
        <v>7.52</v>
      </c>
      <c r="I21" s="14">
        <f>H21/B3</f>
        <v>0.752</v>
      </c>
      <c r="J21" s="2">
        <v>0.6</v>
      </c>
      <c r="K21" s="2">
        <v>0.6</v>
      </c>
      <c r="L21" s="2">
        <v>0.6</v>
      </c>
      <c r="M21" s="7"/>
      <c r="N21" s="7"/>
    </row>
    <row r="22">
      <c r="A22" s="12">
        <v>45213.0</v>
      </c>
      <c r="B22" s="6" t="s">
        <v>18</v>
      </c>
      <c r="C22" s="2">
        <v>0.53</v>
      </c>
      <c r="D22" s="16">
        <f t="shared" si="3"/>
        <v>8.9</v>
      </c>
      <c r="E22" s="17">
        <f>D22/B1</f>
        <v>0.7416666667</v>
      </c>
      <c r="F22" s="16">
        <f t="shared" si="4"/>
        <v>11.78</v>
      </c>
      <c r="G22" s="17">
        <f>F22/B2</f>
        <v>0.7853333333</v>
      </c>
      <c r="H22" s="15">
        <f t="shared" si="5"/>
        <v>7.52</v>
      </c>
      <c r="I22" s="14">
        <f>H22/B3</f>
        <v>0.752</v>
      </c>
      <c r="J22" s="2">
        <v>0.6</v>
      </c>
      <c r="K22" s="2">
        <v>0.6</v>
      </c>
      <c r="L22" s="2">
        <v>0.6</v>
      </c>
      <c r="M22" s="7"/>
      <c r="N22" s="7"/>
    </row>
    <row r="23">
      <c r="A23" s="12">
        <v>45213.0</v>
      </c>
      <c r="B23" s="6" t="s">
        <v>19</v>
      </c>
      <c r="C23" s="2">
        <v>1.13</v>
      </c>
      <c r="D23" s="16">
        <f t="shared" si="3"/>
        <v>8.9</v>
      </c>
      <c r="E23" s="17">
        <f>D23/B1</f>
        <v>0.7416666667</v>
      </c>
      <c r="F23" s="16">
        <f t="shared" si="4"/>
        <v>11.78</v>
      </c>
      <c r="G23" s="17">
        <f>F23/B2</f>
        <v>0.7853333333</v>
      </c>
      <c r="H23" s="15">
        <f t="shared" si="5"/>
        <v>6.39</v>
      </c>
      <c r="I23" s="14">
        <f>H23/B3</f>
        <v>0.639</v>
      </c>
      <c r="J23" s="2">
        <v>0.6</v>
      </c>
      <c r="K23" s="2">
        <v>0.6</v>
      </c>
      <c r="L23" s="2">
        <v>0.6</v>
      </c>
      <c r="M23" s="7"/>
      <c r="N23" s="7"/>
    </row>
    <row r="24">
      <c r="A24" s="12">
        <v>45214.0</v>
      </c>
      <c r="B24" s="6" t="s">
        <v>17</v>
      </c>
      <c r="C24" s="2">
        <v>0.37</v>
      </c>
      <c r="D24" s="16">
        <f t="shared" si="3"/>
        <v>8.53</v>
      </c>
      <c r="E24" s="17">
        <f>D24/B1</f>
        <v>0.7108333333</v>
      </c>
      <c r="F24" s="16">
        <f t="shared" si="4"/>
        <v>11.78</v>
      </c>
      <c r="G24" s="17">
        <f>F24/B2</f>
        <v>0.7853333333</v>
      </c>
      <c r="H24" s="15">
        <f t="shared" si="5"/>
        <v>6.39</v>
      </c>
      <c r="I24" s="14">
        <f>H24/B3</f>
        <v>0.639</v>
      </c>
      <c r="J24" s="2">
        <v>0.6</v>
      </c>
      <c r="K24" s="2">
        <v>0.6</v>
      </c>
      <c r="L24" s="2">
        <v>0.6</v>
      </c>
      <c r="M24" s="7"/>
      <c r="N24" s="7"/>
    </row>
    <row r="25">
      <c r="A25" s="12">
        <v>45214.0</v>
      </c>
      <c r="B25" s="6" t="s">
        <v>18</v>
      </c>
      <c r="C25" s="2">
        <v>0.79</v>
      </c>
      <c r="D25" s="16">
        <f t="shared" si="3"/>
        <v>8.53</v>
      </c>
      <c r="E25" s="17">
        <f>D25/B1</f>
        <v>0.7108333333</v>
      </c>
      <c r="F25" s="16">
        <f t="shared" si="4"/>
        <v>10.99</v>
      </c>
      <c r="G25" s="17">
        <f>F25/B2</f>
        <v>0.7326666667</v>
      </c>
      <c r="H25" s="15">
        <f t="shared" si="5"/>
        <v>6.39</v>
      </c>
      <c r="I25" s="14">
        <f>H25/B3</f>
        <v>0.639</v>
      </c>
      <c r="J25" s="2">
        <v>0.6</v>
      </c>
      <c r="K25" s="2">
        <v>0.6</v>
      </c>
      <c r="L25" s="2">
        <v>0.6</v>
      </c>
      <c r="M25" s="7"/>
      <c r="N25" s="7"/>
    </row>
    <row r="26">
      <c r="A26" s="12">
        <v>45214.0</v>
      </c>
      <c r="B26" s="6" t="s">
        <v>19</v>
      </c>
      <c r="C26" s="2">
        <v>0.75</v>
      </c>
      <c r="D26" s="16">
        <f t="shared" si="3"/>
        <v>8.53</v>
      </c>
      <c r="E26" s="17">
        <f>D26/B1</f>
        <v>0.7108333333</v>
      </c>
      <c r="F26" s="16">
        <f t="shared" si="4"/>
        <v>10.99</v>
      </c>
      <c r="G26" s="17">
        <f>F26/B2</f>
        <v>0.7326666667</v>
      </c>
      <c r="H26" s="15">
        <f t="shared" si="5"/>
        <v>5.64</v>
      </c>
      <c r="I26" s="14">
        <f>H26/B3</f>
        <v>0.564</v>
      </c>
      <c r="J26" s="2">
        <v>0.6</v>
      </c>
      <c r="K26" s="2">
        <v>0.6</v>
      </c>
      <c r="L26" s="2">
        <v>0.6</v>
      </c>
      <c r="M26" s="7"/>
      <c r="N26" s="7"/>
    </row>
    <row r="27">
      <c r="A27" s="12">
        <v>45215.0</v>
      </c>
      <c r="B27" s="6" t="s">
        <v>17</v>
      </c>
      <c r="C27" s="2">
        <v>0.39</v>
      </c>
      <c r="D27" s="16">
        <f t="shared" si="3"/>
        <v>8.14</v>
      </c>
      <c r="E27" s="17">
        <f>D27/B1</f>
        <v>0.6783333333</v>
      </c>
      <c r="F27" s="16">
        <f t="shared" si="4"/>
        <v>10.99</v>
      </c>
      <c r="G27" s="17">
        <f>F27/B2</f>
        <v>0.7326666667</v>
      </c>
      <c r="H27" s="15">
        <f t="shared" si="5"/>
        <v>5.64</v>
      </c>
      <c r="I27" s="14">
        <f>H27/B3</f>
        <v>0.564</v>
      </c>
      <c r="J27" s="2">
        <v>0.6</v>
      </c>
      <c r="K27" s="2">
        <v>0.6</v>
      </c>
      <c r="L27" s="2">
        <v>0.6</v>
      </c>
      <c r="M27" s="7"/>
      <c r="N27" s="7"/>
    </row>
    <row r="28">
      <c r="A28" s="12">
        <v>45215.0</v>
      </c>
      <c r="B28" s="6" t="s">
        <v>18</v>
      </c>
      <c r="C28" s="2">
        <v>0.0</v>
      </c>
      <c r="D28" s="16">
        <f t="shared" si="3"/>
        <v>8.14</v>
      </c>
      <c r="E28" s="17">
        <f>D28/B1</f>
        <v>0.6783333333</v>
      </c>
      <c r="F28" s="16">
        <f t="shared" si="4"/>
        <v>10.99</v>
      </c>
      <c r="G28" s="17">
        <f>F28/B2</f>
        <v>0.7326666667</v>
      </c>
      <c r="H28" s="15">
        <f t="shared" si="5"/>
        <v>5.64</v>
      </c>
      <c r="I28" s="14">
        <f>H28/B3</f>
        <v>0.564</v>
      </c>
      <c r="J28" s="2">
        <v>0.6</v>
      </c>
      <c r="K28" s="2">
        <v>0.6</v>
      </c>
      <c r="L28" s="2">
        <v>0.6</v>
      </c>
      <c r="M28" s="7"/>
      <c r="N28" s="7"/>
    </row>
    <row r="29">
      <c r="A29" s="12">
        <v>45215.0</v>
      </c>
      <c r="B29" s="6" t="s">
        <v>19</v>
      </c>
      <c r="C29" s="2">
        <v>0.52</v>
      </c>
      <c r="D29" s="16">
        <f t="shared" si="3"/>
        <v>8.14</v>
      </c>
      <c r="E29" s="17">
        <f>D29/B1</f>
        <v>0.6783333333</v>
      </c>
      <c r="F29" s="16">
        <f t="shared" si="4"/>
        <v>10.99</v>
      </c>
      <c r="G29" s="17">
        <f>F29/B2</f>
        <v>0.7326666667</v>
      </c>
      <c r="H29" s="15">
        <f t="shared" si="5"/>
        <v>5.12</v>
      </c>
      <c r="I29" s="14">
        <f>H29/B3</f>
        <v>0.512</v>
      </c>
      <c r="J29" s="2">
        <v>0.6</v>
      </c>
      <c r="K29" s="2">
        <v>0.6</v>
      </c>
      <c r="L29" s="2">
        <v>0.6</v>
      </c>
      <c r="M29" s="7"/>
      <c r="N29" s="7"/>
    </row>
    <row r="30">
      <c r="A30" s="12">
        <v>45216.0</v>
      </c>
      <c r="B30" s="6" t="s">
        <v>17</v>
      </c>
      <c r="C30" s="2">
        <v>0.38</v>
      </c>
      <c r="D30" s="16">
        <f t="shared" si="3"/>
        <v>7.76</v>
      </c>
      <c r="E30" s="17">
        <f>D30/B1</f>
        <v>0.6466666667</v>
      </c>
      <c r="F30" s="16">
        <f t="shared" si="4"/>
        <v>10.99</v>
      </c>
      <c r="G30" s="17">
        <f>F30/B2</f>
        <v>0.7326666667</v>
      </c>
      <c r="H30" s="15">
        <f t="shared" si="5"/>
        <v>5.12</v>
      </c>
      <c r="I30" s="14">
        <f>H30/B3</f>
        <v>0.512</v>
      </c>
      <c r="J30" s="2">
        <v>0.6</v>
      </c>
      <c r="K30" s="2">
        <v>0.6</v>
      </c>
      <c r="L30" s="2">
        <v>0.6</v>
      </c>
      <c r="M30" s="7"/>
      <c r="N30" s="7"/>
    </row>
    <row r="31">
      <c r="A31" s="12">
        <v>45216.0</v>
      </c>
      <c r="B31" s="6" t="s">
        <v>18</v>
      </c>
      <c r="C31" s="2">
        <v>0.39</v>
      </c>
      <c r="D31" s="16">
        <f t="shared" si="3"/>
        <v>7.76</v>
      </c>
      <c r="E31" s="17">
        <f>D31/B1</f>
        <v>0.6466666667</v>
      </c>
      <c r="F31" s="16">
        <f t="shared" si="4"/>
        <v>10.6</v>
      </c>
      <c r="G31" s="17">
        <f>F31/B2</f>
        <v>0.7066666667</v>
      </c>
      <c r="H31" s="15">
        <f t="shared" si="5"/>
        <v>5.12</v>
      </c>
      <c r="I31" s="14">
        <f>H31/B3</f>
        <v>0.512</v>
      </c>
      <c r="J31" s="2">
        <v>0.6</v>
      </c>
      <c r="K31" s="2">
        <v>0.6</v>
      </c>
      <c r="L31" s="2">
        <v>0.6</v>
      </c>
      <c r="M31" s="7"/>
      <c r="N31" s="7"/>
    </row>
    <row r="32">
      <c r="A32" s="12">
        <v>45216.0</v>
      </c>
      <c r="B32" s="6" t="s">
        <v>19</v>
      </c>
      <c r="C32" s="2">
        <v>0.38</v>
      </c>
      <c r="D32" s="16">
        <f t="shared" si="3"/>
        <v>7.76</v>
      </c>
      <c r="E32" s="17">
        <f>D32/B1</f>
        <v>0.6466666667</v>
      </c>
      <c r="F32" s="16">
        <f t="shared" si="4"/>
        <v>10.6</v>
      </c>
      <c r="G32" s="17">
        <f>F32/B2</f>
        <v>0.7066666667</v>
      </c>
      <c r="H32" s="15">
        <f t="shared" si="5"/>
        <v>4.74</v>
      </c>
      <c r="I32" s="14">
        <f>H32/B3</f>
        <v>0.474</v>
      </c>
      <c r="J32" s="2">
        <v>0.6</v>
      </c>
      <c r="K32" s="2">
        <v>0.6</v>
      </c>
      <c r="L32" s="2">
        <v>0.6</v>
      </c>
      <c r="M32" s="7"/>
      <c r="N32" s="7"/>
    </row>
    <row r="33">
      <c r="A33" s="12">
        <v>45217.0</v>
      </c>
      <c r="B33" s="6" t="s">
        <v>17</v>
      </c>
      <c r="C33" s="2">
        <v>0.4</v>
      </c>
      <c r="D33" s="16">
        <f t="shared" si="3"/>
        <v>7.36</v>
      </c>
      <c r="E33" s="17">
        <f>D33/B1</f>
        <v>0.6133333333</v>
      </c>
      <c r="F33" s="16">
        <f t="shared" si="4"/>
        <v>10.6</v>
      </c>
      <c r="G33" s="17">
        <f>F33/B2</f>
        <v>0.7066666667</v>
      </c>
      <c r="H33" s="15">
        <f t="shared" si="5"/>
        <v>4.74</v>
      </c>
      <c r="I33" s="14">
        <f>H33/B3</f>
        <v>0.474</v>
      </c>
      <c r="J33" s="2">
        <v>0.6</v>
      </c>
      <c r="K33" s="2">
        <v>0.6</v>
      </c>
      <c r="L33" s="2">
        <v>0.6</v>
      </c>
      <c r="M33" s="7"/>
      <c r="N33" s="7"/>
    </row>
    <row r="34">
      <c r="A34" s="12">
        <v>45217.0</v>
      </c>
      <c r="B34" s="6" t="s">
        <v>18</v>
      </c>
      <c r="C34" s="2">
        <v>0.58</v>
      </c>
      <c r="D34" s="16">
        <f t="shared" si="3"/>
        <v>7.36</v>
      </c>
      <c r="E34" s="17">
        <f>D34/B1</f>
        <v>0.6133333333</v>
      </c>
      <c r="F34" s="16">
        <f t="shared" si="4"/>
        <v>10.02</v>
      </c>
      <c r="G34" s="17">
        <f>F34/B2</f>
        <v>0.668</v>
      </c>
      <c r="H34" s="15">
        <f t="shared" si="5"/>
        <v>4.74</v>
      </c>
      <c r="I34" s="14">
        <f>H34/B3</f>
        <v>0.474</v>
      </c>
      <c r="J34" s="2">
        <v>0.6</v>
      </c>
      <c r="K34" s="2">
        <v>0.6</v>
      </c>
      <c r="L34" s="2">
        <v>0.6</v>
      </c>
      <c r="M34" s="7"/>
      <c r="N34" s="7"/>
    </row>
    <row r="35">
      <c r="A35" s="12">
        <v>45217.0</v>
      </c>
      <c r="B35" s="6" t="s">
        <v>19</v>
      </c>
      <c r="C35" s="2">
        <v>0.54</v>
      </c>
      <c r="D35" s="16">
        <f t="shared" si="3"/>
        <v>7.36</v>
      </c>
      <c r="E35" s="17">
        <f>D35/B1</f>
        <v>0.6133333333</v>
      </c>
      <c r="F35" s="16">
        <f t="shared" si="4"/>
        <v>10.02</v>
      </c>
      <c r="G35" s="17">
        <f>F35/B2</f>
        <v>0.668</v>
      </c>
      <c r="H35" s="15">
        <f t="shared" si="5"/>
        <v>4.2</v>
      </c>
      <c r="I35" s="14">
        <f>H35/B3</f>
        <v>0.42</v>
      </c>
      <c r="J35" s="2">
        <v>0.6</v>
      </c>
      <c r="K35" s="2">
        <v>0.6</v>
      </c>
      <c r="L35" s="2">
        <v>0.6</v>
      </c>
      <c r="M35" s="7"/>
      <c r="N35" s="7"/>
    </row>
    <row r="36">
      <c r="A36" s="12">
        <v>45218.0</v>
      </c>
      <c r="B36" s="6" t="s">
        <v>17</v>
      </c>
      <c r="C36" s="2">
        <v>0.43</v>
      </c>
      <c r="D36" s="16">
        <f t="shared" si="3"/>
        <v>6.93</v>
      </c>
      <c r="E36" s="17">
        <f>D36/B1</f>
        <v>0.5775</v>
      </c>
      <c r="F36" s="16">
        <f t="shared" si="4"/>
        <v>10.02</v>
      </c>
      <c r="G36" s="17">
        <f>F36/B2</f>
        <v>0.668</v>
      </c>
      <c r="H36" s="15">
        <f t="shared" si="5"/>
        <v>4.2</v>
      </c>
      <c r="I36" s="14">
        <f>H36/B3</f>
        <v>0.42</v>
      </c>
      <c r="J36" s="2">
        <v>0.6</v>
      </c>
      <c r="K36" s="2">
        <v>0.6</v>
      </c>
      <c r="L36" s="2">
        <v>0.6</v>
      </c>
      <c r="M36" s="7"/>
      <c r="N36" s="7"/>
    </row>
    <row r="37">
      <c r="A37" s="12">
        <v>45218.0</v>
      </c>
      <c r="B37" s="6" t="s">
        <v>18</v>
      </c>
      <c r="C37" s="2">
        <v>0.55</v>
      </c>
      <c r="D37" s="16">
        <f t="shared" si="3"/>
        <v>6.93</v>
      </c>
      <c r="E37" s="17">
        <f>D37/B1</f>
        <v>0.5775</v>
      </c>
      <c r="F37" s="16">
        <f t="shared" si="4"/>
        <v>9.47</v>
      </c>
      <c r="G37" s="17">
        <f>F37/B2</f>
        <v>0.6313333333</v>
      </c>
      <c r="H37" s="15">
        <f t="shared" si="5"/>
        <v>4.2</v>
      </c>
      <c r="I37" s="14">
        <f>H37/B3</f>
        <v>0.42</v>
      </c>
      <c r="J37" s="2">
        <v>0.6</v>
      </c>
      <c r="K37" s="2">
        <v>0.6</v>
      </c>
      <c r="L37" s="2">
        <v>0.6</v>
      </c>
      <c r="M37" s="7"/>
      <c r="N37" s="7"/>
    </row>
    <row r="38">
      <c r="A38" s="12">
        <v>45218.0</v>
      </c>
      <c r="B38" s="6" t="s">
        <v>19</v>
      </c>
      <c r="C38" s="2">
        <v>0.4</v>
      </c>
      <c r="D38" s="16">
        <f t="shared" si="3"/>
        <v>6.93</v>
      </c>
      <c r="E38" s="17">
        <f>D38/B1</f>
        <v>0.5775</v>
      </c>
      <c r="F38" s="16">
        <f t="shared" si="4"/>
        <v>9.47</v>
      </c>
      <c r="G38" s="17">
        <f>F38/B2</f>
        <v>0.6313333333</v>
      </c>
      <c r="H38" s="15">
        <f t="shared" si="5"/>
        <v>3.8</v>
      </c>
      <c r="I38" s="14">
        <f>H38/B3</f>
        <v>0.38</v>
      </c>
      <c r="J38" s="2">
        <v>0.6</v>
      </c>
      <c r="K38" s="2">
        <v>0.6</v>
      </c>
      <c r="L38" s="2">
        <v>0.6</v>
      </c>
      <c r="M38" s="7"/>
      <c r="N38" s="7"/>
    </row>
    <row r="39">
      <c r="A39" s="12">
        <v>45219.0</v>
      </c>
      <c r="B39" s="6" t="s">
        <v>17</v>
      </c>
      <c r="C39" s="2">
        <v>0.55</v>
      </c>
      <c r="D39" s="16">
        <f t="shared" si="3"/>
        <v>6.38</v>
      </c>
      <c r="E39" s="17">
        <f>D39/B1</f>
        <v>0.5316666667</v>
      </c>
      <c r="F39" s="16">
        <f t="shared" si="4"/>
        <v>9.47</v>
      </c>
      <c r="G39" s="17">
        <f>F39/B2</f>
        <v>0.6313333333</v>
      </c>
      <c r="H39" s="15">
        <f t="shared" si="5"/>
        <v>3.8</v>
      </c>
      <c r="I39" s="14">
        <f>H39/B3</f>
        <v>0.38</v>
      </c>
      <c r="J39" s="2">
        <v>0.6</v>
      </c>
      <c r="K39" s="2">
        <v>0.6</v>
      </c>
      <c r="L39" s="2">
        <v>0.6</v>
      </c>
      <c r="M39" s="7"/>
      <c r="N39" s="7"/>
    </row>
    <row r="40">
      <c r="A40" s="12">
        <v>45219.0</v>
      </c>
      <c r="B40" s="6" t="s">
        <v>18</v>
      </c>
      <c r="C40" s="2">
        <v>1.1</v>
      </c>
      <c r="D40" s="16">
        <f t="shared" si="3"/>
        <v>6.38</v>
      </c>
      <c r="E40" s="17">
        <f>D40/B1</f>
        <v>0.5316666667</v>
      </c>
      <c r="F40" s="16">
        <f t="shared" si="4"/>
        <v>8.37</v>
      </c>
      <c r="G40" s="17">
        <f>F40/B2</f>
        <v>0.558</v>
      </c>
      <c r="H40" s="15">
        <f t="shared" si="5"/>
        <v>3.8</v>
      </c>
      <c r="I40" s="14">
        <f>H40/B3</f>
        <v>0.38</v>
      </c>
      <c r="J40" s="2">
        <v>0.6</v>
      </c>
      <c r="K40" s="2">
        <v>0.6</v>
      </c>
      <c r="L40" s="2">
        <v>0.6</v>
      </c>
      <c r="M40" s="7"/>
      <c r="N40" s="7"/>
    </row>
    <row r="41">
      <c r="A41" s="12">
        <v>45219.0</v>
      </c>
      <c r="B41" s="6" t="s">
        <v>19</v>
      </c>
      <c r="C41" s="2">
        <v>0.9</v>
      </c>
      <c r="D41" s="16">
        <f t="shared" si="3"/>
        <v>6.38</v>
      </c>
      <c r="E41" s="17">
        <f>D41/B1</f>
        <v>0.5316666667</v>
      </c>
      <c r="F41" s="16">
        <f t="shared" si="4"/>
        <v>8.37</v>
      </c>
      <c r="G41" s="17">
        <f>F41/B2</f>
        <v>0.558</v>
      </c>
      <c r="H41" s="15">
        <f t="shared" si="5"/>
        <v>2.9</v>
      </c>
      <c r="I41" s="14">
        <f>H41/B3</f>
        <v>0.29</v>
      </c>
      <c r="J41" s="2">
        <v>0.6</v>
      </c>
      <c r="K41" s="2">
        <v>0.6</v>
      </c>
      <c r="L41" s="2">
        <v>0.6</v>
      </c>
      <c r="M41" s="7"/>
      <c r="N41" s="7"/>
    </row>
    <row r="42">
      <c r="A42" s="12">
        <v>45220.0</v>
      </c>
      <c r="B42" s="6" t="s">
        <v>17</v>
      </c>
      <c r="C42" s="2">
        <v>0.73</v>
      </c>
      <c r="D42" s="16">
        <f t="shared" si="3"/>
        <v>5.65</v>
      </c>
      <c r="E42" s="17">
        <f>D42/B1</f>
        <v>0.4708333333</v>
      </c>
      <c r="F42" s="16">
        <f t="shared" si="4"/>
        <v>8.37</v>
      </c>
      <c r="G42" s="17">
        <f>F42/B2</f>
        <v>0.558</v>
      </c>
      <c r="H42" s="15">
        <f t="shared" si="5"/>
        <v>2.9</v>
      </c>
      <c r="I42" s="14">
        <f>H42/B3</f>
        <v>0.29</v>
      </c>
      <c r="J42" s="2">
        <v>0.6</v>
      </c>
      <c r="K42" s="2">
        <v>0.6</v>
      </c>
      <c r="L42" s="2">
        <v>0.6</v>
      </c>
      <c r="M42" s="7"/>
      <c r="N42" s="7"/>
    </row>
    <row r="43">
      <c r="A43" s="12">
        <v>45220.0</v>
      </c>
      <c r="B43" s="6" t="s">
        <v>18</v>
      </c>
      <c r="C43" s="2">
        <v>0.73</v>
      </c>
      <c r="D43" s="16">
        <f t="shared" si="3"/>
        <v>5.65</v>
      </c>
      <c r="E43" s="17">
        <f>D43/B1</f>
        <v>0.4708333333</v>
      </c>
      <c r="F43" s="16">
        <f t="shared" si="4"/>
        <v>7.64</v>
      </c>
      <c r="G43" s="17">
        <f>F43/B2</f>
        <v>0.5093333333</v>
      </c>
      <c r="H43" s="15">
        <f t="shared" si="5"/>
        <v>2.9</v>
      </c>
      <c r="I43" s="14">
        <f>H43/B3</f>
        <v>0.29</v>
      </c>
      <c r="J43" s="2">
        <v>0.6</v>
      </c>
      <c r="K43" s="2">
        <v>0.6</v>
      </c>
      <c r="L43" s="2">
        <v>0.6</v>
      </c>
      <c r="M43" s="7"/>
      <c r="N43" s="7"/>
    </row>
    <row r="44">
      <c r="A44" s="12">
        <v>45220.0</v>
      </c>
      <c r="B44" s="6" t="s">
        <v>19</v>
      </c>
      <c r="C44" s="2">
        <v>0.58</v>
      </c>
      <c r="D44" s="16">
        <f t="shared" si="3"/>
        <v>5.65</v>
      </c>
      <c r="E44" s="17">
        <f>D44/B1</f>
        <v>0.4708333333</v>
      </c>
      <c r="F44" s="16">
        <f t="shared" si="4"/>
        <v>7.64</v>
      </c>
      <c r="G44" s="17">
        <f>F44/B2</f>
        <v>0.5093333333</v>
      </c>
      <c r="H44" s="15">
        <f t="shared" si="5"/>
        <v>2.32</v>
      </c>
      <c r="I44" s="14">
        <f>H44/B3</f>
        <v>0.232</v>
      </c>
      <c r="J44" s="2">
        <v>0.6</v>
      </c>
      <c r="K44" s="2">
        <v>0.6</v>
      </c>
      <c r="L44" s="2">
        <v>0.6</v>
      </c>
      <c r="M44" s="7"/>
      <c r="N44" s="7"/>
    </row>
    <row r="45">
      <c r="A45" s="12">
        <v>45221.0</v>
      </c>
      <c r="B45" s="6" t="s">
        <v>17</v>
      </c>
      <c r="C45" s="2">
        <v>0.73</v>
      </c>
      <c r="D45" s="16">
        <f t="shared" si="3"/>
        <v>4.92</v>
      </c>
      <c r="E45" s="17">
        <f>D45/B1</f>
        <v>0.41</v>
      </c>
      <c r="F45" s="16">
        <f t="shared" si="4"/>
        <v>7.64</v>
      </c>
      <c r="G45" s="17">
        <f>F45/B2</f>
        <v>0.5093333333</v>
      </c>
      <c r="H45" s="15">
        <f t="shared" si="5"/>
        <v>2.32</v>
      </c>
      <c r="I45" s="14">
        <f>H45/B3</f>
        <v>0.232</v>
      </c>
      <c r="J45" s="2">
        <v>0.6</v>
      </c>
      <c r="K45" s="2">
        <v>0.6</v>
      </c>
      <c r="L45" s="2">
        <v>0.6</v>
      </c>
      <c r="M45" s="7"/>
      <c r="N45" s="7"/>
    </row>
    <row r="46">
      <c r="A46" s="12">
        <v>45221.0</v>
      </c>
      <c r="B46" s="6" t="s">
        <v>18</v>
      </c>
      <c r="C46" s="2">
        <v>0.86</v>
      </c>
      <c r="D46" s="16">
        <f t="shared" si="3"/>
        <v>4.92</v>
      </c>
      <c r="E46" s="17">
        <f>D46/B1</f>
        <v>0.41</v>
      </c>
      <c r="F46" s="16">
        <f t="shared" si="4"/>
        <v>6.78</v>
      </c>
      <c r="G46" s="17">
        <f>F46/B2</f>
        <v>0.452</v>
      </c>
      <c r="H46" s="15">
        <f t="shared" si="5"/>
        <v>2.32</v>
      </c>
      <c r="I46" s="14">
        <f>H46/B3</f>
        <v>0.232</v>
      </c>
      <c r="J46" s="2">
        <v>0.6</v>
      </c>
      <c r="K46" s="2">
        <v>0.6</v>
      </c>
      <c r="L46" s="2">
        <v>0.6</v>
      </c>
      <c r="M46" s="7"/>
      <c r="N46" s="7"/>
    </row>
    <row r="47">
      <c r="A47" s="12">
        <v>45221.0</v>
      </c>
      <c r="B47" s="6" t="s">
        <v>19</v>
      </c>
      <c r="C47" s="2">
        <v>0.73</v>
      </c>
      <c r="D47" s="16">
        <f t="shared" si="3"/>
        <v>4.92</v>
      </c>
      <c r="E47" s="17">
        <f>D47/B1</f>
        <v>0.41</v>
      </c>
      <c r="F47" s="16">
        <f t="shared" si="4"/>
        <v>6.78</v>
      </c>
      <c r="G47" s="17">
        <f>F47/B2</f>
        <v>0.452</v>
      </c>
      <c r="H47" s="15">
        <f t="shared" si="5"/>
        <v>1.59</v>
      </c>
      <c r="I47" s="14">
        <f>H47/B3</f>
        <v>0.159</v>
      </c>
      <c r="J47" s="2">
        <v>0.6</v>
      </c>
      <c r="K47" s="2">
        <v>0.6</v>
      </c>
      <c r="L47" s="2">
        <v>0.6</v>
      </c>
      <c r="M47" s="7"/>
      <c r="N47" s="7"/>
    </row>
    <row r="48">
      <c r="A48" s="12">
        <v>45222.0</v>
      </c>
      <c r="B48" s="6" t="s">
        <v>17</v>
      </c>
      <c r="C48" s="2">
        <v>0.42</v>
      </c>
      <c r="D48" s="16">
        <f t="shared" si="3"/>
        <v>4.5</v>
      </c>
      <c r="E48" s="17">
        <f>D48/B1</f>
        <v>0.375</v>
      </c>
      <c r="F48" s="16">
        <f t="shared" si="4"/>
        <v>6.78</v>
      </c>
      <c r="G48" s="17">
        <f>F48/B2</f>
        <v>0.452</v>
      </c>
      <c r="H48" s="15">
        <f t="shared" si="5"/>
        <v>1.59</v>
      </c>
      <c r="I48" s="14">
        <f>H48/B3</f>
        <v>0.159</v>
      </c>
      <c r="J48" s="2">
        <v>0.6</v>
      </c>
      <c r="K48" s="2">
        <v>0.6</v>
      </c>
      <c r="L48" s="2">
        <v>0.6</v>
      </c>
      <c r="M48" s="7"/>
      <c r="N48" s="7"/>
    </row>
    <row r="49">
      <c r="A49" s="12">
        <v>45222.0</v>
      </c>
      <c r="B49" s="6" t="s">
        <v>18</v>
      </c>
      <c r="C49" s="2">
        <v>0.46</v>
      </c>
      <c r="D49" s="16">
        <f t="shared" si="3"/>
        <v>4.5</v>
      </c>
      <c r="E49" s="17">
        <f>D49/B1</f>
        <v>0.375</v>
      </c>
      <c r="F49" s="16">
        <f t="shared" si="4"/>
        <v>6.32</v>
      </c>
      <c r="G49" s="17">
        <f>F49/B2</f>
        <v>0.4213333333</v>
      </c>
      <c r="H49" s="15">
        <f t="shared" si="5"/>
        <v>1.59</v>
      </c>
      <c r="I49" s="14">
        <f>H49/B3</f>
        <v>0.159</v>
      </c>
      <c r="J49" s="2">
        <v>0.6</v>
      </c>
      <c r="K49" s="2">
        <v>0.6</v>
      </c>
      <c r="L49" s="2">
        <v>0.6</v>
      </c>
      <c r="M49" s="7"/>
      <c r="N49" s="7"/>
    </row>
    <row r="50">
      <c r="A50" s="12">
        <v>45222.0</v>
      </c>
      <c r="B50" s="6" t="s">
        <v>19</v>
      </c>
      <c r="C50" s="2">
        <v>0.37</v>
      </c>
      <c r="D50" s="16">
        <f t="shared" si="3"/>
        <v>4.5</v>
      </c>
      <c r="E50" s="17">
        <f>D50/B1</f>
        <v>0.375</v>
      </c>
      <c r="F50" s="16">
        <f t="shared" si="4"/>
        <v>6.32</v>
      </c>
      <c r="G50" s="17">
        <f>F50/B2</f>
        <v>0.4213333333</v>
      </c>
      <c r="H50" s="15">
        <f t="shared" si="5"/>
        <v>1.22</v>
      </c>
      <c r="I50" s="14">
        <f>H50/B3</f>
        <v>0.122</v>
      </c>
      <c r="J50" s="2">
        <v>0.6</v>
      </c>
      <c r="K50" s="2">
        <v>0.6</v>
      </c>
      <c r="L50" s="2">
        <v>0.6</v>
      </c>
      <c r="M50" s="7"/>
      <c r="N50" s="7"/>
    </row>
    <row r="51">
      <c r="A51" s="12">
        <v>45223.0</v>
      </c>
      <c r="B51" s="6" t="s">
        <v>17</v>
      </c>
      <c r="C51" s="2">
        <v>0.55</v>
      </c>
      <c r="D51" s="16">
        <f t="shared" si="3"/>
        <v>3.95</v>
      </c>
      <c r="E51" s="17">
        <f>D51/B1</f>
        <v>0.3291666667</v>
      </c>
      <c r="F51" s="16">
        <f t="shared" si="4"/>
        <v>6.32</v>
      </c>
      <c r="G51" s="17">
        <f>F51/B2</f>
        <v>0.4213333333</v>
      </c>
      <c r="H51" s="15">
        <f t="shared" si="5"/>
        <v>1.22</v>
      </c>
      <c r="I51" s="14">
        <f>H51/B3</f>
        <v>0.122</v>
      </c>
      <c r="J51" s="2">
        <v>0.6</v>
      </c>
      <c r="K51" s="2">
        <v>0.6</v>
      </c>
      <c r="L51" s="2">
        <v>0.6</v>
      </c>
      <c r="M51" s="7"/>
      <c r="N51" s="7"/>
    </row>
    <row r="52">
      <c r="A52" s="12">
        <v>45223.0</v>
      </c>
      <c r="B52" s="6" t="s">
        <v>18</v>
      </c>
      <c r="C52" s="2">
        <v>0.5</v>
      </c>
      <c r="D52" s="16">
        <f t="shared" si="3"/>
        <v>3.95</v>
      </c>
      <c r="E52" s="17">
        <f>D52/B1</f>
        <v>0.3291666667</v>
      </c>
      <c r="F52" s="16">
        <f t="shared" si="4"/>
        <v>5.82</v>
      </c>
      <c r="G52" s="17">
        <f>F52/B2</f>
        <v>0.388</v>
      </c>
      <c r="H52" s="15">
        <f t="shared" si="5"/>
        <v>1.22</v>
      </c>
      <c r="I52" s="14">
        <f>H52/B3</f>
        <v>0.122</v>
      </c>
      <c r="J52" s="2">
        <v>0.6</v>
      </c>
      <c r="K52" s="2">
        <v>0.6</v>
      </c>
      <c r="L52" s="2">
        <v>0.6</v>
      </c>
      <c r="M52" s="7"/>
      <c r="N52" s="7"/>
    </row>
    <row r="53">
      <c r="A53" s="12">
        <v>45223.0</v>
      </c>
      <c r="B53" s="6" t="s">
        <v>19</v>
      </c>
      <c r="C53" s="2">
        <v>0.41</v>
      </c>
      <c r="D53" s="16">
        <f t="shared" si="3"/>
        <v>3.95</v>
      </c>
      <c r="E53" s="17">
        <f>D53/B1</f>
        <v>0.3291666667</v>
      </c>
      <c r="F53" s="16">
        <f t="shared" si="4"/>
        <v>5.82</v>
      </c>
      <c r="G53" s="17">
        <f>F53/B2</f>
        <v>0.388</v>
      </c>
      <c r="H53" s="15">
        <f t="shared" si="5"/>
        <v>0.81</v>
      </c>
      <c r="I53" s="14">
        <f>H53/B3</f>
        <v>0.081</v>
      </c>
      <c r="J53" s="2">
        <v>0.6</v>
      </c>
      <c r="K53" s="2">
        <v>0.6</v>
      </c>
      <c r="L53" s="2">
        <v>0.6</v>
      </c>
      <c r="M53" s="7"/>
      <c r="N53" s="7"/>
    </row>
    <row r="54">
      <c r="A54" s="12">
        <v>45224.0</v>
      </c>
      <c r="B54" s="6" t="s">
        <v>17</v>
      </c>
      <c r="C54" s="2">
        <v>0.38</v>
      </c>
      <c r="D54" s="16">
        <f t="shared" si="3"/>
        <v>3.57</v>
      </c>
      <c r="E54" s="17">
        <f>D54/B1</f>
        <v>0.2975</v>
      </c>
      <c r="F54" s="16">
        <f t="shared" si="4"/>
        <v>5.82</v>
      </c>
      <c r="G54" s="17">
        <f>F54/B2</f>
        <v>0.388</v>
      </c>
      <c r="H54" s="15">
        <f t="shared" si="5"/>
        <v>0.81</v>
      </c>
      <c r="I54" s="14">
        <f>H54/B3</f>
        <v>0.081</v>
      </c>
      <c r="J54" s="2">
        <v>0.6</v>
      </c>
      <c r="K54" s="2">
        <v>0.6</v>
      </c>
      <c r="L54" s="2">
        <v>0.6</v>
      </c>
      <c r="M54" s="7"/>
      <c r="N54" s="7"/>
    </row>
    <row r="55">
      <c r="A55" s="12">
        <v>45224.0</v>
      </c>
      <c r="B55" s="6" t="s">
        <v>18</v>
      </c>
      <c r="C55" s="2">
        <v>0.42</v>
      </c>
      <c r="D55" s="16">
        <f t="shared" si="3"/>
        <v>3.57</v>
      </c>
      <c r="E55" s="17">
        <f>D55/B1</f>
        <v>0.2975</v>
      </c>
      <c r="F55" s="16">
        <f t="shared" si="4"/>
        <v>5.4</v>
      </c>
      <c r="G55" s="17">
        <f>F55/B2</f>
        <v>0.36</v>
      </c>
      <c r="H55" s="15">
        <f t="shared" si="5"/>
        <v>0.81</v>
      </c>
      <c r="I55" s="14">
        <f>H55/B3</f>
        <v>0.081</v>
      </c>
      <c r="J55" s="2">
        <v>0.6</v>
      </c>
      <c r="K55" s="2">
        <v>0.6</v>
      </c>
      <c r="L55" s="2">
        <v>0.6</v>
      </c>
      <c r="M55" s="7"/>
      <c r="N55" s="7"/>
    </row>
    <row r="56">
      <c r="A56" s="12">
        <v>45224.0</v>
      </c>
      <c r="B56" s="6" t="s">
        <v>19</v>
      </c>
      <c r="C56" s="2">
        <v>0.36</v>
      </c>
      <c r="D56" s="16">
        <f t="shared" si="3"/>
        <v>3.57</v>
      </c>
      <c r="E56" s="17">
        <f>D56/B1</f>
        <v>0.2975</v>
      </c>
      <c r="F56" s="16">
        <f t="shared" si="4"/>
        <v>5.4</v>
      </c>
      <c r="G56" s="17">
        <f>F56/B2</f>
        <v>0.36</v>
      </c>
      <c r="H56" s="15">
        <f t="shared" si="5"/>
        <v>0.45</v>
      </c>
      <c r="I56" s="14">
        <f>H56/B3</f>
        <v>0.045</v>
      </c>
      <c r="J56" s="2">
        <v>0.6</v>
      </c>
      <c r="K56" s="2">
        <v>0.6</v>
      </c>
      <c r="L56" s="2">
        <v>0.6</v>
      </c>
      <c r="M56" s="7"/>
      <c r="N56" s="7"/>
    </row>
    <row r="57">
      <c r="A57" s="12">
        <v>45225.0</v>
      </c>
      <c r="B57" s="6" t="s">
        <v>17</v>
      </c>
      <c r="C57" s="2">
        <v>0.55</v>
      </c>
      <c r="D57" s="16">
        <f t="shared" si="3"/>
        <v>3.02</v>
      </c>
      <c r="E57" s="17">
        <f>D57/B1</f>
        <v>0.2516666667</v>
      </c>
      <c r="F57" s="16">
        <f t="shared" si="4"/>
        <v>5.4</v>
      </c>
      <c r="G57" s="17">
        <f>F57/B2</f>
        <v>0.36</v>
      </c>
      <c r="H57" s="15">
        <f t="shared" si="5"/>
        <v>0.45</v>
      </c>
      <c r="I57" s="14">
        <f>H57/B3</f>
        <v>0.045</v>
      </c>
      <c r="J57" s="2">
        <v>0.6</v>
      </c>
      <c r="K57" s="2">
        <v>0.6</v>
      </c>
      <c r="L57" s="2">
        <v>0.6</v>
      </c>
      <c r="M57" s="7"/>
      <c r="N57" s="7"/>
    </row>
    <row r="58">
      <c r="A58" s="12">
        <v>45225.0</v>
      </c>
      <c r="B58" s="6" t="s">
        <v>18</v>
      </c>
      <c r="C58" s="2">
        <v>0.72</v>
      </c>
      <c r="D58" s="16">
        <f t="shared" si="3"/>
        <v>3.02</v>
      </c>
      <c r="E58" s="17">
        <f>D58/B1</f>
        <v>0.2516666667</v>
      </c>
      <c r="F58" s="16">
        <f t="shared" si="4"/>
        <v>4.68</v>
      </c>
      <c r="G58" s="17">
        <f>F58/B2</f>
        <v>0.312</v>
      </c>
      <c r="H58" s="15">
        <f t="shared" si="5"/>
        <v>0.45</v>
      </c>
      <c r="I58" s="14">
        <f>H58/B3</f>
        <v>0.045</v>
      </c>
      <c r="J58" s="2">
        <v>0.6</v>
      </c>
      <c r="K58" s="2">
        <v>0.6</v>
      </c>
      <c r="L58" s="2">
        <v>0.6</v>
      </c>
      <c r="M58" s="7"/>
      <c r="N58" s="7"/>
    </row>
    <row r="59">
      <c r="A59" s="12">
        <v>45225.0</v>
      </c>
      <c r="B59" s="6" t="s">
        <v>19</v>
      </c>
      <c r="C59" s="2">
        <v>0.45</v>
      </c>
      <c r="D59" s="16">
        <f t="shared" si="3"/>
        <v>3.02</v>
      </c>
      <c r="E59" s="17">
        <f>D59/B1</f>
        <v>0.2516666667</v>
      </c>
      <c r="F59" s="16">
        <f t="shared" si="4"/>
        <v>4.68</v>
      </c>
      <c r="G59" s="17">
        <f>F59/B2</f>
        <v>0.312</v>
      </c>
      <c r="H59" s="15">
        <f t="shared" si="5"/>
        <v>0</v>
      </c>
      <c r="I59" s="14">
        <f>H59/B3</f>
        <v>0</v>
      </c>
      <c r="J59" s="2">
        <v>0.6</v>
      </c>
      <c r="K59" s="2">
        <v>0.6</v>
      </c>
      <c r="L59" s="2">
        <v>0.6</v>
      </c>
    </row>
    <row r="60">
      <c r="A60" s="12">
        <v>45226.0</v>
      </c>
      <c r="B60" s="6" t="s">
        <v>17</v>
      </c>
      <c r="C60" s="2">
        <v>0.74</v>
      </c>
      <c r="D60" s="16">
        <f t="shared" si="3"/>
        <v>2.28</v>
      </c>
      <c r="E60" s="17">
        <f>D60/B1</f>
        <v>0.19</v>
      </c>
      <c r="F60" s="16">
        <f t="shared" si="4"/>
        <v>4.68</v>
      </c>
      <c r="G60" s="17">
        <f>F60/B2</f>
        <v>0.312</v>
      </c>
      <c r="H60" s="15">
        <f t="shared" si="5"/>
        <v>0</v>
      </c>
      <c r="I60" s="14">
        <f>H60/B3</f>
        <v>0</v>
      </c>
      <c r="J60" s="2">
        <v>0.6</v>
      </c>
      <c r="K60" s="2">
        <v>0.6</v>
      </c>
      <c r="L60" s="2">
        <v>0.6</v>
      </c>
    </row>
    <row r="61">
      <c r="A61" s="12">
        <v>45226.0</v>
      </c>
      <c r="B61" s="6" t="s">
        <v>18</v>
      </c>
      <c r="C61" s="2">
        <v>0.75</v>
      </c>
      <c r="D61" s="16">
        <f t="shared" si="3"/>
        <v>2.28</v>
      </c>
      <c r="E61" s="17">
        <f>D61/B1</f>
        <v>0.19</v>
      </c>
      <c r="F61" s="16">
        <f t="shared" si="4"/>
        <v>3.93</v>
      </c>
      <c r="G61" s="17">
        <f>F61/B2</f>
        <v>0.262</v>
      </c>
      <c r="H61" s="15">
        <f t="shared" si="5"/>
        <v>0</v>
      </c>
      <c r="I61" s="14">
        <f>H61/B3</f>
        <v>0</v>
      </c>
      <c r="J61" s="2">
        <v>0.6</v>
      </c>
      <c r="K61" s="2">
        <v>0.6</v>
      </c>
      <c r="L61" s="2">
        <v>0.6</v>
      </c>
    </row>
    <row r="62">
      <c r="A62" s="12">
        <v>45226.0</v>
      </c>
      <c r="B62" s="6" t="s">
        <v>19</v>
      </c>
      <c r="C62" s="2">
        <v>0.0</v>
      </c>
      <c r="D62" s="16">
        <f t="shared" si="3"/>
        <v>2.28</v>
      </c>
      <c r="E62" s="17">
        <f>D62/B1</f>
        <v>0.19</v>
      </c>
      <c r="F62" s="16">
        <f t="shared" si="4"/>
        <v>3.93</v>
      </c>
      <c r="G62" s="17">
        <f>F62/B2</f>
        <v>0.262</v>
      </c>
      <c r="H62" s="15">
        <f t="shared" si="5"/>
        <v>0</v>
      </c>
      <c r="I62" s="14">
        <f>H62/B3</f>
        <v>0</v>
      </c>
      <c r="J62" s="2">
        <v>0.6</v>
      </c>
      <c r="K62" s="2">
        <v>0.6</v>
      </c>
      <c r="L62" s="2">
        <v>0.6</v>
      </c>
    </row>
    <row r="63">
      <c r="A63" s="12">
        <v>45227.0</v>
      </c>
      <c r="B63" s="6" t="s">
        <v>17</v>
      </c>
      <c r="C63" s="2">
        <v>0.86</v>
      </c>
      <c r="D63" s="16">
        <f t="shared" si="3"/>
        <v>1.42</v>
      </c>
      <c r="E63" s="17">
        <f>D63/B1</f>
        <v>0.1183333333</v>
      </c>
      <c r="F63" s="16">
        <f t="shared" si="4"/>
        <v>3.93</v>
      </c>
      <c r="G63" s="17">
        <f>F63/B2</f>
        <v>0.262</v>
      </c>
      <c r="H63" s="15">
        <f t="shared" si="5"/>
        <v>0</v>
      </c>
      <c r="I63" s="14">
        <f>H63/B3</f>
        <v>0</v>
      </c>
      <c r="J63" s="2">
        <v>0.6</v>
      </c>
      <c r="K63" s="2">
        <v>0.6</v>
      </c>
      <c r="L63" s="2">
        <v>0.6</v>
      </c>
    </row>
    <row r="64">
      <c r="A64" s="12">
        <v>45227.0</v>
      </c>
      <c r="B64" s="6" t="s">
        <v>18</v>
      </c>
      <c r="C64" s="2">
        <v>0.88</v>
      </c>
      <c r="D64" s="16">
        <f t="shared" si="3"/>
        <v>1.42</v>
      </c>
      <c r="E64" s="17">
        <f>D64/B1</f>
        <v>0.1183333333</v>
      </c>
      <c r="F64" s="16">
        <f t="shared" si="4"/>
        <v>3.05</v>
      </c>
      <c r="G64" s="17">
        <f>F64/B2</f>
        <v>0.2033333333</v>
      </c>
      <c r="H64" s="15">
        <f t="shared" si="5"/>
        <v>0</v>
      </c>
      <c r="I64" s="14">
        <f>H64/B3</f>
        <v>0</v>
      </c>
      <c r="J64" s="2">
        <v>0.6</v>
      </c>
      <c r="K64" s="2">
        <v>0.6</v>
      </c>
      <c r="L64" s="2">
        <v>0.6</v>
      </c>
    </row>
    <row r="65">
      <c r="A65" s="12">
        <v>45227.0</v>
      </c>
      <c r="B65" s="6" t="s">
        <v>19</v>
      </c>
      <c r="C65" s="2">
        <v>0.0</v>
      </c>
      <c r="D65" s="16">
        <f t="shared" si="3"/>
        <v>1.42</v>
      </c>
      <c r="E65" s="17">
        <f>D65/B1</f>
        <v>0.1183333333</v>
      </c>
      <c r="F65" s="16">
        <f t="shared" si="4"/>
        <v>3.05</v>
      </c>
      <c r="G65" s="17">
        <f>F65/B2</f>
        <v>0.2033333333</v>
      </c>
      <c r="H65" s="15">
        <f t="shared" si="5"/>
        <v>0</v>
      </c>
      <c r="I65" s="14">
        <f>H65/B3</f>
        <v>0</v>
      </c>
      <c r="J65" s="2">
        <v>0.6</v>
      </c>
      <c r="K65" s="2">
        <v>0.6</v>
      </c>
      <c r="L65" s="2">
        <v>0.6</v>
      </c>
    </row>
    <row r="66">
      <c r="A66" s="12">
        <v>45228.0</v>
      </c>
      <c r="B66" s="6" t="s">
        <v>17</v>
      </c>
      <c r="C66" s="2">
        <v>0.52</v>
      </c>
      <c r="D66" s="16">
        <f t="shared" si="3"/>
        <v>0.9</v>
      </c>
      <c r="E66" s="17">
        <f>D66/B1</f>
        <v>0.075</v>
      </c>
      <c r="F66" s="16">
        <f t="shared" si="4"/>
        <v>3.05</v>
      </c>
      <c r="G66" s="17">
        <f>F66/B2</f>
        <v>0.2033333333</v>
      </c>
      <c r="H66" s="15">
        <f t="shared" si="5"/>
        <v>0</v>
      </c>
      <c r="I66" s="14">
        <f>H66/B3</f>
        <v>0</v>
      </c>
      <c r="J66" s="2">
        <v>0.6</v>
      </c>
      <c r="K66" s="2">
        <v>0.6</v>
      </c>
      <c r="L66" s="2">
        <v>0.6</v>
      </c>
    </row>
    <row r="67">
      <c r="A67" s="12">
        <v>45228.0</v>
      </c>
      <c r="B67" s="6" t="s">
        <v>18</v>
      </c>
      <c r="C67" s="2">
        <v>0.55</v>
      </c>
      <c r="D67" s="16">
        <f t="shared" si="3"/>
        <v>0.9</v>
      </c>
      <c r="E67" s="17">
        <f>D67/B1</f>
        <v>0.075</v>
      </c>
      <c r="F67" s="16">
        <f t="shared" si="4"/>
        <v>2.5</v>
      </c>
      <c r="G67" s="17">
        <f>F67/B2</f>
        <v>0.1666666667</v>
      </c>
      <c r="H67" s="15">
        <f t="shared" si="5"/>
        <v>0</v>
      </c>
      <c r="I67" s="14">
        <f>H67/B3</f>
        <v>0</v>
      </c>
      <c r="J67" s="2">
        <v>0.6</v>
      </c>
      <c r="K67" s="2">
        <v>0.6</v>
      </c>
      <c r="L67" s="2">
        <v>0.6</v>
      </c>
    </row>
    <row r="68">
      <c r="A68" s="12">
        <v>45228.0</v>
      </c>
      <c r="B68" s="6" t="s">
        <v>19</v>
      </c>
      <c r="C68" s="2">
        <v>0.0</v>
      </c>
      <c r="D68" s="16">
        <f t="shared" si="3"/>
        <v>0.9</v>
      </c>
      <c r="E68" s="17">
        <f>D68/B1</f>
        <v>0.075</v>
      </c>
      <c r="F68" s="16">
        <f t="shared" si="4"/>
        <v>2.5</v>
      </c>
      <c r="G68" s="17">
        <f>F68/B2</f>
        <v>0.1666666667</v>
      </c>
      <c r="H68" s="15">
        <f t="shared" si="5"/>
        <v>0</v>
      </c>
      <c r="I68" s="14">
        <f>H68/B3</f>
        <v>0</v>
      </c>
      <c r="J68" s="2">
        <v>0.6</v>
      </c>
      <c r="K68" s="2">
        <v>0.6</v>
      </c>
      <c r="L68" s="2">
        <v>0.6</v>
      </c>
    </row>
    <row r="69">
      <c r="A69" s="12">
        <v>45229.0</v>
      </c>
      <c r="B69" s="6" t="s">
        <v>17</v>
      </c>
      <c r="C69" s="2">
        <v>0.9</v>
      </c>
      <c r="D69" s="16">
        <f t="shared" si="3"/>
        <v>0</v>
      </c>
      <c r="E69" s="17">
        <f>D69/B1</f>
        <v>0</v>
      </c>
      <c r="F69" s="16">
        <f t="shared" si="4"/>
        <v>2.5</v>
      </c>
      <c r="G69" s="17">
        <f>F69/B2</f>
        <v>0.1666666667</v>
      </c>
      <c r="H69" s="15">
        <f t="shared" si="5"/>
        <v>0</v>
      </c>
      <c r="I69" s="14">
        <f>H69/B3</f>
        <v>0</v>
      </c>
      <c r="J69" s="2">
        <v>0.6</v>
      </c>
      <c r="K69" s="2">
        <v>0.6</v>
      </c>
      <c r="L69" s="2">
        <v>0.6</v>
      </c>
    </row>
    <row r="70">
      <c r="A70" s="12">
        <v>45229.0</v>
      </c>
      <c r="B70" s="6" t="s">
        <v>18</v>
      </c>
      <c r="C70" s="2">
        <v>0.73</v>
      </c>
      <c r="D70" s="16">
        <f t="shared" si="3"/>
        <v>0</v>
      </c>
      <c r="E70" s="17">
        <f>D70/B1</f>
        <v>0</v>
      </c>
      <c r="F70" s="16">
        <f t="shared" si="4"/>
        <v>1.77</v>
      </c>
      <c r="G70" s="17">
        <f>F70/B2</f>
        <v>0.118</v>
      </c>
      <c r="H70" s="15">
        <f t="shared" si="5"/>
        <v>0</v>
      </c>
      <c r="I70" s="14">
        <f>H70/B3</f>
        <v>0</v>
      </c>
      <c r="J70" s="2">
        <v>0.6</v>
      </c>
      <c r="K70" s="2">
        <v>0.6</v>
      </c>
      <c r="L70" s="2">
        <v>0.6</v>
      </c>
    </row>
    <row r="71">
      <c r="A71" s="12">
        <v>45229.0</v>
      </c>
      <c r="B71" s="6" t="s">
        <v>19</v>
      </c>
      <c r="C71" s="2">
        <v>0.0</v>
      </c>
      <c r="D71" s="16">
        <f t="shared" si="3"/>
        <v>0</v>
      </c>
      <c r="E71" s="17">
        <f>D71/B1</f>
        <v>0</v>
      </c>
      <c r="F71" s="16">
        <f t="shared" si="4"/>
        <v>1.77</v>
      </c>
      <c r="G71" s="17">
        <f>F71/B2</f>
        <v>0.118</v>
      </c>
      <c r="H71" s="15">
        <f t="shared" si="5"/>
        <v>0</v>
      </c>
      <c r="I71" s="14">
        <f>H71/B3</f>
        <v>0</v>
      </c>
      <c r="J71" s="2">
        <v>0.6</v>
      </c>
      <c r="K71" s="2">
        <v>0.6</v>
      </c>
      <c r="L71" s="2">
        <v>0.6</v>
      </c>
    </row>
    <row r="72">
      <c r="A72" s="12">
        <v>45230.0</v>
      </c>
      <c r="B72" s="6" t="s">
        <v>17</v>
      </c>
      <c r="C72" s="2">
        <v>0.0</v>
      </c>
      <c r="D72" s="16">
        <f t="shared" si="3"/>
        <v>0</v>
      </c>
      <c r="E72" s="17">
        <f>D72/B1</f>
        <v>0</v>
      </c>
      <c r="F72" s="16">
        <f t="shared" si="4"/>
        <v>1.77</v>
      </c>
      <c r="G72" s="17">
        <f>F72/B2</f>
        <v>0.118</v>
      </c>
      <c r="H72" s="15">
        <f t="shared" si="5"/>
        <v>0</v>
      </c>
      <c r="I72" s="14">
        <f>H72/B3</f>
        <v>0</v>
      </c>
      <c r="J72" s="2">
        <v>0.6</v>
      </c>
      <c r="K72" s="2">
        <v>0.6</v>
      </c>
      <c r="L72" s="2">
        <v>0.6</v>
      </c>
    </row>
    <row r="73">
      <c r="A73" s="12">
        <v>45230.0</v>
      </c>
      <c r="B73" s="6" t="s">
        <v>18</v>
      </c>
      <c r="C73" s="2">
        <v>1.77</v>
      </c>
      <c r="D73" s="16">
        <f t="shared" si="3"/>
        <v>0</v>
      </c>
      <c r="E73" s="17">
        <f>D73/B1</f>
        <v>0</v>
      </c>
      <c r="F73" s="16">
        <f t="shared" si="4"/>
        <v>0</v>
      </c>
      <c r="G73" s="17">
        <f>F73/B2</f>
        <v>0</v>
      </c>
      <c r="H73" s="15">
        <f t="shared" si="5"/>
        <v>0</v>
      </c>
      <c r="I73" s="14">
        <f>H73/B3</f>
        <v>0</v>
      </c>
      <c r="J73" s="2">
        <v>0.6</v>
      </c>
      <c r="K73" s="2">
        <v>0.6</v>
      </c>
      <c r="L73" s="2">
        <v>0.6</v>
      </c>
    </row>
    <row r="74">
      <c r="A74" s="12">
        <v>45230.0</v>
      </c>
      <c r="B74" s="6" t="s">
        <v>19</v>
      </c>
      <c r="C74" s="2">
        <v>0.0</v>
      </c>
      <c r="D74" s="16">
        <f t="shared" si="3"/>
        <v>0</v>
      </c>
      <c r="E74" s="17">
        <f>D74/B1</f>
        <v>0</v>
      </c>
      <c r="F74" s="16">
        <f t="shared" si="4"/>
        <v>0</v>
      </c>
      <c r="G74" s="17">
        <f>F74/B2</f>
        <v>0</v>
      </c>
      <c r="H74" s="15">
        <f t="shared" si="5"/>
        <v>0</v>
      </c>
      <c r="I74" s="14">
        <f>H74/B3</f>
        <v>0</v>
      </c>
      <c r="J74" s="2">
        <v>0.6</v>
      </c>
      <c r="K74" s="2">
        <v>0.6</v>
      </c>
      <c r="L74" s="2">
        <v>0.6</v>
      </c>
    </row>
    <row r="75">
      <c r="A75" s="12">
        <v>45231.0</v>
      </c>
      <c r="B75" s="6" t="s">
        <v>17</v>
      </c>
      <c r="C75" s="2">
        <v>0.0</v>
      </c>
      <c r="D75" s="16">
        <f t="shared" si="3"/>
        <v>0</v>
      </c>
      <c r="E75" s="17">
        <f>D75/B1</f>
        <v>0</v>
      </c>
      <c r="F75" s="16">
        <f t="shared" si="4"/>
        <v>0</v>
      </c>
      <c r="G75" s="17">
        <f>F75/B2</f>
        <v>0</v>
      </c>
      <c r="H75" s="15">
        <f t="shared" si="5"/>
        <v>0</v>
      </c>
      <c r="I75" s="14">
        <f>H75/B3</f>
        <v>0</v>
      </c>
      <c r="J75" s="2">
        <v>0.6</v>
      </c>
      <c r="K75" s="2">
        <v>0.6</v>
      </c>
      <c r="L75" s="2">
        <v>0.6</v>
      </c>
    </row>
    <row r="76">
      <c r="A76" s="12">
        <v>45231.0</v>
      </c>
      <c r="B76" s="6" t="s">
        <v>18</v>
      </c>
      <c r="C76" s="2">
        <v>0.0</v>
      </c>
      <c r="D76" s="16">
        <f t="shared" si="3"/>
        <v>0</v>
      </c>
      <c r="E76" s="17">
        <f>D76/B1</f>
        <v>0</v>
      </c>
      <c r="F76" s="16">
        <f t="shared" si="4"/>
        <v>0</v>
      </c>
      <c r="G76" s="17">
        <f>F76/B2</f>
        <v>0</v>
      </c>
      <c r="H76" s="15">
        <f t="shared" si="5"/>
        <v>0</v>
      </c>
      <c r="I76" s="14">
        <f>H76/B3</f>
        <v>0</v>
      </c>
      <c r="J76" s="2">
        <v>0.6</v>
      </c>
      <c r="K76" s="2">
        <v>0.6</v>
      </c>
      <c r="L76" s="2">
        <v>0.6</v>
      </c>
    </row>
    <row r="77">
      <c r="A77" s="12">
        <v>45231.0</v>
      </c>
      <c r="B77" s="6" t="s">
        <v>19</v>
      </c>
      <c r="C77" s="2">
        <v>0.0</v>
      </c>
      <c r="D77" s="16">
        <f t="shared" si="3"/>
        <v>0</v>
      </c>
      <c r="E77" s="17">
        <f>D77/B1</f>
        <v>0</v>
      </c>
      <c r="F77" s="16">
        <f t="shared" si="4"/>
        <v>0</v>
      </c>
      <c r="G77" s="17">
        <f>F77/B2</f>
        <v>0</v>
      </c>
      <c r="H77" s="15">
        <f t="shared" si="5"/>
        <v>0</v>
      </c>
      <c r="I77" s="14">
        <f>H77/B3</f>
        <v>0</v>
      </c>
      <c r="J77" s="2">
        <v>0.6</v>
      </c>
      <c r="K77" s="2">
        <v>0.6</v>
      </c>
      <c r="L77" s="2">
        <v>0.6</v>
      </c>
    </row>
    <row r="78">
      <c r="A78" s="12">
        <v>45232.0</v>
      </c>
      <c r="B78" s="6" t="s">
        <v>17</v>
      </c>
      <c r="C78" s="2">
        <v>0.0</v>
      </c>
      <c r="D78" s="16">
        <f t="shared" si="3"/>
        <v>0</v>
      </c>
      <c r="E78" s="17">
        <f>D78/B1</f>
        <v>0</v>
      </c>
      <c r="F78" s="16">
        <f t="shared" si="4"/>
        <v>0</v>
      </c>
      <c r="G78" s="17">
        <f>F78/B2</f>
        <v>0</v>
      </c>
      <c r="H78" s="15">
        <f t="shared" si="5"/>
        <v>0</v>
      </c>
      <c r="I78" s="14">
        <f>H78/B3</f>
        <v>0</v>
      </c>
      <c r="J78" s="2">
        <v>0.3</v>
      </c>
      <c r="K78" s="2">
        <v>0.3</v>
      </c>
      <c r="L78" s="2">
        <v>0.3</v>
      </c>
    </row>
    <row r="79">
      <c r="A79" s="12">
        <v>45232.0</v>
      </c>
      <c r="B79" s="6" t="s">
        <v>18</v>
      </c>
      <c r="C79" s="2">
        <v>0.0</v>
      </c>
      <c r="D79" s="16">
        <f t="shared" si="3"/>
        <v>0</v>
      </c>
      <c r="E79" s="17">
        <f>D79/B1</f>
        <v>0</v>
      </c>
      <c r="F79" s="16">
        <f t="shared" si="4"/>
        <v>0</v>
      </c>
      <c r="G79" s="17">
        <f>F79/B2</f>
        <v>0</v>
      </c>
      <c r="H79" s="15">
        <f t="shared" si="5"/>
        <v>0</v>
      </c>
      <c r="I79" s="14">
        <f>H79/B3</f>
        <v>0</v>
      </c>
      <c r="J79" s="2">
        <v>0.3</v>
      </c>
      <c r="K79" s="2">
        <v>0.3</v>
      </c>
      <c r="L79" s="2">
        <v>0.3</v>
      </c>
    </row>
    <row r="80">
      <c r="A80" s="12">
        <v>45232.0</v>
      </c>
      <c r="B80" s="6" t="s">
        <v>19</v>
      </c>
      <c r="C80" s="2">
        <v>0.0</v>
      </c>
      <c r="D80" s="16">
        <f t="shared" si="3"/>
        <v>0</v>
      </c>
      <c r="E80" s="17">
        <f>D80/B1</f>
        <v>0</v>
      </c>
      <c r="F80" s="16">
        <f t="shared" si="4"/>
        <v>0</v>
      </c>
      <c r="G80" s="17">
        <f>F80/B2</f>
        <v>0</v>
      </c>
      <c r="H80" s="15">
        <f t="shared" si="5"/>
        <v>0</v>
      </c>
      <c r="I80" s="14">
        <f>H80/B3</f>
        <v>0</v>
      </c>
      <c r="J80" s="2">
        <v>0.3</v>
      </c>
      <c r="K80" s="2">
        <v>0.3</v>
      </c>
      <c r="L80" s="2">
        <v>0.3</v>
      </c>
    </row>
    <row r="81">
      <c r="A81" s="12">
        <v>45233.0</v>
      </c>
      <c r="B81" s="6" t="s">
        <v>17</v>
      </c>
      <c r="C81" s="2">
        <v>0.0</v>
      </c>
      <c r="D81" s="16">
        <f t="shared" si="3"/>
        <v>0</v>
      </c>
      <c r="E81" s="17">
        <f>D81/B1</f>
        <v>0</v>
      </c>
      <c r="F81" s="16">
        <f t="shared" si="4"/>
        <v>0</v>
      </c>
      <c r="G81" s="17">
        <f>F81/B2</f>
        <v>0</v>
      </c>
      <c r="H81" s="15">
        <f t="shared" si="5"/>
        <v>0</v>
      </c>
      <c r="I81" s="14">
        <f>H81/B3</f>
        <v>0</v>
      </c>
      <c r="J81" s="2">
        <v>0.3</v>
      </c>
      <c r="K81" s="2">
        <v>0.3</v>
      </c>
      <c r="L81" s="2">
        <v>0.3</v>
      </c>
    </row>
    <row r="82">
      <c r="A82" s="12">
        <v>45233.0</v>
      </c>
      <c r="B82" s="6" t="s">
        <v>18</v>
      </c>
      <c r="C82" s="2">
        <v>0.0</v>
      </c>
      <c r="D82" s="16">
        <f t="shared" si="3"/>
        <v>0</v>
      </c>
      <c r="E82" s="17">
        <f>D82/B1</f>
        <v>0</v>
      </c>
      <c r="F82" s="16">
        <f t="shared" si="4"/>
        <v>0</v>
      </c>
      <c r="G82" s="17">
        <f>F82/B2</f>
        <v>0</v>
      </c>
      <c r="H82" s="15">
        <f t="shared" si="5"/>
        <v>0</v>
      </c>
      <c r="I82" s="14">
        <f>H82/B3</f>
        <v>0</v>
      </c>
      <c r="J82" s="2">
        <v>0.3</v>
      </c>
      <c r="K82" s="2">
        <v>0.3</v>
      </c>
      <c r="L82" s="2">
        <v>0.3</v>
      </c>
    </row>
    <row r="83">
      <c r="A83" s="12">
        <v>45233.0</v>
      </c>
      <c r="B83" s="6" t="s">
        <v>19</v>
      </c>
      <c r="C83" s="2">
        <v>0.0</v>
      </c>
      <c r="D83" s="16">
        <f t="shared" si="3"/>
        <v>0</v>
      </c>
      <c r="E83" s="17">
        <f>D83/B1</f>
        <v>0</v>
      </c>
      <c r="F83" s="16">
        <f t="shared" si="4"/>
        <v>0</v>
      </c>
      <c r="G83" s="17">
        <f>F83/B2</f>
        <v>0</v>
      </c>
      <c r="H83" s="15">
        <f t="shared" si="5"/>
        <v>0</v>
      </c>
      <c r="I83" s="14">
        <f>H83/B3</f>
        <v>0</v>
      </c>
      <c r="J83" s="2">
        <v>0.3</v>
      </c>
      <c r="K83" s="2">
        <v>0.3</v>
      </c>
      <c r="L83" s="2">
        <v>0.3</v>
      </c>
    </row>
    <row r="84">
      <c r="A84" s="12">
        <v>45234.0</v>
      </c>
      <c r="B84" s="6" t="s">
        <v>17</v>
      </c>
      <c r="C84" s="2">
        <v>0.0</v>
      </c>
      <c r="D84" s="16">
        <f t="shared" si="3"/>
        <v>0</v>
      </c>
      <c r="E84" s="17">
        <f>D84/B1</f>
        <v>0</v>
      </c>
      <c r="F84" s="16">
        <f t="shared" si="4"/>
        <v>0</v>
      </c>
      <c r="G84" s="17">
        <f>F84/B2</f>
        <v>0</v>
      </c>
      <c r="H84" s="15">
        <f t="shared" si="5"/>
        <v>0</v>
      </c>
      <c r="I84" s="14">
        <f>H84/B3</f>
        <v>0</v>
      </c>
      <c r="J84" s="2">
        <v>0.0</v>
      </c>
      <c r="K84" s="2">
        <v>0.0</v>
      </c>
      <c r="L84" s="2">
        <v>0.0</v>
      </c>
    </row>
    <row r="85">
      <c r="A85" s="12">
        <v>45234.0</v>
      </c>
      <c r="B85" s="6" t="s">
        <v>18</v>
      </c>
      <c r="C85" s="2">
        <v>0.0</v>
      </c>
      <c r="D85" s="16">
        <f t="shared" si="3"/>
        <v>0</v>
      </c>
      <c r="E85" s="17">
        <f>D85/B1</f>
        <v>0</v>
      </c>
      <c r="F85" s="16">
        <f t="shared" si="4"/>
        <v>0</v>
      </c>
      <c r="G85" s="17">
        <f>F85/B2</f>
        <v>0</v>
      </c>
      <c r="H85" s="15">
        <f t="shared" si="5"/>
        <v>0</v>
      </c>
      <c r="I85" s="14">
        <f>H85/B3</f>
        <v>0</v>
      </c>
      <c r="J85" s="2">
        <v>0.0</v>
      </c>
      <c r="K85" s="2">
        <v>0.0</v>
      </c>
      <c r="L85" s="2">
        <v>0.0</v>
      </c>
    </row>
    <row r="86">
      <c r="A86" s="12">
        <v>45234.0</v>
      </c>
      <c r="B86" s="6" t="s">
        <v>19</v>
      </c>
      <c r="C86" s="2">
        <v>0.0</v>
      </c>
      <c r="D86" s="16">
        <f t="shared" si="3"/>
        <v>0</v>
      </c>
      <c r="E86" s="17">
        <f>D86/B1</f>
        <v>0</v>
      </c>
      <c r="F86" s="16">
        <f t="shared" si="4"/>
        <v>0</v>
      </c>
      <c r="G86" s="17">
        <f>F86/B2</f>
        <v>0</v>
      </c>
      <c r="H86" s="15">
        <f t="shared" si="5"/>
        <v>0</v>
      </c>
      <c r="I86" s="14">
        <f>H86/B3</f>
        <v>0</v>
      </c>
      <c r="J86" s="2">
        <v>0.0</v>
      </c>
      <c r="K86" s="2">
        <v>0.0</v>
      </c>
      <c r="L86" s="2">
        <v>0.0</v>
      </c>
    </row>
    <row r="87">
      <c r="B87" s="19"/>
    </row>
    <row r="88">
      <c r="B88" s="19"/>
    </row>
    <row r="89">
      <c r="B89" s="19"/>
    </row>
    <row r="90">
      <c r="B90" s="19"/>
    </row>
    <row r="91">
      <c r="B91" s="19"/>
    </row>
    <row r="92">
      <c r="B92" s="19"/>
    </row>
    <row r="93">
      <c r="B93" s="19"/>
    </row>
  </sheetData>
  <dataValidations>
    <dataValidation type="list" allowBlank="1" showErrorMessage="1" sqref="B6:B93">
      <formula1>"Hindu Kush,Gorilla Glue #4,Blueberry Haze"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1.5"/>
    <col customWidth="1" min="2" max="2" width="20.0"/>
    <col customWidth="1" min="3" max="3" width="10.25"/>
    <col customWidth="1" min="4" max="4" width="17.0"/>
    <col customWidth="1" min="5" max="5" width="15.0"/>
    <col customWidth="1" min="6" max="6" width="17.0"/>
    <col customWidth="1" min="7" max="7" width="16.13"/>
    <col customWidth="1" min="8" max="9" width="16.38"/>
    <col customWidth="1" min="10" max="10" width="12.63"/>
    <col customWidth="1" min="11" max="11" width="14.88"/>
    <col customWidth="1" min="12" max="12" width="13.0"/>
  </cols>
  <sheetData>
    <row r="1">
      <c r="A1" s="1" t="s">
        <v>0</v>
      </c>
      <c r="B1" s="2">
        <v>12.0</v>
      </c>
      <c r="C1" s="3" t="str">
        <f>D95</f>
        <v/>
      </c>
      <c r="D1" s="5">
        <f t="shared" ref="D1:D4" si="1">C1/B1</f>
        <v>0</v>
      </c>
      <c r="G1" s="1" t="s">
        <v>1</v>
      </c>
      <c r="H1" s="3">
        <f>IFERROR(__xludf.DUMMYFUNCTION("COUNTUNIQUE(A6:A83)"),26.0)</f>
        <v>26</v>
      </c>
      <c r="I1" s="3"/>
      <c r="J1" s="6"/>
      <c r="K1" s="3"/>
      <c r="L1" s="3"/>
      <c r="M1" s="7"/>
      <c r="N1" s="7"/>
    </row>
    <row r="2">
      <c r="A2" s="1" t="s">
        <v>3</v>
      </c>
      <c r="B2" s="2">
        <v>15.0</v>
      </c>
      <c r="C2" s="4" t="str">
        <f>F95</f>
        <v/>
      </c>
      <c r="D2" s="5">
        <f t="shared" si="1"/>
        <v>0</v>
      </c>
      <c r="G2" s="1" t="s">
        <v>5</v>
      </c>
      <c r="H2" s="3">
        <f>(B1+B2+B3)/F4</f>
        <v>26</v>
      </c>
      <c r="I2" s="3"/>
      <c r="J2" s="3"/>
      <c r="K2" s="3"/>
      <c r="L2" s="3"/>
      <c r="M2" s="7"/>
      <c r="N2" s="7"/>
    </row>
    <row r="3">
      <c r="A3" s="1" t="s">
        <v>6</v>
      </c>
      <c r="B3" s="2">
        <v>10.0</v>
      </c>
      <c r="C3" s="4" t="str">
        <f>H95</f>
        <v/>
      </c>
      <c r="D3" s="8">
        <f t="shared" si="1"/>
        <v>0</v>
      </c>
      <c r="E3" s="3"/>
      <c r="F3" s="6"/>
      <c r="G3" s="3"/>
      <c r="H3" s="3"/>
      <c r="I3" s="3"/>
      <c r="J3" s="3"/>
      <c r="K3" s="3"/>
      <c r="L3" s="3"/>
      <c r="M3" s="7"/>
      <c r="N3" s="7"/>
    </row>
    <row r="4">
      <c r="A4" s="3"/>
      <c r="B4" s="9">
        <f t="shared" ref="B4:C4" si="2">SUM(B1:B3)</f>
        <v>37</v>
      </c>
      <c r="C4" s="11">
        <f t="shared" si="2"/>
        <v>0</v>
      </c>
      <c r="D4" s="5">
        <f t="shared" si="1"/>
        <v>0</v>
      </c>
      <c r="E4" s="1" t="s">
        <v>7</v>
      </c>
      <c r="F4" s="3">
        <f>SUM(C6:C83)/H1</f>
        <v>1.423076923</v>
      </c>
      <c r="G4" s="3"/>
      <c r="H4" s="3"/>
      <c r="I4" s="3"/>
      <c r="J4" s="3"/>
      <c r="K4" s="3"/>
      <c r="L4" s="3"/>
      <c r="M4" s="7"/>
      <c r="N4" s="7"/>
    </row>
    <row r="5">
      <c r="A5" s="10" t="s">
        <v>8</v>
      </c>
      <c r="B5" s="10" t="s">
        <v>9</v>
      </c>
      <c r="C5" s="10" t="s">
        <v>10</v>
      </c>
      <c r="D5" s="10" t="s">
        <v>11</v>
      </c>
      <c r="E5" s="10" t="s">
        <v>11</v>
      </c>
      <c r="F5" s="10" t="s">
        <v>12</v>
      </c>
      <c r="G5" s="10" t="s">
        <v>12</v>
      </c>
      <c r="H5" s="10" t="s">
        <v>13</v>
      </c>
      <c r="I5" s="10" t="s">
        <v>13</v>
      </c>
      <c r="J5" s="10" t="s">
        <v>14</v>
      </c>
      <c r="K5" s="10" t="s">
        <v>15</v>
      </c>
      <c r="L5" s="10" t="s">
        <v>16</v>
      </c>
      <c r="M5" s="7"/>
      <c r="N5" s="7"/>
    </row>
    <row r="6">
      <c r="A6" s="12">
        <v>45234.0</v>
      </c>
      <c r="B6" s="6" t="s">
        <v>17</v>
      </c>
      <c r="C6" s="2">
        <v>0.0</v>
      </c>
      <c r="D6" s="4">
        <f>IF(B6="Hindu Kush",B1-C6,B1)</f>
        <v>12</v>
      </c>
      <c r="E6" s="13">
        <f>D6/B1</f>
        <v>1</v>
      </c>
      <c r="F6" s="2">
        <f>IF(B6="Gorilla Glue #4",B2-C6,B2)</f>
        <v>15</v>
      </c>
      <c r="G6" s="14">
        <f>F6/B2</f>
        <v>1</v>
      </c>
      <c r="H6" s="15">
        <f>IF(B6="Blueberry Haze",B3-C6,B3)</f>
        <v>10</v>
      </c>
      <c r="I6" s="14">
        <f>H6/B3</f>
        <v>1</v>
      </c>
      <c r="J6" s="2">
        <v>0.0</v>
      </c>
      <c r="K6" s="2">
        <v>0.0</v>
      </c>
      <c r="L6" s="2">
        <v>0.0</v>
      </c>
      <c r="M6" s="7"/>
      <c r="N6" s="7"/>
    </row>
    <row r="7">
      <c r="A7" s="12">
        <v>45234.0</v>
      </c>
      <c r="B7" s="6" t="s">
        <v>18</v>
      </c>
      <c r="C7" s="2">
        <v>2.0</v>
      </c>
      <c r="D7" s="16">
        <f t="shared" ref="D7:D83" si="3">IF(B7="Hindu Kush",D6-C7,D6)</f>
        <v>12</v>
      </c>
      <c r="E7" s="17">
        <f>D7/B1</f>
        <v>1</v>
      </c>
      <c r="F7" s="16">
        <f t="shared" ref="F7:F83" si="4">IF(B7="Gorilla Glue #4",F6-C7,F6)</f>
        <v>13</v>
      </c>
      <c r="G7" s="17">
        <f>F7/B2</f>
        <v>0.8666666667</v>
      </c>
      <c r="H7" s="15">
        <f t="shared" ref="H7:H83" si="5">IF(B7="Blueberry Haze",H6-C7,H6)</f>
        <v>10</v>
      </c>
      <c r="I7" s="14">
        <f>H7/B3</f>
        <v>1</v>
      </c>
      <c r="J7" s="2">
        <v>0.0</v>
      </c>
      <c r="K7" s="2">
        <v>0.6</v>
      </c>
      <c r="L7" s="2">
        <v>0.0</v>
      </c>
      <c r="M7" s="7"/>
      <c r="N7" s="7"/>
    </row>
    <row r="8">
      <c r="A8" s="12">
        <v>45234.0</v>
      </c>
      <c r="B8" s="6" t="s">
        <v>19</v>
      </c>
      <c r="C8" s="2">
        <v>0.0</v>
      </c>
      <c r="D8" s="16">
        <f t="shared" si="3"/>
        <v>12</v>
      </c>
      <c r="E8" s="17">
        <f>D8/B1</f>
        <v>1</v>
      </c>
      <c r="F8" s="16">
        <f t="shared" si="4"/>
        <v>13</v>
      </c>
      <c r="G8" s="17">
        <f>F8/B2</f>
        <v>0.8666666667</v>
      </c>
      <c r="H8" s="15">
        <f t="shared" si="5"/>
        <v>10</v>
      </c>
      <c r="I8" s="14">
        <f>H8/B3</f>
        <v>1</v>
      </c>
      <c r="J8" s="2">
        <v>0.0</v>
      </c>
      <c r="K8" s="2">
        <v>0.6</v>
      </c>
      <c r="L8" s="2">
        <v>0.0</v>
      </c>
      <c r="M8" s="7"/>
      <c r="N8" s="7"/>
    </row>
    <row r="9">
      <c r="A9" s="12">
        <v>45235.0</v>
      </c>
      <c r="B9" s="6" t="s">
        <v>17</v>
      </c>
      <c r="C9" s="2">
        <v>0.0</v>
      </c>
      <c r="D9" s="16">
        <f t="shared" si="3"/>
        <v>12</v>
      </c>
      <c r="E9" s="17">
        <f>D9/B1</f>
        <v>1</v>
      </c>
      <c r="F9" s="16">
        <f t="shared" si="4"/>
        <v>13</v>
      </c>
      <c r="G9" s="17">
        <f>F9/B2</f>
        <v>0.8666666667</v>
      </c>
      <c r="H9" s="15">
        <f t="shared" si="5"/>
        <v>10</v>
      </c>
      <c r="I9" s="14">
        <f>H9/B3</f>
        <v>1</v>
      </c>
      <c r="J9" s="2">
        <v>0.0</v>
      </c>
      <c r="K9" s="2">
        <v>0.6</v>
      </c>
      <c r="L9" s="2">
        <v>0.0</v>
      </c>
      <c r="M9" s="7"/>
      <c r="N9" s="7"/>
    </row>
    <row r="10">
      <c r="A10" s="12">
        <v>45235.0</v>
      </c>
      <c r="B10" s="6" t="s">
        <v>18</v>
      </c>
      <c r="C10" s="2">
        <v>1.43</v>
      </c>
      <c r="D10" s="16">
        <f t="shared" si="3"/>
        <v>12</v>
      </c>
      <c r="E10" s="17">
        <f>D10/B1</f>
        <v>1</v>
      </c>
      <c r="F10" s="16">
        <f t="shared" si="4"/>
        <v>11.57</v>
      </c>
      <c r="G10" s="17">
        <f>F10/B2</f>
        <v>0.7713333333</v>
      </c>
      <c r="H10" s="15">
        <f t="shared" si="5"/>
        <v>10</v>
      </c>
      <c r="I10" s="14">
        <f>H10/B3</f>
        <v>1</v>
      </c>
      <c r="J10" s="2">
        <v>0.0</v>
      </c>
      <c r="K10" s="2">
        <v>0.6</v>
      </c>
      <c r="L10" s="2">
        <v>0.0</v>
      </c>
      <c r="M10" s="7"/>
      <c r="N10" s="7"/>
    </row>
    <row r="11">
      <c r="A11" s="12">
        <v>45235.0</v>
      </c>
      <c r="B11" s="6" t="s">
        <v>19</v>
      </c>
      <c r="C11" s="2">
        <v>0.0</v>
      </c>
      <c r="D11" s="16">
        <f t="shared" si="3"/>
        <v>12</v>
      </c>
      <c r="E11" s="17">
        <f>D11/B1</f>
        <v>1</v>
      </c>
      <c r="F11" s="16">
        <f t="shared" si="4"/>
        <v>11.57</v>
      </c>
      <c r="G11" s="17">
        <f>F11/B2</f>
        <v>0.7713333333</v>
      </c>
      <c r="H11" s="15">
        <f t="shared" si="5"/>
        <v>10</v>
      </c>
      <c r="I11" s="14">
        <f>H11/B3</f>
        <v>1</v>
      </c>
      <c r="J11" s="2">
        <v>0.0</v>
      </c>
      <c r="K11" s="2">
        <v>0.6</v>
      </c>
      <c r="L11" s="2">
        <v>0.0</v>
      </c>
      <c r="M11" s="7"/>
      <c r="N11" s="7"/>
    </row>
    <row r="12">
      <c r="A12" s="12">
        <v>45236.0</v>
      </c>
      <c r="B12" s="6" t="s">
        <v>17</v>
      </c>
      <c r="C12" s="2">
        <v>0.0</v>
      </c>
      <c r="D12" s="16">
        <f t="shared" si="3"/>
        <v>12</v>
      </c>
      <c r="E12" s="17">
        <f>D12/B1</f>
        <v>1</v>
      </c>
      <c r="F12" s="16">
        <f t="shared" si="4"/>
        <v>11.57</v>
      </c>
      <c r="G12" s="17">
        <f>F12/B2</f>
        <v>0.7713333333</v>
      </c>
      <c r="H12" s="15">
        <f t="shared" si="5"/>
        <v>10</v>
      </c>
      <c r="I12" s="14">
        <f>H12/B3</f>
        <v>1</v>
      </c>
      <c r="J12" s="2">
        <v>0.0</v>
      </c>
      <c r="K12" s="2">
        <v>0.6</v>
      </c>
      <c r="L12" s="2">
        <v>0.0</v>
      </c>
      <c r="M12" s="7"/>
      <c r="N12" s="7"/>
    </row>
    <row r="13">
      <c r="A13" s="12">
        <v>45236.0</v>
      </c>
      <c r="B13" s="6" t="s">
        <v>18</v>
      </c>
      <c r="C13" s="2">
        <v>1.44</v>
      </c>
      <c r="D13" s="16">
        <f t="shared" si="3"/>
        <v>12</v>
      </c>
      <c r="E13" s="17">
        <f>D13/B1</f>
        <v>1</v>
      </c>
      <c r="F13" s="16">
        <f t="shared" si="4"/>
        <v>10.13</v>
      </c>
      <c r="G13" s="17">
        <f>F13/B2</f>
        <v>0.6753333333</v>
      </c>
      <c r="H13" s="15">
        <f t="shared" si="5"/>
        <v>10</v>
      </c>
      <c r="I13" s="14">
        <f>H13/B3</f>
        <v>1</v>
      </c>
      <c r="J13" s="2">
        <v>0.0</v>
      </c>
      <c r="K13" s="2">
        <v>0.6</v>
      </c>
      <c r="L13" s="2">
        <v>0.0</v>
      </c>
      <c r="M13" s="7"/>
      <c r="N13" s="7"/>
    </row>
    <row r="14">
      <c r="A14" s="12">
        <v>45236.0</v>
      </c>
      <c r="B14" s="6" t="s">
        <v>19</v>
      </c>
      <c r="C14" s="2">
        <v>0.0</v>
      </c>
      <c r="D14" s="16">
        <f t="shared" si="3"/>
        <v>12</v>
      </c>
      <c r="E14" s="17">
        <f>D14/B1</f>
        <v>1</v>
      </c>
      <c r="F14" s="16">
        <f t="shared" si="4"/>
        <v>10.13</v>
      </c>
      <c r="G14" s="17">
        <f>F14/B2</f>
        <v>0.6753333333</v>
      </c>
      <c r="H14" s="15">
        <f t="shared" si="5"/>
        <v>10</v>
      </c>
      <c r="I14" s="14">
        <f>H14/B3</f>
        <v>1</v>
      </c>
      <c r="J14" s="2">
        <v>0.0</v>
      </c>
      <c r="K14" s="2">
        <v>0.6</v>
      </c>
      <c r="L14" s="2">
        <v>0.0</v>
      </c>
      <c r="M14" s="7"/>
      <c r="N14" s="7"/>
    </row>
    <row r="15">
      <c r="A15" s="12">
        <v>45237.0</v>
      </c>
      <c r="B15" s="6" t="s">
        <v>17</v>
      </c>
      <c r="C15" s="2">
        <v>0.0</v>
      </c>
      <c r="D15" s="16">
        <f t="shared" si="3"/>
        <v>12</v>
      </c>
      <c r="E15" s="17">
        <f>D15/B1</f>
        <v>1</v>
      </c>
      <c r="F15" s="16">
        <f t="shared" si="4"/>
        <v>10.13</v>
      </c>
      <c r="G15" s="17">
        <f>F15/B2</f>
        <v>0.6753333333</v>
      </c>
      <c r="H15" s="15">
        <f t="shared" si="5"/>
        <v>10</v>
      </c>
      <c r="I15" s="14">
        <f>H15/B3</f>
        <v>1</v>
      </c>
      <c r="J15" s="2">
        <v>0.0</v>
      </c>
      <c r="K15" s="2">
        <v>0.6</v>
      </c>
      <c r="L15" s="2">
        <v>0.0</v>
      </c>
      <c r="M15" s="7"/>
      <c r="N15" s="7"/>
    </row>
    <row r="16">
      <c r="A16" s="12">
        <v>45237.0</v>
      </c>
      <c r="B16" s="6" t="s">
        <v>18</v>
      </c>
      <c r="C16" s="2">
        <v>1.43</v>
      </c>
      <c r="D16" s="16">
        <f t="shared" si="3"/>
        <v>12</v>
      </c>
      <c r="E16" s="17">
        <f>D16/B1</f>
        <v>1</v>
      </c>
      <c r="F16" s="16">
        <f t="shared" si="4"/>
        <v>8.7</v>
      </c>
      <c r="G16" s="17">
        <f>F16/B2</f>
        <v>0.58</v>
      </c>
      <c r="H16" s="15">
        <f t="shared" si="5"/>
        <v>10</v>
      </c>
      <c r="I16" s="14">
        <f>H16/B3</f>
        <v>1</v>
      </c>
      <c r="J16" s="2">
        <v>0.0</v>
      </c>
      <c r="K16" s="2">
        <v>0.6</v>
      </c>
      <c r="L16" s="2">
        <v>0.0</v>
      </c>
      <c r="M16" s="7"/>
      <c r="N16" s="7"/>
    </row>
    <row r="17">
      <c r="A17" s="12">
        <v>45237.0</v>
      </c>
      <c r="B17" s="6" t="s">
        <v>19</v>
      </c>
      <c r="C17" s="2">
        <v>0.0</v>
      </c>
      <c r="D17" s="16">
        <f t="shared" si="3"/>
        <v>12</v>
      </c>
      <c r="E17" s="17">
        <f>D17/B1</f>
        <v>1</v>
      </c>
      <c r="F17" s="16">
        <f t="shared" si="4"/>
        <v>8.7</v>
      </c>
      <c r="G17" s="17">
        <f>F17/B2</f>
        <v>0.58</v>
      </c>
      <c r="H17" s="15">
        <f t="shared" si="5"/>
        <v>10</v>
      </c>
      <c r="I17" s="14">
        <f>H17/B3</f>
        <v>1</v>
      </c>
      <c r="J17" s="2">
        <v>0.0</v>
      </c>
      <c r="K17" s="2">
        <v>0.6</v>
      </c>
      <c r="L17" s="2">
        <v>0.0</v>
      </c>
      <c r="M17" s="7"/>
      <c r="N17" s="7"/>
    </row>
    <row r="18">
      <c r="A18" s="12">
        <v>45238.0</v>
      </c>
      <c r="B18" s="6" t="s">
        <v>17</v>
      </c>
      <c r="C18" s="2">
        <v>0.0</v>
      </c>
      <c r="D18" s="16">
        <f t="shared" si="3"/>
        <v>12</v>
      </c>
      <c r="E18" s="17">
        <f>D18/B1</f>
        <v>1</v>
      </c>
      <c r="F18" s="16">
        <f t="shared" si="4"/>
        <v>8.7</v>
      </c>
      <c r="G18" s="17">
        <f>F18/B2</f>
        <v>0.58</v>
      </c>
      <c r="H18" s="15">
        <f t="shared" si="5"/>
        <v>10</v>
      </c>
      <c r="I18" s="14">
        <f>H18/B3</f>
        <v>1</v>
      </c>
      <c r="J18" s="2">
        <v>0.0</v>
      </c>
      <c r="K18" s="2">
        <v>0.6</v>
      </c>
      <c r="L18" s="2">
        <v>0.0</v>
      </c>
      <c r="M18" s="7"/>
      <c r="N18" s="7"/>
    </row>
    <row r="19">
      <c r="A19" s="12">
        <v>45238.0</v>
      </c>
      <c r="B19" s="6" t="s">
        <v>18</v>
      </c>
      <c r="C19" s="2">
        <v>1.38</v>
      </c>
      <c r="D19" s="16">
        <f t="shared" si="3"/>
        <v>12</v>
      </c>
      <c r="E19" s="17">
        <f>D19/B1</f>
        <v>1</v>
      </c>
      <c r="F19" s="16">
        <f t="shared" si="4"/>
        <v>7.32</v>
      </c>
      <c r="G19" s="17">
        <f>F19/B2</f>
        <v>0.488</v>
      </c>
      <c r="H19" s="15">
        <f t="shared" si="5"/>
        <v>10</v>
      </c>
      <c r="I19" s="14">
        <f>H19/B3</f>
        <v>1</v>
      </c>
      <c r="J19" s="2">
        <v>0.0</v>
      </c>
      <c r="K19" s="2">
        <v>0.6</v>
      </c>
      <c r="L19" s="2">
        <v>0.0</v>
      </c>
      <c r="M19" s="7"/>
      <c r="N19" s="7"/>
    </row>
    <row r="20">
      <c r="A20" s="12">
        <v>45238.0</v>
      </c>
      <c r="B20" s="6" t="s">
        <v>19</v>
      </c>
      <c r="C20" s="2">
        <v>0.0</v>
      </c>
      <c r="D20" s="16">
        <f t="shared" si="3"/>
        <v>12</v>
      </c>
      <c r="E20" s="17">
        <f>D20/B1</f>
        <v>1</v>
      </c>
      <c r="F20" s="16">
        <f t="shared" si="4"/>
        <v>7.32</v>
      </c>
      <c r="G20" s="17">
        <f>F20/B2</f>
        <v>0.488</v>
      </c>
      <c r="H20" s="15">
        <f t="shared" si="5"/>
        <v>10</v>
      </c>
      <c r="I20" s="14">
        <f>H20/B3</f>
        <v>1</v>
      </c>
      <c r="J20" s="2">
        <v>0.0</v>
      </c>
      <c r="K20" s="2">
        <v>0.6</v>
      </c>
      <c r="L20" s="2">
        <v>0.0</v>
      </c>
      <c r="M20" s="7"/>
      <c r="N20" s="7"/>
    </row>
    <row r="21">
      <c r="A21" s="12">
        <v>45239.0</v>
      </c>
      <c r="B21" s="6" t="s">
        <v>17</v>
      </c>
      <c r="C21" s="2">
        <v>1.42</v>
      </c>
      <c r="D21" s="16">
        <f t="shared" si="3"/>
        <v>10.58</v>
      </c>
      <c r="E21" s="17">
        <f>D21/B1</f>
        <v>0.8816666667</v>
      </c>
      <c r="F21" s="16">
        <f t="shared" si="4"/>
        <v>7.32</v>
      </c>
      <c r="G21" s="17">
        <f>F21/B2</f>
        <v>0.488</v>
      </c>
      <c r="H21" s="15">
        <f t="shared" si="5"/>
        <v>10</v>
      </c>
      <c r="I21" s="14">
        <f>H21/B3</f>
        <v>1</v>
      </c>
      <c r="J21" s="2">
        <v>0.6</v>
      </c>
      <c r="K21" s="2">
        <v>0.6</v>
      </c>
      <c r="L21" s="2">
        <v>0.6</v>
      </c>
      <c r="M21" s="7"/>
      <c r="N21" s="7"/>
    </row>
    <row r="22">
      <c r="A22" s="12">
        <v>45239.0</v>
      </c>
      <c r="B22" s="6" t="s">
        <v>18</v>
      </c>
      <c r="C22" s="2">
        <v>0.0</v>
      </c>
      <c r="D22" s="16">
        <f t="shared" si="3"/>
        <v>10.58</v>
      </c>
      <c r="E22" s="17">
        <f>D22/B1</f>
        <v>0.8816666667</v>
      </c>
      <c r="F22" s="16">
        <f t="shared" si="4"/>
        <v>7.32</v>
      </c>
      <c r="G22" s="17">
        <f>F22/B2</f>
        <v>0.488</v>
      </c>
      <c r="H22" s="15">
        <f t="shared" si="5"/>
        <v>10</v>
      </c>
      <c r="I22" s="14">
        <f>H22/B3</f>
        <v>1</v>
      </c>
      <c r="J22" s="2">
        <v>0.6</v>
      </c>
      <c r="K22" s="2">
        <v>0.6</v>
      </c>
      <c r="L22" s="2">
        <v>0.6</v>
      </c>
      <c r="M22" s="7"/>
      <c r="N22" s="7"/>
    </row>
    <row r="23">
      <c r="A23" s="12">
        <v>45239.0</v>
      </c>
      <c r="B23" s="6" t="s">
        <v>19</v>
      </c>
      <c r="C23" s="2">
        <v>1.39</v>
      </c>
      <c r="D23" s="16">
        <f t="shared" si="3"/>
        <v>10.58</v>
      </c>
      <c r="E23" s="17">
        <f>D23/B1</f>
        <v>0.8816666667</v>
      </c>
      <c r="F23" s="16">
        <f t="shared" si="4"/>
        <v>7.32</v>
      </c>
      <c r="G23" s="17">
        <f>F23/B2</f>
        <v>0.488</v>
      </c>
      <c r="H23" s="15">
        <f t="shared" si="5"/>
        <v>8.61</v>
      </c>
      <c r="I23" s="14">
        <f>H23/B3</f>
        <v>0.861</v>
      </c>
      <c r="J23" s="2">
        <v>0.6</v>
      </c>
      <c r="K23" s="2">
        <v>0.6</v>
      </c>
      <c r="L23" s="2">
        <v>0.6</v>
      </c>
      <c r="M23" s="7"/>
      <c r="N23" s="7"/>
    </row>
    <row r="24">
      <c r="A24" s="12">
        <v>45240.0</v>
      </c>
      <c r="B24" s="6" t="s">
        <v>17</v>
      </c>
      <c r="C24" s="2">
        <v>0.85</v>
      </c>
      <c r="D24" s="16">
        <f t="shared" si="3"/>
        <v>9.73</v>
      </c>
      <c r="E24" s="17">
        <f>D24/B1</f>
        <v>0.8108333333</v>
      </c>
      <c r="F24" s="16">
        <f t="shared" si="4"/>
        <v>7.32</v>
      </c>
      <c r="G24" s="17">
        <f>F24/B2</f>
        <v>0.488</v>
      </c>
      <c r="H24" s="15">
        <f t="shared" si="5"/>
        <v>8.61</v>
      </c>
      <c r="I24" s="14">
        <f>H24/B3</f>
        <v>0.861</v>
      </c>
      <c r="J24" s="2">
        <v>0.6</v>
      </c>
      <c r="K24" s="2">
        <v>0.6</v>
      </c>
      <c r="L24" s="2">
        <v>0.6</v>
      </c>
      <c r="M24" s="7"/>
      <c r="N24" s="7"/>
    </row>
    <row r="25">
      <c r="A25" s="12">
        <v>45240.0</v>
      </c>
      <c r="B25" s="6" t="s">
        <v>18</v>
      </c>
      <c r="C25" s="2">
        <v>0.85</v>
      </c>
      <c r="D25" s="16">
        <f t="shared" si="3"/>
        <v>9.73</v>
      </c>
      <c r="E25" s="17">
        <f>D25/B1</f>
        <v>0.8108333333</v>
      </c>
      <c r="F25" s="16">
        <f t="shared" si="4"/>
        <v>6.47</v>
      </c>
      <c r="G25" s="17">
        <f>F25/B2</f>
        <v>0.4313333333</v>
      </c>
      <c r="H25" s="15">
        <f t="shared" si="5"/>
        <v>8.61</v>
      </c>
      <c r="I25" s="14">
        <f>H25/B3</f>
        <v>0.861</v>
      </c>
      <c r="J25" s="2">
        <v>0.6</v>
      </c>
      <c r="K25" s="2">
        <v>0.6</v>
      </c>
      <c r="L25" s="2">
        <v>0.6</v>
      </c>
      <c r="M25" s="7"/>
      <c r="N25" s="7"/>
    </row>
    <row r="26">
      <c r="A26" s="12">
        <v>45240.0</v>
      </c>
      <c r="B26" s="6" t="s">
        <v>19</v>
      </c>
      <c r="C26" s="2">
        <v>0.83</v>
      </c>
      <c r="D26" s="16">
        <f t="shared" si="3"/>
        <v>9.73</v>
      </c>
      <c r="E26" s="17">
        <f>D26/B1</f>
        <v>0.8108333333</v>
      </c>
      <c r="F26" s="16">
        <f t="shared" si="4"/>
        <v>6.47</v>
      </c>
      <c r="G26" s="17">
        <f>F26/B2</f>
        <v>0.4313333333</v>
      </c>
      <c r="H26" s="15">
        <f t="shared" si="5"/>
        <v>7.78</v>
      </c>
      <c r="I26" s="14">
        <f>H26/B3</f>
        <v>0.778</v>
      </c>
      <c r="J26" s="2">
        <v>0.6</v>
      </c>
      <c r="K26" s="2">
        <v>0.6</v>
      </c>
      <c r="L26" s="2">
        <v>0.6</v>
      </c>
      <c r="M26" s="7"/>
      <c r="N26" s="7"/>
    </row>
    <row r="27">
      <c r="A27" s="12">
        <v>45241.0</v>
      </c>
      <c r="B27" s="6" t="s">
        <v>17</v>
      </c>
      <c r="C27" s="2">
        <v>0.88</v>
      </c>
      <c r="D27" s="16">
        <f t="shared" si="3"/>
        <v>8.85</v>
      </c>
      <c r="E27" s="17">
        <f>D27/B1</f>
        <v>0.7375</v>
      </c>
      <c r="F27" s="16">
        <f t="shared" si="4"/>
        <v>6.47</v>
      </c>
      <c r="G27" s="17">
        <f>F27/B2</f>
        <v>0.4313333333</v>
      </c>
      <c r="H27" s="15">
        <f t="shared" si="5"/>
        <v>7.78</v>
      </c>
      <c r="I27" s="14">
        <f>H27/B3</f>
        <v>0.778</v>
      </c>
      <c r="J27" s="2">
        <v>0.6</v>
      </c>
      <c r="K27" s="2">
        <v>0.6</v>
      </c>
      <c r="L27" s="2">
        <v>0.6</v>
      </c>
      <c r="M27" s="7"/>
      <c r="N27" s="7"/>
    </row>
    <row r="28">
      <c r="A28" s="12">
        <v>45241.0</v>
      </c>
      <c r="B28" s="6" t="s">
        <v>18</v>
      </c>
      <c r="C28" s="2">
        <v>0.95</v>
      </c>
      <c r="D28" s="16">
        <f t="shared" si="3"/>
        <v>8.85</v>
      </c>
      <c r="E28" s="17">
        <f>D28/B1</f>
        <v>0.7375</v>
      </c>
      <c r="F28" s="16">
        <f t="shared" si="4"/>
        <v>5.52</v>
      </c>
      <c r="G28" s="17">
        <f>F28/B2</f>
        <v>0.368</v>
      </c>
      <c r="H28" s="15">
        <f t="shared" si="5"/>
        <v>7.78</v>
      </c>
      <c r="I28" s="14">
        <f>H28/B3</f>
        <v>0.778</v>
      </c>
      <c r="J28" s="2">
        <v>0.6</v>
      </c>
      <c r="K28" s="2">
        <v>0.6</v>
      </c>
      <c r="L28" s="2">
        <v>0.6</v>
      </c>
      <c r="M28" s="7"/>
      <c r="N28" s="7"/>
    </row>
    <row r="29">
      <c r="A29" s="12">
        <v>45241.0</v>
      </c>
      <c r="B29" s="6" t="s">
        <v>19</v>
      </c>
      <c r="C29" s="2">
        <v>0.89</v>
      </c>
      <c r="D29" s="16">
        <f t="shared" si="3"/>
        <v>8.85</v>
      </c>
      <c r="E29" s="17">
        <f>D29/B1</f>
        <v>0.7375</v>
      </c>
      <c r="F29" s="16">
        <f t="shared" si="4"/>
        <v>5.52</v>
      </c>
      <c r="G29" s="17">
        <f>F29/B2</f>
        <v>0.368</v>
      </c>
      <c r="H29" s="15">
        <f t="shared" si="5"/>
        <v>6.89</v>
      </c>
      <c r="I29" s="14">
        <f>H29/B3</f>
        <v>0.689</v>
      </c>
      <c r="J29" s="2">
        <v>0.6</v>
      </c>
      <c r="K29" s="2">
        <v>0.6</v>
      </c>
      <c r="L29" s="2">
        <v>0.6</v>
      </c>
      <c r="M29" s="7"/>
      <c r="N29" s="7"/>
    </row>
    <row r="30">
      <c r="A30" s="12">
        <v>45242.0</v>
      </c>
      <c r="B30" s="6" t="s">
        <v>17</v>
      </c>
      <c r="C30" s="2">
        <v>0.55</v>
      </c>
      <c r="D30" s="16">
        <f t="shared" si="3"/>
        <v>8.3</v>
      </c>
      <c r="E30" s="17">
        <f>D30/B1</f>
        <v>0.6916666667</v>
      </c>
      <c r="F30" s="16">
        <f t="shared" si="4"/>
        <v>5.52</v>
      </c>
      <c r="G30" s="17">
        <f>F30/B2</f>
        <v>0.368</v>
      </c>
      <c r="H30" s="15">
        <f t="shared" si="5"/>
        <v>6.89</v>
      </c>
      <c r="I30" s="14">
        <f>H30/B3</f>
        <v>0.689</v>
      </c>
      <c r="J30" s="2">
        <v>0.6</v>
      </c>
      <c r="K30" s="2">
        <v>0.6</v>
      </c>
      <c r="L30" s="2">
        <v>0.6</v>
      </c>
      <c r="M30" s="7"/>
      <c r="N30" s="7"/>
    </row>
    <row r="31">
      <c r="A31" s="12">
        <v>45242.0</v>
      </c>
      <c r="B31" s="6" t="s">
        <v>18</v>
      </c>
      <c r="C31" s="2">
        <v>0.38</v>
      </c>
      <c r="D31" s="16">
        <f t="shared" si="3"/>
        <v>8.3</v>
      </c>
      <c r="E31" s="17">
        <f>D31/B1</f>
        <v>0.6916666667</v>
      </c>
      <c r="F31" s="16">
        <f t="shared" si="4"/>
        <v>5.14</v>
      </c>
      <c r="G31" s="17">
        <f>F31/B2</f>
        <v>0.3426666667</v>
      </c>
      <c r="H31" s="15">
        <f t="shared" si="5"/>
        <v>6.89</v>
      </c>
      <c r="I31" s="14">
        <f>H31/B3</f>
        <v>0.689</v>
      </c>
      <c r="J31" s="2">
        <v>0.6</v>
      </c>
      <c r="K31" s="2">
        <v>0.6</v>
      </c>
      <c r="L31" s="2">
        <v>0.6</v>
      </c>
      <c r="M31" s="7"/>
      <c r="N31" s="7"/>
    </row>
    <row r="32">
      <c r="A32" s="12">
        <v>45242.0</v>
      </c>
      <c r="B32" s="6" t="s">
        <v>19</v>
      </c>
      <c r="C32" s="2">
        <v>0.41</v>
      </c>
      <c r="D32" s="16">
        <f t="shared" si="3"/>
        <v>8.3</v>
      </c>
      <c r="E32" s="17">
        <f>D32/B1</f>
        <v>0.6916666667</v>
      </c>
      <c r="F32" s="16">
        <f t="shared" si="4"/>
        <v>5.14</v>
      </c>
      <c r="G32" s="17">
        <f>F32/B2</f>
        <v>0.3426666667</v>
      </c>
      <c r="H32" s="15">
        <f t="shared" si="5"/>
        <v>6.48</v>
      </c>
      <c r="I32" s="14">
        <f>H32/B3</f>
        <v>0.648</v>
      </c>
      <c r="J32" s="2">
        <v>0.6</v>
      </c>
      <c r="K32" s="2">
        <v>0.6</v>
      </c>
      <c r="L32" s="2">
        <v>0.6</v>
      </c>
      <c r="M32" s="7"/>
      <c r="N32" s="7"/>
    </row>
    <row r="33">
      <c r="A33" s="12">
        <v>45243.0</v>
      </c>
      <c r="B33" s="6" t="s">
        <v>17</v>
      </c>
      <c r="C33" s="2">
        <v>0.39</v>
      </c>
      <c r="D33" s="16">
        <f t="shared" si="3"/>
        <v>7.91</v>
      </c>
      <c r="E33" s="17">
        <f>D33/B1</f>
        <v>0.6591666667</v>
      </c>
      <c r="F33" s="16">
        <f t="shared" si="4"/>
        <v>5.14</v>
      </c>
      <c r="G33" s="17">
        <f>F33/B2</f>
        <v>0.3426666667</v>
      </c>
      <c r="H33" s="15">
        <f t="shared" si="5"/>
        <v>6.48</v>
      </c>
      <c r="I33" s="14">
        <f>H33/B3</f>
        <v>0.648</v>
      </c>
      <c r="J33" s="2">
        <v>0.6</v>
      </c>
      <c r="K33" s="2">
        <v>0.6</v>
      </c>
      <c r="L33" s="2">
        <v>0.6</v>
      </c>
      <c r="M33" s="7"/>
      <c r="N33" s="7"/>
    </row>
    <row r="34">
      <c r="A34" s="12">
        <v>45243.0</v>
      </c>
      <c r="B34" s="6" t="s">
        <v>18</v>
      </c>
      <c r="C34" s="2">
        <v>0.39</v>
      </c>
      <c r="D34" s="16">
        <f t="shared" si="3"/>
        <v>7.91</v>
      </c>
      <c r="E34" s="17">
        <f>D34/B1</f>
        <v>0.6591666667</v>
      </c>
      <c r="F34" s="16">
        <f t="shared" si="4"/>
        <v>4.75</v>
      </c>
      <c r="G34" s="17">
        <f>F34/B2</f>
        <v>0.3166666667</v>
      </c>
      <c r="H34" s="15">
        <f t="shared" si="5"/>
        <v>6.48</v>
      </c>
      <c r="I34" s="14">
        <f>H34/B3</f>
        <v>0.648</v>
      </c>
      <c r="J34" s="2">
        <v>0.6</v>
      </c>
      <c r="K34" s="2">
        <v>0.6</v>
      </c>
      <c r="L34" s="2">
        <v>0.6</v>
      </c>
      <c r="M34" s="7"/>
      <c r="N34" s="7"/>
    </row>
    <row r="35">
      <c r="A35" s="12">
        <v>45243.0</v>
      </c>
      <c r="B35" s="6" t="s">
        <v>19</v>
      </c>
      <c r="C35" s="2">
        <v>0.37</v>
      </c>
      <c r="D35" s="16">
        <f t="shared" si="3"/>
        <v>7.91</v>
      </c>
      <c r="E35" s="17">
        <f>D35/B1</f>
        <v>0.6591666667</v>
      </c>
      <c r="F35" s="16">
        <f t="shared" si="4"/>
        <v>4.75</v>
      </c>
      <c r="G35" s="17">
        <f>F35/B2</f>
        <v>0.3166666667</v>
      </c>
      <c r="H35" s="15">
        <f t="shared" si="5"/>
        <v>6.11</v>
      </c>
      <c r="I35" s="14">
        <f>H35/B3</f>
        <v>0.611</v>
      </c>
      <c r="J35" s="2">
        <v>0.6</v>
      </c>
      <c r="K35" s="2">
        <v>0.6</v>
      </c>
      <c r="L35" s="2">
        <v>0.6</v>
      </c>
      <c r="M35" s="7"/>
      <c r="N35" s="7"/>
    </row>
    <row r="36">
      <c r="A36" s="12">
        <v>45244.0</v>
      </c>
      <c r="B36" s="6" t="s">
        <v>17</v>
      </c>
      <c r="C36" s="2">
        <v>0.73</v>
      </c>
      <c r="D36" s="16">
        <f t="shared" si="3"/>
        <v>7.18</v>
      </c>
      <c r="E36" s="17">
        <f>D36/B1</f>
        <v>0.5983333333</v>
      </c>
      <c r="F36" s="16">
        <f t="shared" si="4"/>
        <v>4.75</v>
      </c>
      <c r="G36" s="17">
        <f>F36/B2</f>
        <v>0.3166666667</v>
      </c>
      <c r="H36" s="15">
        <f t="shared" si="5"/>
        <v>6.11</v>
      </c>
      <c r="I36" s="14">
        <f>H36/B3</f>
        <v>0.611</v>
      </c>
      <c r="J36" s="2">
        <v>0.6</v>
      </c>
      <c r="K36" s="2">
        <v>0.6</v>
      </c>
      <c r="L36" s="2">
        <v>0.6</v>
      </c>
      <c r="M36" s="7"/>
      <c r="N36" s="7"/>
    </row>
    <row r="37">
      <c r="A37" s="12">
        <v>45244.0</v>
      </c>
      <c r="B37" s="6" t="s">
        <v>18</v>
      </c>
      <c r="C37" s="2">
        <v>0.58</v>
      </c>
      <c r="D37" s="16">
        <f t="shared" si="3"/>
        <v>7.18</v>
      </c>
      <c r="E37" s="17">
        <f>D37/B1</f>
        <v>0.5983333333</v>
      </c>
      <c r="F37" s="16">
        <f t="shared" si="4"/>
        <v>4.17</v>
      </c>
      <c r="G37" s="17">
        <f>F37/B2</f>
        <v>0.278</v>
      </c>
      <c r="H37" s="15">
        <f t="shared" si="5"/>
        <v>6.11</v>
      </c>
      <c r="I37" s="14">
        <f>H37/B3</f>
        <v>0.611</v>
      </c>
      <c r="J37" s="2">
        <v>0.6</v>
      </c>
      <c r="K37" s="2">
        <v>0.6</v>
      </c>
      <c r="L37" s="2">
        <v>0.6</v>
      </c>
      <c r="M37" s="7"/>
      <c r="N37" s="7"/>
    </row>
    <row r="38">
      <c r="A38" s="12">
        <v>45244.0</v>
      </c>
      <c r="B38" s="6" t="s">
        <v>19</v>
      </c>
      <c r="C38" s="2">
        <v>0.53</v>
      </c>
      <c r="D38" s="16">
        <f t="shared" si="3"/>
        <v>7.18</v>
      </c>
      <c r="E38" s="17">
        <f>D38/B1</f>
        <v>0.5983333333</v>
      </c>
      <c r="F38" s="16">
        <f t="shared" si="4"/>
        <v>4.17</v>
      </c>
      <c r="G38" s="17">
        <f>F38/B2</f>
        <v>0.278</v>
      </c>
      <c r="H38" s="15">
        <f t="shared" si="5"/>
        <v>5.58</v>
      </c>
      <c r="I38" s="14">
        <f>H38/B3</f>
        <v>0.558</v>
      </c>
      <c r="J38" s="2">
        <v>0.6</v>
      </c>
      <c r="K38" s="2">
        <v>0.6</v>
      </c>
      <c r="L38" s="2">
        <v>0.6</v>
      </c>
      <c r="M38" s="7"/>
      <c r="N38" s="7"/>
    </row>
    <row r="39">
      <c r="A39" s="12">
        <v>45245.0</v>
      </c>
      <c r="B39" s="6" t="s">
        <v>17</v>
      </c>
      <c r="C39" s="2">
        <v>0.54</v>
      </c>
      <c r="D39" s="16">
        <f t="shared" si="3"/>
        <v>6.64</v>
      </c>
      <c r="E39" s="17">
        <f>D39/B1</f>
        <v>0.5533333333</v>
      </c>
      <c r="F39" s="16">
        <f t="shared" si="4"/>
        <v>4.17</v>
      </c>
      <c r="G39" s="17">
        <f>F39/B2</f>
        <v>0.278</v>
      </c>
      <c r="H39" s="15">
        <f t="shared" si="5"/>
        <v>5.58</v>
      </c>
      <c r="I39" s="14">
        <f>H39/B3</f>
        <v>0.558</v>
      </c>
      <c r="J39" s="2">
        <v>0.6</v>
      </c>
      <c r="K39" s="2">
        <v>0.6</v>
      </c>
      <c r="L39" s="2">
        <v>0.6</v>
      </c>
      <c r="M39" s="7"/>
      <c r="N39" s="7"/>
    </row>
    <row r="40">
      <c r="A40" s="12">
        <v>45245.0</v>
      </c>
      <c r="B40" s="6" t="s">
        <v>18</v>
      </c>
      <c r="C40" s="2">
        <v>0.54</v>
      </c>
      <c r="D40" s="16">
        <f t="shared" si="3"/>
        <v>6.64</v>
      </c>
      <c r="E40" s="17">
        <f>D40/B1</f>
        <v>0.5533333333</v>
      </c>
      <c r="F40" s="16">
        <f t="shared" si="4"/>
        <v>3.63</v>
      </c>
      <c r="G40" s="17">
        <f>F40/B2</f>
        <v>0.242</v>
      </c>
      <c r="H40" s="15">
        <f t="shared" si="5"/>
        <v>5.58</v>
      </c>
      <c r="I40" s="14">
        <f>H40/B3</f>
        <v>0.558</v>
      </c>
      <c r="J40" s="2">
        <v>0.6</v>
      </c>
      <c r="K40" s="2">
        <v>0.6</v>
      </c>
      <c r="L40" s="2">
        <v>0.6</v>
      </c>
      <c r="M40" s="7"/>
      <c r="N40" s="7"/>
    </row>
    <row r="41">
      <c r="A41" s="12">
        <v>45245.0</v>
      </c>
      <c r="B41" s="6" t="s">
        <v>19</v>
      </c>
      <c r="C41" s="2">
        <v>0.55</v>
      </c>
      <c r="D41" s="16">
        <f t="shared" si="3"/>
        <v>6.64</v>
      </c>
      <c r="E41" s="17">
        <f>D41/B1</f>
        <v>0.5533333333</v>
      </c>
      <c r="F41" s="16">
        <f t="shared" si="4"/>
        <v>3.63</v>
      </c>
      <c r="G41" s="17">
        <f>F41/B2</f>
        <v>0.242</v>
      </c>
      <c r="H41" s="15">
        <f t="shared" si="5"/>
        <v>5.03</v>
      </c>
      <c r="I41" s="14">
        <f>H41/B3</f>
        <v>0.503</v>
      </c>
      <c r="J41" s="2">
        <v>0.6</v>
      </c>
      <c r="K41" s="2">
        <v>0.6</v>
      </c>
      <c r="L41" s="2">
        <v>0.6</v>
      </c>
      <c r="M41" s="7"/>
      <c r="N41" s="7"/>
    </row>
    <row r="42">
      <c r="A42" s="12">
        <v>45246.0</v>
      </c>
      <c r="B42" s="6" t="s">
        <v>17</v>
      </c>
      <c r="C42" s="2">
        <v>0.72</v>
      </c>
      <c r="D42" s="16">
        <f t="shared" si="3"/>
        <v>5.92</v>
      </c>
      <c r="E42" s="17">
        <f>D42/B1</f>
        <v>0.4933333333</v>
      </c>
      <c r="F42" s="16">
        <f t="shared" si="4"/>
        <v>3.63</v>
      </c>
      <c r="G42" s="17">
        <f>F42/B2</f>
        <v>0.242</v>
      </c>
      <c r="H42" s="15">
        <f t="shared" si="5"/>
        <v>5.03</v>
      </c>
      <c r="I42" s="14">
        <f>H42/B3</f>
        <v>0.503</v>
      </c>
      <c r="J42" s="2">
        <v>0.6</v>
      </c>
      <c r="K42" s="2">
        <v>0.6</v>
      </c>
      <c r="L42" s="2">
        <v>0.6</v>
      </c>
      <c r="M42" s="7"/>
      <c r="N42" s="7"/>
    </row>
    <row r="43">
      <c r="A43" s="12">
        <v>45246.0</v>
      </c>
      <c r="B43" s="6" t="s">
        <v>18</v>
      </c>
      <c r="C43" s="2">
        <v>0.57</v>
      </c>
      <c r="D43" s="16">
        <f t="shared" si="3"/>
        <v>5.92</v>
      </c>
      <c r="E43" s="17">
        <f>D43/B1</f>
        <v>0.4933333333</v>
      </c>
      <c r="F43" s="16">
        <f t="shared" si="4"/>
        <v>3.06</v>
      </c>
      <c r="G43" s="17">
        <f>F43/B2</f>
        <v>0.204</v>
      </c>
      <c r="H43" s="15">
        <f t="shared" si="5"/>
        <v>5.03</v>
      </c>
      <c r="I43" s="14">
        <f>H43/B3</f>
        <v>0.503</v>
      </c>
      <c r="J43" s="2">
        <v>0.6</v>
      </c>
      <c r="K43" s="2">
        <v>0.6</v>
      </c>
      <c r="L43" s="2">
        <v>0.6</v>
      </c>
      <c r="M43" s="7"/>
      <c r="N43" s="7"/>
    </row>
    <row r="44">
      <c r="A44" s="12">
        <v>45246.0</v>
      </c>
      <c r="B44" s="6" t="s">
        <v>19</v>
      </c>
      <c r="C44" s="2">
        <v>0.54</v>
      </c>
      <c r="D44" s="16">
        <f t="shared" si="3"/>
        <v>5.92</v>
      </c>
      <c r="E44" s="17">
        <f>D44/B1</f>
        <v>0.4933333333</v>
      </c>
      <c r="F44" s="16">
        <f t="shared" si="4"/>
        <v>3.06</v>
      </c>
      <c r="G44" s="17">
        <f>F44/B2</f>
        <v>0.204</v>
      </c>
      <c r="H44" s="15">
        <f t="shared" si="5"/>
        <v>4.49</v>
      </c>
      <c r="I44" s="14">
        <f>H44/B3</f>
        <v>0.449</v>
      </c>
      <c r="J44" s="2">
        <v>0.6</v>
      </c>
      <c r="K44" s="2">
        <v>0.6</v>
      </c>
      <c r="L44" s="2">
        <v>0.6</v>
      </c>
      <c r="M44" s="7"/>
      <c r="N44" s="7"/>
    </row>
    <row r="45">
      <c r="A45" s="12">
        <v>45247.0</v>
      </c>
      <c r="B45" s="6" t="s">
        <v>17</v>
      </c>
      <c r="C45" s="2">
        <v>0.56</v>
      </c>
      <c r="D45" s="16">
        <f t="shared" si="3"/>
        <v>5.36</v>
      </c>
      <c r="E45" s="17">
        <f>D45/B1</f>
        <v>0.4466666667</v>
      </c>
      <c r="F45" s="16">
        <f t="shared" si="4"/>
        <v>3.06</v>
      </c>
      <c r="G45" s="17">
        <f>F45/B2</f>
        <v>0.204</v>
      </c>
      <c r="H45" s="15">
        <f t="shared" si="5"/>
        <v>4.49</v>
      </c>
      <c r="I45" s="14">
        <f>H45/B3</f>
        <v>0.449</v>
      </c>
      <c r="J45" s="2">
        <v>0.6</v>
      </c>
      <c r="K45" s="2">
        <v>0.6</v>
      </c>
      <c r="L45" s="2">
        <v>0.6</v>
      </c>
      <c r="M45" s="7"/>
      <c r="N45" s="7"/>
    </row>
    <row r="46">
      <c r="A46" s="12">
        <v>45247.0</v>
      </c>
      <c r="B46" s="6" t="s">
        <v>18</v>
      </c>
      <c r="C46" s="2">
        <v>0.55</v>
      </c>
      <c r="D46" s="16">
        <f t="shared" si="3"/>
        <v>5.36</v>
      </c>
      <c r="E46" s="17">
        <f>D46/B1</f>
        <v>0.4466666667</v>
      </c>
      <c r="F46" s="16">
        <f t="shared" si="4"/>
        <v>2.51</v>
      </c>
      <c r="G46" s="17">
        <f>F46/B2</f>
        <v>0.1673333333</v>
      </c>
      <c r="H46" s="15">
        <f t="shared" si="5"/>
        <v>4.49</v>
      </c>
      <c r="I46" s="14">
        <f>H46/B3</f>
        <v>0.449</v>
      </c>
      <c r="J46" s="2">
        <v>0.6</v>
      </c>
      <c r="K46" s="2">
        <v>0.6</v>
      </c>
      <c r="L46" s="2">
        <v>0.6</v>
      </c>
      <c r="M46" s="7"/>
      <c r="N46" s="7"/>
    </row>
    <row r="47">
      <c r="A47" s="12">
        <v>45247.0</v>
      </c>
      <c r="B47" s="6" t="s">
        <v>19</v>
      </c>
      <c r="C47" s="2">
        <v>0.56</v>
      </c>
      <c r="D47" s="16">
        <f t="shared" si="3"/>
        <v>5.36</v>
      </c>
      <c r="E47" s="17">
        <f>D47/B1</f>
        <v>0.4466666667</v>
      </c>
      <c r="F47" s="16">
        <f t="shared" si="4"/>
        <v>2.51</v>
      </c>
      <c r="G47" s="17">
        <f>F47/B2</f>
        <v>0.1673333333</v>
      </c>
      <c r="H47" s="15">
        <f t="shared" si="5"/>
        <v>3.93</v>
      </c>
      <c r="I47" s="14">
        <f>H47/B3</f>
        <v>0.393</v>
      </c>
      <c r="J47" s="2">
        <v>0.6</v>
      </c>
      <c r="K47" s="2">
        <v>0.6</v>
      </c>
      <c r="L47" s="2">
        <v>0.6</v>
      </c>
      <c r="M47" s="7"/>
      <c r="N47" s="7"/>
    </row>
    <row r="48">
      <c r="A48" s="12">
        <v>45248.0</v>
      </c>
      <c r="B48" s="6" t="s">
        <v>17</v>
      </c>
      <c r="C48" s="2">
        <v>0.58</v>
      </c>
      <c r="D48" s="16">
        <f t="shared" si="3"/>
        <v>4.78</v>
      </c>
      <c r="E48" s="17">
        <f>D48/B1</f>
        <v>0.3983333333</v>
      </c>
      <c r="F48" s="16">
        <f t="shared" si="4"/>
        <v>2.51</v>
      </c>
      <c r="G48" s="17">
        <f>F48/B2</f>
        <v>0.1673333333</v>
      </c>
      <c r="H48" s="15">
        <f t="shared" si="5"/>
        <v>3.93</v>
      </c>
      <c r="I48" s="14">
        <f>H48/B3</f>
        <v>0.393</v>
      </c>
      <c r="J48" s="2">
        <v>0.6</v>
      </c>
      <c r="K48" s="2">
        <v>0.6</v>
      </c>
      <c r="L48" s="2">
        <v>0.6</v>
      </c>
      <c r="M48" s="7"/>
      <c r="N48" s="7"/>
    </row>
    <row r="49">
      <c r="A49" s="12">
        <v>45248.0</v>
      </c>
      <c r="B49" s="6" t="s">
        <v>18</v>
      </c>
      <c r="C49" s="2">
        <v>0.56</v>
      </c>
      <c r="D49" s="16">
        <f t="shared" si="3"/>
        <v>4.78</v>
      </c>
      <c r="E49" s="17">
        <f>D49/B1</f>
        <v>0.3983333333</v>
      </c>
      <c r="F49" s="16">
        <f t="shared" si="4"/>
        <v>1.95</v>
      </c>
      <c r="G49" s="17">
        <f>F49/B2</f>
        <v>0.13</v>
      </c>
      <c r="H49" s="15">
        <f t="shared" si="5"/>
        <v>3.93</v>
      </c>
      <c r="I49" s="14">
        <f>H49/B3</f>
        <v>0.393</v>
      </c>
      <c r="J49" s="2">
        <v>0.6</v>
      </c>
      <c r="K49" s="2">
        <v>0.6</v>
      </c>
      <c r="L49" s="2">
        <v>0.6</v>
      </c>
      <c r="M49" s="7"/>
      <c r="N49" s="7"/>
    </row>
    <row r="50">
      <c r="A50" s="12">
        <v>45248.0</v>
      </c>
      <c r="B50" s="6" t="s">
        <v>19</v>
      </c>
      <c r="C50" s="2">
        <v>0.62</v>
      </c>
      <c r="D50" s="16">
        <f t="shared" si="3"/>
        <v>4.78</v>
      </c>
      <c r="E50" s="17">
        <f>D50/B1</f>
        <v>0.3983333333</v>
      </c>
      <c r="F50" s="16">
        <f t="shared" si="4"/>
        <v>1.95</v>
      </c>
      <c r="G50" s="17">
        <f>F50/B2</f>
        <v>0.13</v>
      </c>
      <c r="H50" s="15">
        <f t="shared" si="5"/>
        <v>3.31</v>
      </c>
      <c r="I50" s="14">
        <f>H50/B3</f>
        <v>0.331</v>
      </c>
      <c r="J50" s="2">
        <v>0.6</v>
      </c>
      <c r="K50" s="2">
        <v>0.6</v>
      </c>
      <c r="L50" s="2">
        <v>0.6</v>
      </c>
      <c r="M50" s="7"/>
      <c r="N50" s="7"/>
    </row>
    <row r="51">
      <c r="A51" s="12">
        <v>45249.0</v>
      </c>
      <c r="B51" s="6" t="s">
        <v>17</v>
      </c>
      <c r="C51" s="2">
        <v>0.59</v>
      </c>
      <c r="D51" s="16">
        <f t="shared" si="3"/>
        <v>4.19</v>
      </c>
      <c r="E51" s="17">
        <f>D51/B1</f>
        <v>0.3491666667</v>
      </c>
      <c r="F51" s="16">
        <f t="shared" si="4"/>
        <v>1.95</v>
      </c>
      <c r="G51" s="17">
        <f>F51/B2</f>
        <v>0.13</v>
      </c>
      <c r="H51" s="15">
        <f t="shared" si="5"/>
        <v>3.31</v>
      </c>
      <c r="I51" s="14">
        <f>H51/B3</f>
        <v>0.331</v>
      </c>
      <c r="J51" s="2">
        <v>0.6</v>
      </c>
      <c r="K51" s="2">
        <v>0.6</v>
      </c>
      <c r="L51" s="2">
        <v>0.6</v>
      </c>
      <c r="M51" s="7"/>
      <c r="N51" s="7"/>
    </row>
    <row r="52">
      <c r="A52" s="12">
        <v>45249.0</v>
      </c>
      <c r="B52" s="6" t="s">
        <v>18</v>
      </c>
      <c r="C52" s="2">
        <v>0.94</v>
      </c>
      <c r="D52" s="16">
        <f t="shared" si="3"/>
        <v>4.19</v>
      </c>
      <c r="E52" s="17">
        <f>D52/B1</f>
        <v>0.3491666667</v>
      </c>
      <c r="F52" s="16">
        <f t="shared" si="4"/>
        <v>1.01</v>
      </c>
      <c r="G52" s="17">
        <f>F52/B2</f>
        <v>0.06733333333</v>
      </c>
      <c r="H52" s="15">
        <f t="shared" si="5"/>
        <v>3.31</v>
      </c>
      <c r="I52" s="14">
        <f>H52/B3</f>
        <v>0.331</v>
      </c>
      <c r="J52" s="2">
        <v>0.6</v>
      </c>
      <c r="K52" s="2">
        <v>0.6</v>
      </c>
      <c r="L52" s="2">
        <v>0.6</v>
      </c>
      <c r="M52" s="7"/>
      <c r="N52" s="7"/>
    </row>
    <row r="53">
      <c r="A53" s="12">
        <v>45249.0</v>
      </c>
      <c r="B53" s="6" t="s">
        <v>19</v>
      </c>
      <c r="C53" s="2">
        <v>0.4</v>
      </c>
      <c r="D53" s="16">
        <f t="shared" si="3"/>
        <v>4.19</v>
      </c>
      <c r="E53" s="17">
        <f>D53/B1</f>
        <v>0.3491666667</v>
      </c>
      <c r="F53" s="16">
        <f t="shared" si="4"/>
        <v>1.01</v>
      </c>
      <c r="G53" s="17">
        <f>F53/B2</f>
        <v>0.06733333333</v>
      </c>
      <c r="H53" s="15">
        <f t="shared" si="5"/>
        <v>2.91</v>
      </c>
      <c r="I53" s="14">
        <f>H53/B3</f>
        <v>0.291</v>
      </c>
      <c r="J53" s="2">
        <v>0.6</v>
      </c>
      <c r="K53" s="2">
        <v>0.6</v>
      </c>
      <c r="L53" s="2">
        <v>0.6</v>
      </c>
      <c r="M53" s="7"/>
      <c r="N53" s="7"/>
    </row>
    <row r="54">
      <c r="A54" s="12">
        <v>45250.0</v>
      </c>
      <c r="B54" s="6" t="s">
        <v>17</v>
      </c>
      <c r="C54" s="2">
        <v>0.55</v>
      </c>
      <c r="D54" s="16">
        <f t="shared" si="3"/>
        <v>3.64</v>
      </c>
      <c r="E54" s="17">
        <f>D54/B1</f>
        <v>0.3033333333</v>
      </c>
      <c r="F54" s="16">
        <f t="shared" si="4"/>
        <v>1.01</v>
      </c>
      <c r="G54" s="17">
        <f>F54/B2</f>
        <v>0.06733333333</v>
      </c>
      <c r="H54" s="15">
        <f t="shared" si="5"/>
        <v>2.91</v>
      </c>
      <c r="I54" s="14">
        <f>H54/B3</f>
        <v>0.291</v>
      </c>
      <c r="J54" s="2">
        <v>0.6</v>
      </c>
      <c r="K54" s="2">
        <v>0.6</v>
      </c>
      <c r="L54" s="2">
        <v>0.6</v>
      </c>
      <c r="M54" s="7"/>
      <c r="N54" s="7"/>
    </row>
    <row r="55">
      <c r="A55" s="12">
        <v>45250.0</v>
      </c>
      <c r="B55" s="6" t="s">
        <v>18</v>
      </c>
      <c r="C55" s="2">
        <v>0.42</v>
      </c>
      <c r="D55" s="16">
        <f t="shared" si="3"/>
        <v>3.64</v>
      </c>
      <c r="E55" s="17">
        <f>D55/B1</f>
        <v>0.3033333333</v>
      </c>
      <c r="F55" s="16">
        <f t="shared" si="4"/>
        <v>0.59</v>
      </c>
      <c r="G55" s="17">
        <f>F55/B2</f>
        <v>0.03933333333</v>
      </c>
      <c r="H55" s="15">
        <f t="shared" si="5"/>
        <v>2.91</v>
      </c>
      <c r="I55" s="14">
        <f>H55/B3</f>
        <v>0.291</v>
      </c>
      <c r="J55" s="2">
        <v>0.6</v>
      </c>
      <c r="K55" s="2">
        <v>0.6</v>
      </c>
      <c r="L55" s="2">
        <v>0.6</v>
      </c>
      <c r="M55" s="7"/>
      <c r="N55" s="7"/>
    </row>
    <row r="56">
      <c r="A56" s="12">
        <v>45250.0</v>
      </c>
      <c r="B56" s="6" t="s">
        <v>19</v>
      </c>
      <c r="C56" s="2">
        <v>0.41</v>
      </c>
      <c r="D56" s="16">
        <f t="shared" si="3"/>
        <v>3.64</v>
      </c>
      <c r="E56" s="17">
        <f>D56/B1</f>
        <v>0.3033333333</v>
      </c>
      <c r="F56" s="16">
        <f t="shared" si="4"/>
        <v>0.59</v>
      </c>
      <c r="G56" s="17">
        <f>F56/B2</f>
        <v>0.03933333333</v>
      </c>
      <c r="H56" s="15">
        <f t="shared" si="5"/>
        <v>2.5</v>
      </c>
      <c r="I56" s="14">
        <f>H56/B3</f>
        <v>0.25</v>
      </c>
      <c r="J56" s="2">
        <v>0.6</v>
      </c>
      <c r="K56" s="2">
        <v>0.6</v>
      </c>
      <c r="L56" s="2">
        <v>0.6</v>
      </c>
      <c r="M56" s="7"/>
      <c r="N56" s="7"/>
    </row>
    <row r="57">
      <c r="A57" s="12">
        <v>45251.0</v>
      </c>
      <c r="B57" s="6" t="s">
        <v>17</v>
      </c>
      <c r="C57" s="2">
        <v>0.8</v>
      </c>
      <c r="D57" s="16">
        <f t="shared" si="3"/>
        <v>2.84</v>
      </c>
      <c r="E57" s="17">
        <f>D57/B1</f>
        <v>0.2366666667</v>
      </c>
      <c r="F57" s="16">
        <f t="shared" si="4"/>
        <v>0.59</v>
      </c>
      <c r="G57" s="17">
        <f>F57/B2</f>
        <v>0.03933333333</v>
      </c>
      <c r="H57" s="15">
        <f t="shared" si="5"/>
        <v>2.5</v>
      </c>
      <c r="I57" s="14">
        <f>H57/B3</f>
        <v>0.25</v>
      </c>
      <c r="J57" s="2">
        <v>0.6</v>
      </c>
      <c r="K57" s="2">
        <v>0.6</v>
      </c>
      <c r="L57" s="2">
        <v>0.6</v>
      </c>
      <c r="M57" s="7"/>
      <c r="N57" s="7"/>
    </row>
    <row r="58">
      <c r="A58" s="12">
        <v>45251.0</v>
      </c>
      <c r="B58" s="6" t="s">
        <v>18</v>
      </c>
      <c r="C58" s="2">
        <v>0.59</v>
      </c>
      <c r="D58" s="16">
        <f t="shared" si="3"/>
        <v>2.84</v>
      </c>
      <c r="E58" s="17">
        <f>D58/B1</f>
        <v>0.2366666667</v>
      </c>
      <c r="F58" s="16">
        <f t="shared" si="4"/>
        <v>0</v>
      </c>
      <c r="G58" s="17">
        <f>F58/B2</f>
        <v>0</v>
      </c>
      <c r="H58" s="15">
        <f t="shared" si="5"/>
        <v>2.5</v>
      </c>
      <c r="I58" s="14">
        <f>H58/B3</f>
        <v>0.25</v>
      </c>
      <c r="J58" s="2">
        <v>0.6</v>
      </c>
      <c r="K58" s="2">
        <v>0.6</v>
      </c>
      <c r="L58" s="2">
        <v>0.6</v>
      </c>
      <c r="M58" s="7"/>
      <c r="N58" s="7"/>
    </row>
    <row r="59">
      <c r="A59" s="12">
        <v>45251.0</v>
      </c>
      <c r="B59" s="6" t="s">
        <v>19</v>
      </c>
      <c r="C59" s="2">
        <v>0.72</v>
      </c>
      <c r="D59" s="16">
        <f t="shared" si="3"/>
        <v>2.84</v>
      </c>
      <c r="E59" s="17">
        <f>D59/B1</f>
        <v>0.2366666667</v>
      </c>
      <c r="F59" s="16">
        <f t="shared" si="4"/>
        <v>0</v>
      </c>
      <c r="G59" s="17">
        <f>F59/B2</f>
        <v>0</v>
      </c>
      <c r="H59" s="15">
        <f t="shared" si="5"/>
        <v>1.78</v>
      </c>
      <c r="I59" s="14">
        <f>H59/B3</f>
        <v>0.178</v>
      </c>
      <c r="J59" s="2">
        <v>0.6</v>
      </c>
      <c r="K59" s="2">
        <v>0.6</v>
      </c>
      <c r="L59" s="2">
        <v>0.6</v>
      </c>
    </row>
    <row r="60">
      <c r="A60" s="12">
        <v>45252.0</v>
      </c>
      <c r="B60" s="6" t="s">
        <v>17</v>
      </c>
      <c r="C60" s="2">
        <v>1.02</v>
      </c>
      <c r="D60" s="16">
        <f t="shared" si="3"/>
        <v>1.82</v>
      </c>
      <c r="E60" s="17">
        <f>D60/B1</f>
        <v>0.1516666667</v>
      </c>
      <c r="F60" s="16">
        <f t="shared" si="4"/>
        <v>0</v>
      </c>
      <c r="G60" s="17">
        <f>F60/B2</f>
        <v>0</v>
      </c>
      <c r="H60" s="15">
        <f t="shared" si="5"/>
        <v>1.78</v>
      </c>
      <c r="I60" s="14">
        <f>H60/B3</f>
        <v>0.178</v>
      </c>
      <c r="J60" s="2">
        <v>0.6</v>
      </c>
      <c r="K60" s="2">
        <v>0.6</v>
      </c>
      <c r="L60" s="2">
        <v>0.6</v>
      </c>
    </row>
    <row r="61">
      <c r="A61" s="12">
        <v>45252.0</v>
      </c>
      <c r="B61" s="6" t="s">
        <v>18</v>
      </c>
      <c r="C61" s="2">
        <v>0.0</v>
      </c>
      <c r="D61" s="16">
        <f t="shared" si="3"/>
        <v>1.82</v>
      </c>
      <c r="E61" s="17">
        <f>D61/B1</f>
        <v>0.1516666667</v>
      </c>
      <c r="F61" s="16">
        <f t="shared" si="4"/>
        <v>0</v>
      </c>
      <c r="G61" s="17">
        <f>F61/B2</f>
        <v>0</v>
      </c>
      <c r="H61" s="15">
        <f t="shared" si="5"/>
        <v>1.78</v>
      </c>
      <c r="I61" s="14">
        <f>H61/B3</f>
        <v>0.178</v>
      </c>
      <c r="J61" s="2">
        <v>0.6</v>
      </c>
      <c r="K61" s="2">
        <v>0.6</v>
      </c>
      <c r="L61" s="2">
        <v>0.6</v>
      </c>
    </row>
    <row r="62">
      <c r="A62" s="12">
        <v>45252.0</v>
      </c>
      <c r="B62" s="6" t="s">
        <v>19</v>
      </c>
      <c r="C62" s="2">
        <v>0.82</v>
      </c>
      <c r="D62" s="16">
        <f t="shared" si="3"/>
        <v>1.82</v>
      </c>
      <c r="E62" s="17">
        <f>D62/B1</f>
        <v>0.1516666667</v>
      </c>
      <c r="F62" s="16">
        <f t="shared" si="4"/>
        <v>0</v>
      </c>
      <c r="G62" s="17">
        <f>F62/B2</f>
        <v>0</v>
      </c>
      <c r="H62" s="15">
        <f t="shared" si="5"/>
        <v>0.96</v>
      </c>
      <c r="I62" s="14">
        <f>H62/B3</f>
        <v>0.096</v>
      </c>
      <c r="J62" s="2">
        <v>0.6</v>
      </c>
      <c r="K62" s="2">
        <v>0.6</v>
      </c>
      <c r="L62" s="2">
        <v>0.6</v>
      </c>
    </row>
    <row r="63">
      <c r="A63" s="12">
        <v>45253.0</v>
      </c>
      <c r="B63" s="6" t="s">
        <v>17</v>
      </c>
      <c r="C63" s="2">
        <v>0.88</v>
      </c>
      <c r="D63" s="16">
        <f t="shared" si="3"/>
        <v>0.94</v>
      </c>
      <c r="E63" s="17">
        <f>D63/B1</f>
        <v>0.07833333333</v>
      </c>
      <c r="F63" s="16">
        <f t="shared" si="4"/>
        <v>0</v>
      </c>
      <c r="G63" s="17">
        <f>F63/B2</f>
        <v>0</v>
      </c>
      <c r="H63" s="15">
        <f t="shared" si="5"/>
        <v>0.96</v>
      </c>
      <c r="I63" s="14">
        <f>H63/B3</f>
        <v>0.096</v>
      </c>
      <c r="J63" s="2">
        <v>0.6</v>
      </c>
      <c r="K63" s="2">
        <v>0.6</v>
      </c>
      <c r="L63" s="2">
        <v>0.6</v>
      </c>
    </row>
    <row r="64">
      <c r="A64" s="12">
        <v>45253.0</v>
      </c>
      <c r="B64" s="6" t="s">
        <v>18</v>
      </c>
      <c r="C64" s="2">
        <v>0.0</v>
      </c>
      <c r="D64" s="16">
        <f t="shared" si="3"/>
        <v>0.94</v>
      </c>
      <c r="E64" s="17">
        <f>D64/B1</f>
        <v>0.07833333333</v>
      </c>
      <c r="F64" s="16">
        <f t="shared" si="4"/>
        <v>0</v>
      </c>
      <c r="G64" s="17">
        <f>F64/B2</f>
        <v>0</v>
      </c>
      <c r="H64" s="15">
        <f t="shared" si="5"/>
        <v>0.96</v>
      </c>
      <c r="I64" s="14">
        <f>H64/B3</f>
        <v>0.096</v>
      </c>
      <c r="J64" s="2">
        <v>0.6</v>
      </c>
      <c r="K64" s="2">
        <v>0.6</v>
      </c>
      <c r="L64" s="2">
        <v>0.6</v>
      </c>
    </row>
    <row r="65">
      <c r="A65" s="12">
        <v>45253.0</v>
      </c>
      <c r="B65" s="6" t="s">
        <v>19</v>
      </c>
      <c r="C65" s="2">
        <v>0.72</v>
      </c>
      <c r="D65" s="16">
        <f t="shared" si="3"/>
        <v>0.94</v>
      </c>
      <c r="E65" s="17">
        <f>D65/B1</f>
        <v>0.07833333333</v>
      </c>
      <c r="F65" s="16">
        <f t="shared" si="4"/>
        <v>0</v>
      </c>
      <c r="G65" s="17">
        <f>F65/B2</f>
        <v>0</v>
      </c>
      <c r="H65" s="15">
        <f t="shared" si="5"/>
        <v>0.24</v>
      </c>
      <c r="I65" s="14">
        <f>H65/B3</f>
        <v>0.024</v>
      </c>
      <c r="J65" s="2">
        <v>0.6</v>
      </c>
      <c r="K65" s="2">
        <v>0.6</v>
      </c>
      <c r="L65" s="2">
        <v>0.6</v>
      </c>
    </row>
    <row r="66">
      <c r="A66" s="12">
        <v>45254.0</v>
      </c>
      <c r="B66" s="6" t="s">
        <v>17</v>
      </c>
      <c r="C66" s="2">
        <v>0.94</v>
      </c>
      <c r="D66" s="16">
        <f t="shared" si="3"/>
        <v>0</v>
      </c>
      <c r="E66" s="17">
        <f>D66/B1</f>
        <v>0</v>
      </c>
      <c r="F66" s="16">
        <f t="shared" si="4"/>
        <v>0</v>
      </c>
      <c r="G66" s="17">
        <f>F66/B2</f>
        <v>0</v>
      </c>
      <c r="H66" s="15">
        <f t="shared" si="5"/>
        <v>0.24</v>
      </c>
      <c r="I66" s="14">
        <f>H66/B3</f>
        <v>0.024</v>
      </c>
      <c r="J66" s="2">
        <v>0.6</v>
      </c>
      <c r="K66" s="2">
        <v>0.6</v>
      </c>
      <c r="L66" s="2">
        <v>0.6</v>
      </c>
    </row>
    <row r="67">
      <c r="A67" s="12">
        <v>45254.0</v>
      </c>
      <c r="B67" s="6" t="s">
        <v>18</v>
      </c>
      <c r="C67" s="2">
        <v>0.0</v>
      </c>
      <c r="D67" s="16">
        <f t="shared" si="3"/>
        <v>0</v>
      </c>
      <c r="E67" s="17">
        <f>D67/B1</f>
        <v>0</v>
      </c>
      <c r="F67" s="16">
        <f t="shared" si="4"/>
        <v>0</v>
      </c>
      <c r="G67" s="17">
        <f>F67/B2</f>
        <v>0</v>
      </c>
      <c r="H67" s="15">
        <f t="shared" si="5"/>
        <v>0.24</v>
      </c>
      <c r="I67" s="14">
        <f>H67/B3</f>
        <v>0.024</v>
      </c>
      <c r="J67" s="2">
        <v>0.6</v>
      </c>
      <c r="K67" s="2">
        <v>0.6</v>
      </c>
      <c r="L67" s="2">
        <v>0.6</v>
      </c>
    </row>
    <row r="68">
      <c r="A68" s="12">
        <v>45254.0</v>
      </c>
      <c r="B68" s="6" t="s">
        <v>19</v>
      </c>
      <c r="C68" s="2">
        <v>0.24</v>
      </c>
      <c r="D68" s="16">
        <f t="shared" si="3"/>
        <v>0</v>
      </c>
      <c r="E68" s="17">
        <f>D68/B1</f>
        <v>0</v>
      </c>
      <c r="F68" s="16">
        <f t="shared" si="4"/>
        <v>0</v>
      </c>
      <c r="G68" s="17">
        <f>F68/B2</f>
        <v>0</v>
      </c>
      <c r="H68" s="15">
        <f t="shared" si="5"/>
        <v>0</v>
      </c>
      <c r="I68" s="14">
        <f>H68/B3</f>
        <v>0</v>
      </c>
      <c r="J68" s="2">
        <v>0.6</v>
      </c>
      <c r="K68" s="2">
        <v>0.6</v>
      </c>
      <c r="L68" s="2">
        <v>0.6</v>
      </c>
    </row>
    <row r="69">
      <c r="A69" s="12">
        <v>45255.0</v>
      </c>
      <c r="B69" s="6" t="s">
        <v>17</v>
      </c>
      <c r="C69" s="2">
        <v>0.0</v>
      </c>
      <c r="D69" s="16">
        <f t="shared" si="3"/>
        <v>0</v>
      </c>
      <c r="E69" s="17">
        <f>D69/B1</f>
        <v>0</v>
      </c>
      <c r="F69" s="16">
        <f t="shared" si="4"/>
        <v>0</v>
      </c>
      <c r="G69" s="17">
        <f>F69/B2</f>
        <v>0</v>
      </c>
      <c r="H69" s="15">
        <f t="shared" si="5"/>
        <v>0</v>
      </c>
      <c r="I69" s="14">
        <f>H69/B3</f>
        <v>0</v>
      </c>
      <c r="J69" s="2">
        <v>0.6</v>
      </c>
      <c r="K69" s="2">
        <v>0.6</v>
      </c>
      <c r="L69" s="2">
        <v>0.6</v>
      </c>
    </row>
    <row r="70">
      <c r="A70" s="12">
        <v>45255.0</v>
      </c>
      <c r="B70" s="6" t="s">
        <v>18</v>
      </c>
      <c r="C70" s="2">
        <v>0.0</v>
      </c>
      <c r="D70" s="16">
        <f t="shared" si="3"/>
        <v>0</v>
      </c>
      <c r="E70" s="17">
        <f>D70/B1</f>
        <v>0</v>
      </c>
      <c r="F70" s="16">
        <f t="shared" si="4"/>
        <v>0</v>
      </c>
      <c r="G70" s="17">
        <f>F70/B2</f>
        <v>0</v>
      </c>
      <c r="H70" s="15">
        <f t="shared" si="5"/>
        <v>0</v>
      </c>
      <c r="I70" s="14">
        <f>H70/B3</f>
        <v>0</v>
      </c>
      <c r="J70" s="2">
        <v>0.6</v>
      </c>
      <c r="K70" s="2">
        <v>0.6</v>
      </c>
      <c r="L70" s="2">
        <v>0.6</v>
      </c>
    </row>
    <row r="71">
      <c r="A71" s="12">
        <v>45255.0</v>
      </c>
      <c r="B71" s="6" t="s">
        <v>19</v>
      </c>
      <c r="C71" s="2">
        <v>0.0</v>
      </c>
      <c r="D71" s="16">
        <f t="shared" si="3"/>
        <v>0</v>
      </c>
      <c r="E71" s="17">
        <f>D71/B1</f>
        <v>0</v>
      </c>
      <c r="F71" s="16">
        <f t="shared" si="4"/>
        <v>0</v>
      </c>
      <c r="G71" s="17">
        <f>F71/B2</f>
        <v>0</v>
      </c>
      <c r="H71" s="15">
        <f t="shared" si="5"/>
        <v>0</v>
      </c>
      <c r="I71" s="14">
        <f>H71/B3</f>
        <v>0</v>
      </c>
      <c r="J71" s="2">
        <v>0.6</v>
      </c>
      <c r="K71" s="2">
        <v>0.6</v>
      </c>
      <c r="L71" s="2">
        <v>0.6</v>
      </c>
    </row>
    <row r="72">
      <c r="A72" s="12">
        <v>45256.0</v>
      </c>
      <c r="B72" s="6" t="s">
        <v>17</v>
      </c>
      <c r="C72" s="2">
        <v>0.0</v>
      </c>
      <c r="D72" s="16">
        <f t="shared" si="3"/>
        <v>0</v>
      </c>
      <c r="E72" s="17">
        <f>D72/B1</f>
        <v>0</v>
      </c>
      <c r="F72" s="16">
        <f t="shared" si="4"/>
        <v>0</v>
      </c>
      <c r="G72" s="17">
        <f>F72/B2</f>
        <v>0</v>
      </c>
      <c r="H72" s="15">
        <f t="shared" si="5"/>
        <v>0</v>
      </c>
      <c r="I72" s="14">
        <f>H72/B3</f>
        <v>0</v>
      </c>
      <c r="J72" s="2">
        <v>0.6</v>
      </c>
      <c r="K72" s="2">
        <v>0.6</v>
      </c>
      <c r="L72" s="2">
        <v>0.6</v>
      </c>
    </row>
    <row r="73">
      <c r="A73" s="12">
        <v>45256.0</v>
      </c>
      <c r="B73" s="6" t="s">
        <v>18</v>
      </c>
      <c r="C73" s="2">
        <v>0.0</v>
      </c>
      <c r="D73" s="16">
        <f t="shared" si="3"/>
        <v>0</v>
      </c>
      <c r="E73" s="17">
        <f>D73/B1</f>
        <v>0</v>
      </c>
      <c r="F73" s="16">
        <f t="shared" si="4"/>
        <v>0</v>
      </c>
      <c r="G73" s="17">
        <f>F73/B2</f>
        <v>0</v>
      </c>
      <c r="H73" s="15">
        <f t="shared" si="5"/>
        <v>0</v>
      </c>
      <c r="I73" s="14">
        <f>H73/B3</f>
        <v>0</v>
      </c>
      <c r="J73" s="2">
        <v>0.6</v>
      </c>
      <c r="K73" s="2">
        <v>0.6</v>
      </c>
      <c r="L73" s="2">
        <v>0.6</v>
      </c>
    </row>
    <row r="74">
      <c r="A74" s="12">
        <v>45256.0</v>
      </c>
      <c r="B74" s="6" t="s">
        <v>19</v>
      </c>
      <c r="C74" s="2">
        <v>0.0</v>
      </c>
      <c r="D74" s="16">
        <f t="shared" si="3"/>
        <v>0</v>
      </c>
      <c r="E74" s="17">
        <f>D74/B1</f>
        <v>0</v>
      </c>
      <c r="F74" s="16">
        <f t="shared" si="4"/>
        <v>0</v>
      </c>
      <c r="G74" s="17">
        <f>F74/B2</f>
        <v>0</v>
      </c>
      <c r="H74" s="15">
        <f t="shared" si="5"/>
        <v>0</v>
      </c>
      <c r="I74" s="14">
        <f>H74/B3</f>
        <v>0</v>
      </c>
      <c r="J74" s="2">
        <v>0.6</v>
      </c>
      <c r="K74" s="2">
        <v>0.45</v>
      </c>
      <c r="L74" s="2">
        <v>0.45</v>
      </c>
    </row>
    <row r="75">
      <c r="A75" s="12">
        <v>45257.0</v>
      </c>
      <c r="B75" s="6" t="s">
        <v>17</v>
      </c>
      <c r="C75" s="2">
        <v>0.0</v>
      </c>
      <c r="D75" s="16">
        <f t="shared" si="3"/>
        <v>0</v>
      </c>
      <c r="E75" s="17">
        <f>D75/B1</f>
        <v>0</v>
      </c>
      <c r="F75" s="16">
        <f t="shared" si="4"/>
        <v>0</v>
      </c>
      <c r="G75" s="17">
        <f>F75/B2</f>
        <v>0</v>
      </c>
      <c r="H75" s="15">
        <f t="shared" si="5"/>
        <v>0</v>
      </c>
      <c r="I75" s="14">
        <f>H75/B3</f>
        <v>0</v>
      </c>
      <c r="J75" s="2">
        <v>0.3</v>
      </c>
      <c r="K75" s="2">
        <v>0.45</v>
      </c>
      <c r="L75" s="2">
        <v>0.45</v>
      </c>
    </row>
    <row r="76">
      <c r="A76" s="12">
        <v>45257.0</v>
      </c>
      <c r="B76" s="6" t="s">
        <v>18</v>
      </c>
      <c r="C76" s="2">
        <v>0.0</v>
      </c>
      <c r="D76" s="16">
        <f t="shared" si="3"/>
        <v>0</v>
      </c>
      <c r="E76" s="17">
        <f>D76/B1</f>
        <v>0</v>
      </c>
      <c r="F76" s="16">
        <f t="shared" si="4"/>
        <v>0</v>
      </c>
      <c r="G76" s="17">
        <f>F76/B2</f>
        <v>0</v>
      </c>
      <c r="H76" s="15">
        <f t="shared" si="5"/>
        <v>0</v>
      </c>
      <c r="I76" s="14">
        <f>H76/B3</f>
        <v>0</v>
      </c>
      <c r="J76" s="2">
        <v>0.3</v>
      </c>
      <c r="K76" s="2">
        <v>0.45</v>
      </c>
      <c r="L76" s="2">
        <v>0.45</v>
      </c>
    </row>
    <row r="77">
      <c r="A77" s="12">
        <v>45257.0</v>
      </c>
      <c r="B77" s="6" t="s">
        <v>19</v>
      </c>
      <c r="C77" s="2">
        <v>0.0</v>
      </c>
      <c r="D77" s="16">
        <f t="shared" si="3"/>
        <v>0</v>
      </c>
      <c r="E77" s="17">
        <f>D77/B1</f>
        <v>0</v>
      </c>
      <c r="F77" s="16">
        <f t="shared" si="4"/>
        <v>0</v>
      </c>
      <c r="G77" s="17">
        <f>F77/B2</f>
        <v>0</v>
      </c>
      <c r="H77" s="15">
        <f t="shared" si="5"/>
        <v>0</v>
      </c>
      <c r="I77" s="14">
        <f>H77/B3</f>
        <v>0</v>
      </c>
      <c r="J77" s="2">
        <v>0.3</v>
      </c>
      <c r="K77" s="2">
        <v>0.45</v>
      </c>
      <c r="L77" s="2">
        <v>0.45</v>
      </c>
    </row>
    <row r="78">
      <c r="A78" s="12">
        <v>45258.0</v>
      </c>
      <c r="B78" s="6" t="s">
        <v>17</v>
      </c>
      <c r="C78" s="2">
        <v>0.0</v>
      </c>
      <c r="D78" s="16">
        <f t="shared" si="3"/>
        <v>0</v>
      </c>
      <c r="E78" s="17">
        <f>D78/B1</f>
        <v>0</v>
      </c>
      <c r="F78" s="16">
        <f t="shared" si="4"/>
        <v>0</v>
      </c>
      <c r="G78" s="17">
        <f>F78/B2</f>
        <v>0</v>
      </c>
      <c r="H78" s="15">
        <f t="shared" si="5"/>
        <v>0</v>
      </c>
      <c r="I78" s="14">
        <f>H78/B3</f>
        <v>0</v>
      </c>
      <c r="J78" s="2">
        <v>0.3</v>
      </c>
      <c r="K78" s="2">
        <v>0.45</v>
      </c>
      <c r="L78" s="2">
        <v>0.45</v>
      </c>
    </row>
    <row r="79">
      <c r="A79" s="12">
        <v>45258.0</v>
      </c>
      <c r="B79" s="6" t="s">
        <v>18</v>
      </c>
      <c r="C79" s="2">
        <v>0.0</v>
      </c>
      <c r="D79" s="16">
        <f t="shared" si="3"/>
        <v>0</v>
      </c>
      <c r="E79" s="17">
        <f>D79/B1</f>
        <v>0</v>
      </c>
      <c r="F79" s="16">
        <f t="shared" si="4"/>
        <v>0</v>
      </c>
      <c r="G79" s="17">
        <f>F79/B2</f>
        <v>0</v>
      </c>
      <c r="H79" s="15">
        <f t="shared" si="5"/>
        <v>0</v>
      </c>
      <c r="I79" s="14">
        <f>H79/B3</f>
        <v>0</v>
      </c>
      <c r="J79" s="2">
        <v>0.3</v>
      </c>
      <c r="K79" s="2">
        <v>0.45</v>
      </c>
      <c r="L79" s="2">
        <v>0.45</v>
      </c>
    </row>
    <row r="80">
      <c r="A80" s="12">
        <v>45258.0</v>
      </c>
      <c r="B80" s="6" t="s">
        <v>19</v>
      </c>
      <c r="C80" s="2">
        <v>0.0</v>
      </c>
      <c r="D80" s="16">
        <f t="shared" si="3"/>
        <v>0</v>
      </c>
      <c r="E80" s="17">
        <f>D80/B1</f>
        <v>0</v>
      </c>
      <c r="F80" s="16">
        <f t="shared" si="4"/>
        <v>0</v>
      </c>
      <c r="G80" s="17">
        <f>F80/B2</f>
        <v>0</v>
      </c>
      <c r="H80" s="15">
        <f t="shared" si="5"/>
        <v>0</v>
      </c>
      <c r="I80" s="14">
        <f>H80/B3</f>
        <v>0</v>
      </c>
      <c r="J80" s="2">
        <v>0.15</v>
      </c>
      <c r="K80" s="2">
        <v>0.15</v>
      </c>
      <c r="L80" s="2">
        <v>0.0</v>
      </c>
    </row>
    <row r="81">
      <c r="A81" s="12">
        <v>45259.0</v>
      </c>
      <c r="B81" s="6" t="s">
        <v>17</v>
      </c>
      <c r="C81" s="2">
        <v>0.0</v>
      </c>
      <c r="D81" s="16">
        <f t="shared" si="3"/>
        <v>0</v>
      </c>
      <c r="E81" s="17">
        <f>D81/B1</f>
        <v>0</v>
      </c>
      <c r="F81" s="16">
        <f t="shared" si="4"/>
        <v>0</v>
      </c>
      <c r="G81" s="17">
        <f>F81/B2</f>
        <v>0</v>
      </c>
      <c r="H81" s="15">
        <f t="shared" si="5"/>
        <v>0</v>
      </c>
      <c r="I81" s="14">
        <f>H81/B3</f>
        <v>0</v>
      </c>
      <c r="J81" s="2">
        <v>0.15</v>
      </c>
      <c r="K81" s="2">
        <v>0.15</v>
      </c>
      <c r="L81" s="2">
        <v>0.0</v>
      </c>
    </row>
    <row r="82">
      <c r="A82" s="12">
        <v>45259.0</v>
      </c>
      <c r="B82" s="6" t="s">
        <v>18</v>
      </c>
      <c r="C82" s="2">
        <v>0.0</v>
      </c>
      <c r="D82" s="16">
        <f t="shared" si="3"/>
        <v>0</v>
      </c>
      <c r="E82" s="17">
        <f>D82/B1</f>
        <v>0</v>
      </c>
      <c r="F82" s="16">
        <f t="shared" si="4"/>
        <v>0</v>
      </c>
      <c r="G82" s="17">
        <f>F82/B2</f>
        <v>0</v>
      </c>
      <c r="H82" s="15">
        <f t="shared" si="5"/>
        <v>0</v>
      </c>
      <c r="I82" s="14">
        <f>H82/B3</f>
        <v>0</v>
      </c>
      <c r="J82" s="2">
        <v>0.15</v>
      </c>
      <c r="K82" s="2">
        <v>0.15</v>
      </c>
      <c r="L82" s="2">
        <v>0.0</v>
      </c>
    </row>
    <row r="83">
      <c r="A83" s="12">
        <v>45259.0</v>
      </c>
      <c r="B83" s="6" t="s">
        <v>19</v>
      </c>
      <c r="C83" s="2">
        <v>0.0</v>
      </c>
      <c r="D83" s="16">
        <f t="shared" si="3"/>
        <v>0</v>
      </c>
      <c r="E83" s="17">
        <f>D83/B1</f>
        <v>0</v>
      </c>
      <c r="F83" s="16">
        <f t="shared" si="4"/>
        <v>0</v>
      </c>
      <c r="G83" s="17">
        <f>F83/B2</f>
        <v>0</v>
      </c>
      <c r="H83" s="15">
        <f t="shared" si="5"/>
        <v>0</v>
      </c>
      <c r="I83" s="14">
        <f>H83/B3</f>
        <v>0</v>
      </c>
      <c r="J83" s="2">
        <v>0.0</v>
      </c>
      <c r="K83" s="2">
        <v>0.0</v>
      </c>
      <c r="L83" s="2">
        <v>0.0</v>
      </c>
    </row>
    <row r="84">
      <c r="A84" s="12"/>
      <c r="B84" s="6"/>
      <c r="C84" s="2"/>
      <c r="D84" s="18"/>
      <c r="E84" s="17"/>
      <c r="F84" s="16"/>
      <c r="G84" s="17"/>
      <c r="H84" s="15"/>
      <c r="I84" s="14"/>
      <c r="J84" s="2"/>
      <c r="K84" s="2"/>
      <c r="L84" s="2"/>
    </row>
    <row r="85">
      <c r="A85" s="12"/>
      <c r="B85" s="6"/>
      <c r="C85" s="2"/>
      <c r="D85" s="18"/>
      <c r="E85" s="17"/>
      <c r="F85" s="16"/>
      <c r="G85" s="17"/>
      <c r="H85" s="15"/>
      <c r="I85" s="14"/>
      <c r="J85" s="2"/>
      <c r="K85" s="2"/>
      <c r="L85" s="2"/>
    </row>
    <row r="86">
      <c r="A86" s="12"/>
      <c r="B86" s="6"/>
      <c r="C86" s="2"/>
      <c r="D86" s="18"/>
      <c r="E86" s="17"/>
      <c r="F86" s="16"/>
      <c r="G86" s="17"/>
      <c r="H86" s="15"/>
      <c r="I86" s="14"/>
      <c r="J86" s="2"/>
      <c r="K86" s="2"/>
      <c r="L86" s="2"/>
    </row>
    <row r="87">
      <c r="A87" s="12"/>
      <c r="B87" s="6"/>
      <c r="C87" s="2"/>
      <c r="D87" s="18"/>
      <c r="E87" s="17"/>
      <c r="F87" s="16"/>
      <c r="G87" s="17"/>
      <c r="H87" s="15"/>
      <c r="I87" s="14"/>
      <c r="J87" s="2"/>
      <c r="K87" s="2"/>
      <c r="L87" s="2"/>
    </row>
    <row r="88">
      <c r="A88" s="12"/>
      <c r="B88" s="6"/>
      <c r="C88" s="2"/>
      <c r="D88" s="18"/>
      <c r="E88" s="17"/>
      <c r="F88" s="16"/>
      <c r="G88" s="17"/>
      <c r="H88" s="15"/>
      <c r="I88" s="14"/>
      <c r="J88" s="2"/>
      <c r="K88" s="2"/>
      <c r="L88" s="2"/>
    </row>
    <row r="89">
      <c r="A89" s="12"/>
      <c r="B89" s="6"/>
      <c r="C89" s="2"/>
      <c r="D89" s="18"/>
      <c r="E89" s="17"/>
      <c r="F89" s="16"/>
      <c r="G89" s="17"/>
      <c r="H89" s="15"/>
      <c r="I89" s="14"/>
      <c r="J89" s="2"/>
      <c r="K89" s="2"/>
      <c r="L89" s="2"/>
    </row>
    <row r="90">
      <c r="A90" s="12"/>
      <c r="B90" s="6"/>
      <c r="C90" s="2"/>
      <c r="D90" s="18"/>
      <c r="E90" s="17"/>
      <c r="F90" s="16"/>
      <c r="G90" s="17"/>
      <c r="H90" s="15"/>
      <c r="I90" s="14"/>
      <c r="J90" s="2"/>
      <c r="K90" s="2"/>
      <c r="L90" s="2"/>
    </row>
    <row r="91">
      <c r="A91" s="12"/>
      <c r="B91" s="6"/>
      <c r="C91" s="2"/>
      <c r="D91" s="18"/>
      <c r="E91" s="17"/>
      <c r="F91" s="16"/>
      <c r="G91" s="17"/>
      <c r="H91" s="15"/>
      <c r="I91" s="14"/>
      <c r="J91" s="2"/>
      <c r="K91" s="2"/>
      <c r="L91" s="2"/>
    </row>
    <row r="92">
      <c r="A92" s="12"/>
      <c r="B92" s="6"/>
      <c r="C92" s="2"/>
      <c r="D92" s="18"/>
      <c r="E92" s="17"/>
      <c r="F92" s="16"/>
      <c r="G92" s="17"/>
      <c r="H92" s="15"/>
      <c r="I92" s="14"/>
      <c r="J92" s="2"/>
      <c r="K92" s="2"/>
      <c r="L92" s="2"/>
    </row>
    <row r="93">
      <c r="A93" s="12"/>
      <c r="B93" s="6"/>
      <c r="C93" s="2"/>
      <c r="D93" s="18"/>
      <c r="E93" s="17"/>
      <c r="F93" s="16"/>
      <c r="G93" s="17"/>
      <c r="H93" s="15"/>
      <c r="I93" s="14"/>
      <c r="J93" s="2"/>
      <c r="K93" s="2"/>
      <c r="L93" s="2"/>
    </row>
    <row r="94">
      <c r="A94" s="12"/>
      <c r="B94" s="6"/>
      <c r="C94" s="2"/>
      <c r="D94" s="18"/>
      <c r="E94" s="17"/>
      <c r="F94" s="16"/>
      <c r="G94" s="17"/>
      <c r="H94" s="15"/>
      <c r="I94" s="14"/>
      <c r="J94" s="2"/>
      <c r="K94" s="2"/>
      <c r="L94" s="2"/>
    </row>
    <row r="95">
      <c r="A95" s="12"/>
      <c r="B95" s="6"/>
      <c r="C95" s="2"/>
      <c r="D95" s="18"/>
      <c r="E95" s="17"/>
      <c r="F95" s="16"/>
      <c r="G95" s="17"/>
      <c r="H95" s="15"/>
      <c r="I95" s="14"/>
      <c r="J95" s="2"/>
      <c r="K95" s="2"/>
      <c r="L95" s="2"/>
    </row>
    <row r="96">
      <c r="B96" s="19"/>
    </row>
    <row r="97">
      <c r="B97" s="19"/>
    </row>
    <row r="98">
      <c r="B98" s="19"/>
    </row>
    <row r="99">
      <c r="B99" s="19"/>
    </row>
    <row r="100">
      <c r="B100" s="19"/>
    </row>
    <row r="101">
      <c r="B101" s="19"/>
    </row>
    <row r="102">
      <c r="B102" s="19"/>
    </row>
  </sheetData>
  <dataValidations>
    <dataValidation type="list" allowBlank="1" showErrorMessage="1" sqref="B6:B102">
      <formula1>"Hindu Kush,Gorilla Glue #4,Blueberry Haze"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47.13"/>
    <col customWidth="1" min="2" max="2" width="20.0"/>
    <col customWidth="1" min="3" max="3" width="10.25"/>
    <col customWidth="1" min="4" max="4" width="17.0"/>
    <col customWidth="1" min="5" max="5" width="15.0"/>
    <col customWidth="1" min="6" max="6" width="17.0"/>
    <col customWidth="1" min="7" max="7" width="16.13"/>
    <col customWidth="1" min="8" max="9" width="16.38"/>
    <col customWidth="1" min="10" max="10" width="12.63"/>
    <col customWidth="1" min="11" max="11" width="14.88"/>
    <col customWidth="1" min="12" max="12" width="13.0"/>
  </cols>
  <sheetData>
    <row r="1">
      <c r="A1" s="1" t="s">
        <v>0</v>
      </c>
      <c r="B1" s="2">
        <v>20.0</v>
      </c>
      <c r="C1" s="4">
        <f>D116</f>
        <v>0</v>
      </c>
      <c r="D1" s="5">
        <f t="shared" ref="D1:D4" si="1">C1/B1</f>
        <v>0</v>
      </c>
      <c r="G1" s="1" t="s">
        <v>1</v>
      </c>
      <c r="H1" s="3">
        <f>IFERROR(__xludf.DUMMYFUNCTION("COUNTUNIQUE(A6:A116)"),37.0)</f>
        <v>37</v>
      </c>
      <c r="I1" s="3"/>
      <c r="J1" s="6"/>
      <c r="K1" s="3"/>
      <c r="L1" s="3"/>
      <c r="M1" s="7"/>
      <c r="N1" s="7"/>
    </row>
    <row r="2">
      <c r="A2" s="1" t="s">
        <v>4</v>
      </c>
      <c r="B2" s="2">
        <v>25.0</v>
      </c>
      <c r="C2" s="4">
        <f>F116</f>
        <v>0</v>
      </c>
      <c r="D2" s="5">
        <f t="shared" si="1"/>
        <v>0</v>
      </c>
      <c r="G2" s="1" t="s">
        <v>5</v>
      </c>
      <c r="H2" s="3">
        <f>(B1+B2+B3)/F4</f>
        <v>37</v>
      </c>
      <c r="I2" s="3"/>
      <c r="J2" s="3"/>
      <c r="K2" s="3"/>
      <c r="L2" s="3"/>
      <c r="M2" s="7"/>
      <c r="N2" s="7"/>
    </row>
    <row r="3">
      <c r="A3" s="1" t="s">
        <v>6</v>
      </c>
      <c r="B3" s="2">
        <v>15.0</v>
      </c>
      <c r="C3" s="4">
        <f>H116</f>
        <v>0</v>
      </c>
      <c r="D3" s="8">
        <f t="shared" si="1"/>
        <v>0</v>
      </c>
      <c r="E3" s="3"/>
      <c r="F3" s="6"/>
      <c r="G3" s="3"/>
      <c r="H3" s="3"/>
      <c r="I3" s="3"/>
      <c r="J3" s="3"/>
      <c r="K3" s="3"/>
      <c r="L3" s="3"/>
      <c r="M3" s="7"/>
      <c r="N3" s="7"/>
    </row>
    <row r="4">
      <c r="A4" s="3"/>
      <c r="B4" s="9">
        <f t="shared" ref="B4:C4" si="2">SUM(B1:B3)</f>
        <v>60</v>
      </c>
      <c r="C4" s="9">
        <f t="shared" si="2"/>
        <v>0</v>
      </c>
      <c r="D4" s="5">
        <f t="shared" si="1"/>
        <v>0</v>
      </c>
      <c r="E4" s="1" t="s">
        <v>7</v>
      </c>
      <c r="F4" s="3">
        <f>SUM(C6:C116)/H1</f>
        <v>1.621621622</v>
      </c>
      <c r="G4" s="3"/>
      <c r="H4" s="3"/>
      <c r="I4" s="3"/>
      <c r="J4" s="3"/>
      <c r="K4" s="3"/>
      <c r="L4" s="3"/>
      <c r="M4" s="7"/>
      <c r="N4" s="7"/>
    </row>
    <row r="5">
      <c r="A5" s="10" t="s">
        <v>8</v>
      </c>
      <c r="B5" s="10" t="s">
        <v>9</v>
      </c>
      <c r="C5" s="10" t="s">
        <v>10</v>
      </c>
      <c r="D5" s="10" t="s">
        <v>11</v>
      </c>
      <c r="E5" s="10" t="s">
        <v>11</v>
      </c>
      <c r="F5" s="10" t="s">
        <v>12</v>
      </c>
      <c r="G5" s="10" t="s">
        <v>12</v>
      </c>
      <c r="H5" s="10" t="s">
        <v>13</v>
      </c>
      <c r="I5" s="10" t="s">
        <v>13</v>
      </c>
      <c r="J5" s="10" t="s">
        <v>14</v>
      </c>
      <c r="K5" s="10" t="s">
        <v>15</v>
      </c>
      <c r="L5" s="10" t="s">
        <v>16</v>
      </c>
      <c r="M5" s="7"/>
      <c r="N5" s="7"/>
    </row>
    <row r="6">
      <c r="A6" s="12">
        <v>45265.0</v>
      </c>
      <c r="B6" s="6" t="s">
        <v>17</v>
      </c>
      <c r="C6" s="2">
        <v>1.76</v>
      </c>
      <c r="D6" s="4">
        <f>IF(B6="Hindu Kush",B1-C6,B1)</f>
        <v>18.24</v>
      </c>
      <c r="E6" s="13">
        <f>D6/B1</f>
        <v>0.912</v>
      </c>
      <c r="F6" s="2">
        <f>IF(B6="Gorilla Glue #4",B2-C6,B2)</f>
        <v>25</v>
      </c>
      <c r="G6" s="14">
        <f>F6/B2</f>
        <v>1</v>
      </c>
      <c r="H6" s="15">
        <f>IF(B6="Blueberry Haze",B3-C6,B3)</f>
        <v>15</v>
      </c>
      <c r="I6" s="14">
        <f>H6/B3</f>
        <v>1</v>
      </c>
      <c r="J6" s="2">
        <v>0.6</v>
      </c>
      <c r="K6" s="2">
        <v>0.0</v>
      </c>
      <c r="L6" s="2">
        <v>0.0</v>
      </c>
      <c r="M6" s="7"/>
      <c r="N6" s="7"/>
    </row>
    <row r="7">
      <c r="A7" s="12">
        <v>45265.0</v>
      </c>
      <c r="B7" s="6" t="s">
        <v>18</v>
      </c>
      <c r="C7" s="2">
        <v>2.04</v>
      </c>
      <c r="D7" s="16">
        <f t="shared" ref="D7:D116" si="3">IF(B7="Hindu Kush",D6-C7,D6)</f>
        <v>18.24</v>
      </c>
      <c r="E7" s="17">
        <f>D7/B1</f>
        <v>0.912</v>
      </c>
      <c r="F7" s="16">
        <f t="shared" ref="F7:F116" si="4">IF(B7="Gorilla Glue #4",F6-C7,F6)</f>
        <v>22.96</v>
      </c>
      <c r="G7" s="17">
        <f>F7/B2</f>
        <v>0.9184</v>
      </c>
      <c r="H7" s="15">
        <f t="shared" ref="H7:H116" si="5">IF(B7="Blueberry Haze",H6-C7,H6)</f>
        <v>15</v>
      </c>
      <c r="I7" s="14">
        <f>H7/B3</f>
        <v>1</v>
      </c>
      <c r="J7" s="2">
        <v>0.6</v>
      </c>
      <c r="K7" s="2">
        <v>0.6</v>
      </c>
      <c r="L7" s="2">
        <v>0.0</v>
      </c>
      <c r="M7" s="7"/>
      <c r="N7" s="7"/>
    </row>
    <row r="8">
      <c r="A8" s="12">
        <v>45265.0</v>
      </c>
      <c r="B8" s="6" t="s">
        <v>19</v>
      </c>
      <c r="C8" s="2">
        <v>1.79</v>
      </c>
      <c r="D8" s="16">
        <f t="shared" si="3"/>
        <v>18.24</v>
      </c>
      <c r="E8" s="17">
        <f>D8/B1</f>
        <v>0.912</v>
      </c>
      <c r="F8" s="16">
        <f t="shared" si="4"/>
        <v>22.96</v>
      </c>
      <c r="G8" s="17">
        <f>F8/B2</f>
        <v>0.9184</v>
      </c>
      <c r="H8" s="15">
        <f t="shared" si="5"/>
        <v>13.21</v>
      </c>
      <c r="I8" s="14">
        <f>H8/B3</f>
        <v>0.8806666667</v>
      </c>
      <c r="J8" s="2">
        <v>0.6</v>
      </c>
      <c r="K8" s="2">
        <v>0.6</v>
      </c>
      <c r="L8" s="2">
        <v>0.6</v>
      </c>
      <c r="M8" s="7"/>
      <c r="N8" s="7"/>
    </row>
    <row r="9">
      <c r="A9" s="12">
        <v>45266.0</v>
      </c>
      <c r="B9" s="6" t="s">
        <v>17</v>
      </c>
      <c r="C9" s="2">
        <v>0.39</v>
      </c>
      <c r="D9" s="16">
        <f t="shared" si="3"/>
        <v>17.85</v>
      </c>
      <c r="E9" s="17">
        <f>D9/B1</f>
        <v>0.8925</v>
      </c>
      <c r="F9" s="16">
        <f t="shared" si="4"/>
        <v>22.96</v>
      </c>
      <c r="G9" s="17">
        <f>F9/B2</f>
        <v>0.9184</v>
      </c>
      <c r="H9" s="15">
        <f t="shared" si="5"/>
        <v>13.21</v>
      </c>
      <c r="I9" s="14">
        <f>H9/B3</f>
        <v>0.8806666667</v>
      </c>
      <c r="J9" s="2">
        <v>0.6</v>
      </c>
      <c r="K9" s="2">
        <v>0.6</v>
      </c>
      <c r="L9" s="2">
        <v>0.6</v>
      </c>
      <c r="M9" s="7"/>
      <c r="N9" s="7"/>
    </row>
    <row r="10">
      <c r="A10" s="12">
        <v>45266.0</v>
      </c>
      <c r="B10" s="6" t="s">
        <v>18</v>
      </c>
      <c r="C10" s="2">
        <v>0.44</v>
      </c>
      <c r="D10" s="16">
        <f t="shared" si="3"/>
        <v>17.85</v>
      </c>
      <c r="E10" s="17">
        <f>D10/B1</f>
        <v>0.8925</v>
      </c>
      <c r="F10" s="16">
        <f t="shared" si="4"/>
        <v>22.52</v>
      </c>
      <c r="G10" s="17">
        <f>F10/B2</f>
        <v>0.9008</v>
      </c>
      <c r="H10" s="15">
        <f t="shared" si="5"/>
        <v>13.21</v>
      </c>
      <c r="I10" s="14">
        <f>H10/B3</f>
        <v>0.8806666667</v>
      </c>
      <c r="J10" s="2">
        <v>0.6</v>
      </c>
      <c r="K10" s="2">
        <v>0.6</v>
      </c>
      <c r="L10" s="2">
        <v>0.6</v>
      </c>
      <c r="M10" s="7"/>
      <c r="N10" s="7"/>
    </row>
    <row r="11">
      <c r="A11" s="12">
        <v>45266.0</v>
      </c>
      <c r="B11" s="6" t="s">
        <v>19</v>
      </c>
      <c r="C11" s="2">
        <v>0.37</v>
      </c>
      <c r="D11" s="16">
        <f t="shared" si="3"/>
        <v>17.85</v>
      </c>
      <c r="E11" s="17">
        <f>D11/B1</f>
        <v>0.8925</v>
      </c>
      <c r="F11" s="16">
        <f t="shared" si="4"/>
        <v>22.52</v>
      </c>
      <c r="G11" s="17">
        <f>F11/B2</f>
        <v>0.9008</v>
      </c>
      <c r="H11" s="15">
        <f t="shared" si="5"/>
        <v>12.84</v>
      </c>
      <c r="I11" s="14">
        <f>H11/B3</f>
        <v>0.856</v>
      </c>
      <c r="J11" s="2">
        <v>0.6</v>
      </c>
      <c r="K11" s="2">
        <v>0.6</v>
      </c>
      <c r="L11" s="2">
        <v>0.6</v>
      </c>
      <c r="M11" s="7"/>
      <c r="N11" s="7"/>
    </row>
    <row r="12">
      <c r="A12" s="12">
        <v>45267.0</v>
      </c>
      <c r="B12" s="6" t="s">
        <v>17</v>
      </c>
      <c r="C12" s="2">
        <v>0.92</v>
      </c>
      <c r="D12" s="16">
        <f t="shared" si="3"/>
        <v>16.93</v>
      </c>
      <c r="E12" s="17">
        <f>D12/B1</f>
        <v>0.8465</v>
      </c>
      <c r="F12" s="16">
        <f t="shared" si="4"/>
        <v>22.52</v>
      </c>
      <c r="G12" s="17">
        <f>F12/B2</f>
        <v>0.9008</v>
      </c>
      <c r="H12" s="15">
        <f t="shared" si="5"/>
        <v>12.84</v>
      </c>
      <c r="I12" s="14">
        <f>H12/B3</f>
        <v>0.856</v>
      </c>
      <c r="J12" s="2">
        <v>1.2</v>
      </c>
      <c r="K12" s="2">
        <v>0.6</v>
      </c>
      <c r="L12" s="2">
        <v>0.6</v>
      </c>
      <c r="M12" s="7"/>
      <c r="N12" s="7"/>
    </row>
    <row r="13">
      <c r="A13" s="12">
        <v>45267.0</v>
      </c>
      <c r="B13" s="6" t="s">
        <v>18</v>
      </c>
      <c r="C13" s="2">
        <v>1.0</v>
      </c>
      <c r="D13" s="16">
        <f t="shared" si="3"/>
        <v>16.93</v>
      </c>
      <c r="E13" s="17">
        <f>D13/B1</f>
        <v>0.8465</v>
      </c>
      <c r="F13" s="16">
        <f t="shared" si="4"/>
        <v>21.52</v>
      </c>
      <c r="G13" s="17">
        <f>F13/B2</f>
        <v>0.8608</v>
      </c>
      <c r="H13" s="15">
        <f t="shared" si="5"/>
        <v>12.84</v>
      </c>
      <c r="I13" s="14">
        <f>H13/B3</f>
        <v>0.856</v>
      </c>
      <c r="J13" s="2">
        <v>1.2</v>
      </c>
      <c r="K13" s="2">
        <v>1.2</v>
      </c>
      <c r="L13" s="2">
        <v>0.6</v>
      </c>
      <c r="M13" s="7"/>
      <c r="N13" s="7"/>
    </row>
    <row r="14">
      <c r="A14" s="12">
        <v>45267.0</v>
      </c>
      <c r="B14" s="6" t="s">
        <v>19</v>
      </c>
      <c r="C14" s="2">
        <v>0.88</v>
      </c>
      <c r="D14" s="16">
        <f t="shared" si="3"/>
        <v>16.93</v>
      </c>
      <c r="E14" s="17">
        <f>D14/B1</f>
        <v>0.8465</v>
      </c>
      <c r="F14" s="16">
        <f t="shared" si="4"/>
        <v>21.52</v>
      </c>
      <c r="G14" s="17">
        <f>F14/B2</f>
        <v>0.8608</v>
      </c>
      <c r="H14" s="15">
        <f t="shared" si="5"/>
        <v>11.96</v>
      </c>
      <c r="I14" s="14">
        <f>H14/B3</f>
        <v>0.7973333333</v>
      </c>
      <c r="J14" s="2">
        <v>1.2</v>
      </c>
      <c r="K14" s="2">
        <v>1.2</v>
      </c>
      <c r="L14" s="2">
        <v>1.2</v>
      </c>
      <c r="M14" s="7"/>
      <c r="N14" s="7"/>
    </row>
    <row r="15">
      <c r="A15" s="12">
        <v>45268.0</v>
      </c>
      <c r="B15" s="6" t="s">
        <v>17</v>
      </c>
      <c r="C15" s="2">
        <v>0.0</v>
      </c>
      <c r="D15" s="16">
        <f t="shared" si="3"/>
        <v>16.93</v>
      </c>
      <c r="E15" s="17">
        <f>D15/B1</f>
        <v>0.8465</v>
      </c>
      <c r="F15" s="16">
        <f t="shared" si="4"/>
        <v>21.52</v>
      </c>
      <c r="G15" s="17">
        <f>F15/B2</f>
        <v>0.8608</v>
      </c>
      <c r="H15" s="15">
        <f t="shared" si="5"/>
        <v>11.96</v>
      </c>
      <c r="I15" s="14">
        <f>H15/B3</f>
        <v>0.7973333333</v>
      </c>
      <c r="J15" s="2">
        <v>1.2</v>
      </c>
      <c r="K15" s="2">
        <v>1.2</v>
      </c>
      <c r="L15" s="2">
        <v>1.2</v>
      </c>
      <c r="M15" s="7"/>
      <c r="N15" s="7"/>
    </row>
    <row r="16">
      <c r="A16" s="12">
        <v>45268.0</v>
      </c>
      <c r="B16" s="6" t="s">
        <v>18</v>
      </c>
      <c r="C16" s="2">
        <v>0.46</v>
      </c>
      <c r="D16" s="16">
        <f t="shared" si="3"/>
        <v>16.93</v>
      </c>
      <c r="E16" s="17">
        <f>D16/B1</f>
        <v>0.8465</v>
      </c>
      <c r="F16" s="16">
        <f t="shared" si="4"/>
        <v>21.06</v>
      </c>
      <c r="G16" s="17">
        <f>F16/B2</f>
        <v>0.8424</v>
      </c>
      <c r="H16" s="15">
        <f t="shared" si="5"/>
        <v>11.96</v>
      </c>
      <c r="I16" s="14">
        <f>H16/B3</f>
        <v>0.7973333333</v>
      </c>
      <c r="J16" s="2">
        <v>1.2</v>
      </c>
      <c r="K16" s="2">
        <v>1.2</v>
      </c>
      <c r="L16" s="2">
        <v>1.2</v>
      </c>
      <c r="M16" s="7"/>
      <c r="N16" s="7"/>
    </row>
    <row r="17">
      <c r="A17" s="12">
        <v>45268.0</v>
      </c>
      <c r="B17" s="6" t="s">
        <v>19</v>
      </c>
      <c r="C17" s="2">
        <v>0.39</v>
      </c>
      <c r="D17" s="16">
        <f t="shared" si="3"/>
        <v>16.93</v>
      </c>
      <c r="E17" s="17">
        <f>D17/B1</f>
        <v>0.8465</v>
      </c>
      <c r="F17" s="16">
        <f t="shared" si="4"/>
        <v>21.06</v>
      </c>
      <c r="G17" s="17">
        <f>F17/B2</f>
        <v>0.8424</v>
      </c>
      <c r="H17" s="15">
        <f t="shared" si="5"/>
        <v>11.57</v>
      </c>
      <c r="I17" s="14">
        <f>H17/B3</f>
        <v>0.7713333333</v>
      </c>
      <c r="J17" s="2">
        <v>1.2</v>
      </c>
      <c r="K17" s="2">
        <v>1.2</v>
      </c>
      <c r="L17" s="2">
        <v>1.2</v>
      </c>
      <c r="M17" s="7"/>
      <c r="N17" s="7"/>
    </row>
    <row r="18">
      <c r="A18" s="12">
        <v>45269.0</v>
      </c>
      <c r="B18" s="6" t="s">
        <v>17</v>
      </c>
      <c r="C18" s="2">
        <v>0.6</v>
      </c>
      <c r="D18" s="16">
        <f t="shared" si="3"/>
        <v>16.33</v>
      </c>
      <c r="E18" s="17">
        <f>D18/B1</f>
        <v>0.8165</v>
      </c>
      <c r="F18" s="16">
        <f t="shared" si="4"/>
        <v>21.06</v>
      </c>
      <c r="G18" s="17">
        <f>F18/B2</f>
        <v>0.8424</v>
      </c>
      <c r="H18" s="15">
        <f t="shared" si="5"/>
        <v>11.57</v>
      </c>
      <c r="I18" s="14">
        <f>H18/B3</f>
        <v>0.7713333333</v>
      </c>
      <c r="J18" s="2">
        <v>1.2</v>
      </c>
      <c r="K18" s="2">
        <v>1.2</v>
      </c>
      <c r="L18" s="2">
        <v>1.2</v>
      </c>
      <c r="M18" s="7"/>
      <c r="N18" s="7"/>
    </row>
    <row r="19">
      <c r="A19" s="12">
        <v>45269.0</v>
      </c>
      <c r="B19" s="6" t="s">
        <v>18</v>
      </c>
      <c r="C19" s="2">
        <v>0.53</v>
      </c>
      <c r="D19" s="16">
        <f t="shared" si="3"/>
        <v>16.33</v>
      </c>
      <c r="E19" s="17">
        <f>D19/B1</f>
        <v>0.8165</v>
      </c>
      <c r="F19" s="16">
        <f t="shared" si="4"/>
        <v>20.53</v>
      </c>
      <c r="G19" s="17">
        <f>F19/B2</f>
        <v>0.8212</v>
      </c>
      <c r="H19" s="15">
        <f t="shared" si="5"/>
        <v>11.57</v>
      </c>
      <c r="I19" s="14">
        <f>H19/B3</f>
        <v>0.7713333333</v>
      </c>
      <c r="J19" s="2">
        <v>1.2</v>
      </c>
      <c r="K19" s="2">
        <v>1.2</v>
      </c>
      <c r="L19" s="2">
        <v>1.2</v>
      </c>
      <c r="M19" s="7"/>
      <c r="N19" s="7"/>
    </row>
    <row r="20">
      <c r="A20" s="12">
        <v>45269.0</v>
      </c>
      <c r="B20" s="6" t="s">
        <v>19</v>
      </c>
      <c r="C20" s="2">
        <v>0.46</v>
      </c>
      <c r="D20" s="16">
        <f t="shared" si="3"/>
        <v>16.33</v>
      </c>
      <c r="E20" s="17">
        <f>D20/B1</f>
        <v>0.8165</v>
      </c>
      <c r="F20" s="16">
        <f t="shared" si="4"/>
        <v>20.53</v>
      </c>
      <c r="G20" s="17">
        <f>F20/B2</f>
        <v>0.8212</v>
      </c>
      <c r="H20" s="15">
        <f t="shared" si="5"/>
        <v>11.11</v>
      </c>
      <c r="I20" s="14">
        <f>H20/B3</f>
        <v>0.7406666667</v>
      </c>
      <c r="J20" s="2">
        <v>1.2</v>
      </c>
      <c r="K20" s="2">
        <v>1.2</v>
      </c>
      <c r="L20" s="2">
        <v>1.2</v>
      </c>
      <c r="M20" s="7"/>
      <c r="N20" s="7"/>
    </row>
    <row r="21">
      <c r="A21" s="12">
        <v>45270.0</v>
      </c>
      <c r="B21" s="6" t="s">
        <v>17</v>
      </c>
      <c r="C21" s="2">
        <v>0.65</v>
      </c>
      <c r="D21" s="16">
        <f t="shared" si="3"/>
        <v>15.68</v>
      </c>
      <c r="E21" s="17">
        <f>D21/B1</f>
        <v>0.784</v>
      </c>
      <c r="F21" s="16">
        <f t="shared" si="4"/>
        <v>20.53</v>
      </c>
      <c r="G21" s="17">
        <f>F21/B2</f>
        <v>0.8212</v>
      </c>
      <c r="H21" s="15">
        <f t="shared" si="5"/>
        <v>11.11</v>
      </c>
      <c r="I21" s="14">
        <f>H21/B3</f>
        <v>0.7406666667</v>
      </c>
      <c r="J21" s="2">
        <v>1.2</v>
      </c>
      <c r="K21" s="2">
        <v>1.2</v>
      </c>
      <c r="L21" s="2">
        <v>1.2</v>
      </c>
      <c r="M21" s="7"/>
      <c r="N21" s="7"/>
    </row>
    <row r="22">
      <c r="A22" s="12">
        <v>45270.0</v>
      </c>
      <c r="B22" s="6" t="s">
        <v>18</v>
      </c>
      <c r="C22" s="2">
        <v>1.18</v>
      </c>
      <c r="D22" s="16">
        <f t="shared" si="3"/>
        <v>15.68</v>
      </c>
      <c r="E22" s="17">
        <f>D22/B1</f>
        <v>0.784</v>
      </c>
      <c r="F22" s="16">
        <f t="shared" si="4"/>
        <v>19.35</v>
      </c>
      <c r="G22" s="17">
        <f>F22/B2</f>
        <v>0.774</v>
      </c>
      <c r="H22" s="15">
        <f t="shared" si="5"/>
        <v>11.11</v>
      </c>
      <c r="I22" s="14">
        <f>H22/B3</f>
        <v>0.7406666667</v>
      </c>
      <c r="J22" s="2">
        <v>1.2</v>
      </c>
      <c r="K22" s="2">
        <v>1.2</v>
      </c>
      <c r="L22" s="2">
        <v>1.2</v>
      </c>
      <c r="M22" s="7"/>
      <c r="N22" s="7"/>
    </row>
    <row r="23">
      <c r="A23" s="12">
        <v>45270.0</v>
      </c>
      <c r="B23" s="6" t="s">
        <v>19</v>
      </c>
      <c r="C23" s="2">
        <v>0.43</v>
      </c>
      <c r="D23" s="16">
        <f t="shared" si="3"/>
        <v>15.68</v>
      </c>
      <c r="E23" s="17">
        <f>D23/B1</f>
        <v>0.784</v>
      </c>
      <c r="F23" s="16">
        <f t="shared" si="4"/>
        <v>19.35</v>
      </c>
      <c r="G23" s="17">
        <f>F23/B2</f>
        <v>0.774</v>
      </c>
      <c r="H23" s="15">
        <f t="shared" si="5"/>
        <v>10.68</v>
      </c>
      <c r="I23" s="14">
        <f>H23/B3</f>
        <v>0.712</v>
      </c>
      <c r="J23" s="2">
        <v>1.2</v>
      </c>
      <c r="K23" s="2">
        <v>1.2</v>
      </c>
      <c r="L23" s="2">
        <v>1.2</v>
      </c>
      <c r="M23" s="7"/>
      <c r="N23" s="7"/>
    </row>
    <row r="24">
      <c r="A24" s="12">
        <v>45271.0</v>
      </c>
      <c r="B24" s="6" t="s">
        <v>17</v>
      </c>
      <c r="C24" s="2">
        <v>1.1</v>
      </c>
      <c r="D24" s="16">
        <f t="shared" si="3"/>
        <v>14.58</v>
      </c>
      <c r="E24" s="17">
        <f>D24/B1</f>
        <v>0.729</v>
      </c>
      <c r="F24" s="16">
        <f t="shared" si="4"/>
        <v>19.35</v>
      </c>
      <c r="G24" s="17">
        <f>F24/B2</f>
        <v>0.774</v>
      </c>
      <c r="H24" s="15">
        <f t="shared" si="5"/>
        <v>10.68</v>
      </c>
      <c r="I24" s="14">
        <f>H24/B3</f>
        <v>0.712</v>
      </c>
      <c r="J24" s="2">
        <v>1.2</v>
      </c>
      <c r="K24" s="2">
        <v>1.2</v>
      </c>
      <c r="L24" s="2">
        <v>1.2</v>
      </c>
      <c r="M24" s="7"/>
      <c r="N24" s="7"/>
    </row>
    <row r="25">
      <c r="A25" s="12">
        <v>45271.0</v>
      </c>
      <c r="B25" s="6" t="s">
        <v>18</v>
      </c>
      <c r="C25" s="2">
        <v>0.41</v>
      </c>
      <c r="D25" s="16">
        <f t="shared" si="3"/>
        <v>14.58</v>
      </c>
      <c r="E25" s="17">
        <f>D25/B1</f>
        <v>0.729</v>
      </c>
      <c r="F25" s="16">
        <f t="shared" si="4"/>
        <v>18.94</v>
      </c>
      <c r="G25" s="17">
        <f>F25/B2</f>
        <v>0.7576</v>
      </c>
      <c r="H25" s="15">
        <f t="shared" si="5"/>
        <v>10.68</v>
      </c>
      <c r="I25" s="14">
        <f>H25/B3</f>
        <v>0.712</v>
      </c>
      <c r="J25" s="2">
        <v>1.2</v>
      </c>
      <c r="K25" s="2">
        <v>1.2</v>
      </c>
      <c r="L25" s="2">
        <v>1.2</v>
      </c>
      <c r="M25" s="7"/>
      <c r="N25" s="7"/>
    </row>
    <row r="26">
      <c r="A26" s="12">
        <v>45271.0</v>
      </c>
      <c r="B26" s="6" t="s">
        <v>19</v>
      </c>
      <c r="C26" s="2">
        <v>0.55</v>
      </c>
      <c r="D26" s="16">
        <f t="shared" si="3"/>
        <v>14.58</v>
      </c>
      <c r="E26" s="17">
        <f>D26/B1</f>
        <v>0.729</v>
      </c>
      <c r="F26" s="16">
        <f t="shared" si="4"/>
        <v>18.94</v>
      </c>
      <c r="G26" s="17">
        <f>F26/B2</f>
        <v>0.7576</v>
      </c>
      <c r="H26" s="15">
        <f t="shared" si="5"/>
        <v>10.13</v>
      </c>
      <c r="I26" s="14">
        <f>H26/B3</f>
        <v>0.6753333333</v>
      </c>
      <c r="J26" s="2">
        <v>1.2</v>
      </c>
      <c r="K26" s="2">
        <v>1.2</v>
      </c>
      <c r="L26" s="2">
        <v>1.2</v>
      </c>
      <c r="M26" s="7"/>
      <c r="N26" s="7"/>
    </row>
    <row r="27">
      <c r="A27" s="12">
        <v>45272.0</v>
      </c>
      <c r="B27" s="6" t="s">
        <v>17</v>
      </c>
      <c r="C27" s="2">
        <v>0.18</v>
      </c>
      <c r="D27" s="16">
        <f t="shared" si="3"/>
        <v>14.4</v>
      </c>
      <c r="E27" s="17">
        <f>D27/B1</f>
        <v>0.72</v>
      </c>
      <c r="F27" s="16">
        <f t="shared" si="4"/>
        <v>18.94</v>
      </c>
      <c r="G27" s="17">
        <f>F27/B2</f>
        <v>0.7576</v>
      </c>
      <c r="H27" s="15">
        <f t="shared" si="5"/>
        <v>10.13</v>
      </c>
      <c r="I27" s="14">
        <f>H27/B3</f>
        <v>0.6753333333</v>
      </c>
      <c r="J27" s="2">
        <v>1.2</v>
      </c>
      <c r="K27" s="2">
        <v>1.2</v>
      </c>
      <c r="L27" s="2">
        <v>1.2</v>
      </c>
      <c r="M27" s="7"/>
      <c r="N27" s="7"/>
    </row>
    <row r="28">
      <c r="A28" s="12">
        <v>45272.0</v>
      </c>
      <c r="B28" s="6" t="s">
        <v>18</v>
      </c>
      <c r="C28" s="2">
        <v>0.54</v>
      </c>
      <c r="D28" s="16">
        <f t="shared" si="3"/>
        <v>14.4</v>
      </c>
      <c r="E28" s="17">
        <f>D28/B1</f>
        <v>0.72</v>
      </c>
      <c r="F28" s="16">
        <f t="shared" si="4"/>
        <v>18.4</v>
      </c>
      <c r="G28" s="17">
        <f>F28/B2</f>
        <v>0.736</v>
      </c>
      <c r="H28" s="15">
        <f t="shared" si="5"/>
        <v>10.13</v>
      </c>
      <c r="I28" s="14">
        <f>H28/B3</f>
        <v>0.6753333333</v>
      </c>
      <c r="J28" s="2">
        <v>1.2</v>
      </c>
      <c r="K28" s="2">
        <v>1.2</v>
      </c>
      <c r="L28" s="2">
        <v>1.2</v>
      </c>
      <c r="M28" s="7"/>
      <c r="N28" s="7"/>
    </row>
    <row r="29">
      <c r="A29" s="12">
        <v>45272.0</v>
      </c>
      <c r="B29" s="6" t="s">
        <v>19</v>
      </c>
      <c r="C29" s="2">
        <v>0.77</v>
      </c>
      <c r="D29" s="16">
        <f t="shared" si="3"/>
        <v>14.4</v>
      </c>
      <c r="E29" s="17">
        <f>D29/B1</f>
        <v>0.72</v>
      </c>
      <c r="F29" s="16">
        <f t="shared" si="4"/>
        <v>18.4</v>
      </c>
      <c r="G29" s="17">
        <f>F29/B2</f>
        <v>0.736</v>
      </c>
      <c r="H29" s="15">
        <f t="shared" si="5"/>
        <v>9.36</v>
      </c>
      <c r="I29" s="14">
        <f>H29/B3</f>
        <v>0.624</v>
      </c>
      <c r="J29" s="2">
        <v>1.2</v>
      </c>
      <c r="K29" s="2">
        <v>1.2</v>
      </c>
      <c r="L29" s="2">
        <v>1.2</v>
      </c>
      <c r="M29" s="7"/>
      <c r="N29" s="7"/>
    </row>
    <row r="30">
      <c r="A30" s="12">
        <v>45273.0</v>
      </c>
      <c r="B30" s="6" t="s">
        <v>17</v>
      </c>
      <c r="C30" s="2">
        <v>0.68</v>
      </c>
      <c r="D30" s="16">
        <f t="shared" si="3"/>
        <v>13.72</v>
      </c>
      <c r="E30" s="17">
        <f>D30/B1</f>
        <v>0.686</v>
      </c>
      <c r="F30" s="16">
        <f t="shared" si="4"/>
        <v>18.4</v>
      </c>
      <c r="G30" s="17">
        <f>F30/B2</f>
        <v>0.736</v>
      </c>
      <c r="H30" s="15">
        <f t="shared" si="5"/>
        <v>9.36</v>
      </c>
      <c r="I30" s="14">
        <f>H30/B3</f>
        <v>0.624</v>
      </c>
      <c r="J30" s="2">
        <v>1.2</v>
      </c>
      <c r="K30" s="2">
        <v>1.2</v>
      </c>
      <c r="L30" s="2">
        <v>1.2</v>
      </c>
      <c r="M30" s="7"/>
      <c r="N30" s="7"/>
    </row>
    <row r="31">
      <c r="A31" s="12">
        <v>45273.0</v>
      </c>
      <c r="B31" s="6" t="s">
        <v>18</v>
      </c>
      <c r="C31" s="2">
        <v>0.21</v>
      </c>
      <c r="D31" s="16">
        <f t="shared" si="3"/>
        <v>13.72</v>
      </c>
      <c r="E31" s="17">
        <f>D31/B1</f>
        <v>0.686</v>
      </c>
      <c r="F31" s="16">
        <f t="shared" si="4"/>
        <v>18.19</v>
      </c>
      <c r="G31" s="17">
        <f>F31/B2</f>
        <v>0.7276</v>
      </c>
      <c r="H31" s="15">
        <f t="shared" si="5"/>
        <v>9.36</v>
      </c>
      <c r="I31" s="14">
        <f>H31/B3</f>
        <v>0.624</v>
      </c>
      <c r="J31" s="2">
        <v>1.2</v>
      </c>
      <c r="K31" s="2">
        <v>1.2</v>
      </c>
      <c r="L31" s="2">
        <v>1.2</v>
      </c>
      <c r="M31" s="7"/>
      <c r="N31" s="7"/>
    </row>
    <row r="32">
      <c r="A32" s="12">
        <v>45273.0</v>
      </c>
      <c r="B32" s="6" t="s">
        <v>19</v>
      </c>
      <c r="C32" s="2">
        <v>0.0</v>
      </c>
      <c r="D32" s="16">
        <f t="shared" si="3"/>
        <v>13.72</v>
      </c>
      <c r="E32" s="17">
        <f>D32/B1</f>
        <v>0.686</v>
      </c>
      <c r="F32" s="16">
        <f t="shared" si="4"/>
        <v>18.19</v>
      </c>
      <c r="G32" s="17">
        <f>F32/B2</f>
        <v>0.7276</v>
      </c>
      <c r="H32" s="15">
        <f t="shared" si="5"/>
        <v>9.36</v>
      </c>
      <c r="I32" s="14">
        <f>H32/B3</f>
        <v>0.624</v>
      </c>
      <c r="J32" s="2">
        <v>1.2</v>
      </c>
      <c r="K32" s="2">
        <v>1.2</v>
      </c>
      <c r="L32" s="2">
        <v>1.2</v>
      </c>
      <c r="M32" s="7"/>
      <c r="N32" s="7"/>
    </row>
    <row r="33">
      <c r="A33" s="12">
        <v>45274.0</v>
      </c>
      <c r="B33" s="6" t="s">
        <v>17</v>
      </c>
      <c r="C33" s="2">
        <v>0.51</v>
      </c>
      <c r="D33" s="16">
        <f t="shared" si="3"/>
        <v>13.21</v>
      </c>
      <c r="E33" s="17">
        <f>D33/B1</f>
        <v>0.6605</v>
      </c>
      <c r="F33" s="16">
        <f t="shared" si="4"/>
        <v>18.19</v>
      </c>
      <c r="G33" s="17">
        <f>F33/B2</f>
        <v>0.7276</v>
      </c>
      <c r="H33" s="15">
        <f t="shared" si="5"/>
        <v>9.36</v>
      </c>
      <c r="I33" s="14">
        <f>H33/B3</f>
        <v>0.624</v>
      </c>
      <c r="J33" s="2">
        <v>1.2</v>
      </c>
      <c r="K33" s="2">
        <v>1.2</v>
      </c>
      <c r="L33" s="2">
        <v>1.2</v>
      </c>
      <c r="M33" s="7"/>
      <c r="N33" s="7"/>
    </row>
    <row r="34">
      <c r="A34" s="12">
        <v>45274.0</v>
      </c>
      <c r="B34" s="6" t="s">
        <v>18</v>
      </c>
      <c r="C34" s="2">
        <v>0.51</v>
      </c>
      <c r="D34" s="16">
        <f t="shared" si="3"/>
        <v>13.21</v>
      </c>
      <c r="E34" s="17">
        <f>D34/B1</f>
        <v>0.6605</v>
      </c>
      <c r="F34" s="16">
        <f t="shared" si="4"/>
        <v>17.68</v>
      </c>
      <c r="G34" s="17">
        <f>F34/B2</f>
        <v>0.7072</v>
      </c>
      <c r="H34" s="15">
        <f t="shared" si="5"/>
        <v>9.36</v>
      </c>
      <c r="I34" s="14">
        <f>H34/B3</f>
        <v>0.624</v>
      </c>
      <c r="J34" s="2">
        <v>1.2</v>
      </c>
      <c r="K34" s="2">
        <v>1.2</v>
      </c>
      <c r="L34" s="2">
        <v>1.2</v>
      </c>
      <c r="M34" s="7"/>
      <c r="N34" s="7"/>
    </row>
    <row r="35">
      <c r="A35" s="12">
        <v>45274.0</v>
      </c>
      <c r="B35" s="6" t="s">
        <v>19</v>
      </c>
      <c r="C35" s="2">
        <v>0.51</v>
      </c>
      <c r="D35" s="16">
        <f t="shared" si="3"/>
        <v>13.21</v>
      </c>
      <c r="E35" s="17">
        <f>D35/B1</f>
        <v>0.6605</v>
      </c>
      <c r="F35" s="16">
        <f t="shared" si="4"/>
        <v>17.68</v>
      </c>
      <c r="G35" s="17">
        <f>F35/B2</f>
        <v>0.7072</v>
      </c>
      <c r="H35" s="15">
        <f t="shared" si="5"/>
        <v>8.85</v>
      </c>
      <c r="I35" s="14">
        <f>H35/B3</f>
        <v>0.59</v>
      </c>
      <c r="J35" s="2">
        <v>1.2</v>
      </c>
      <c r="K35" s="2">
        <v>1.2</v>
      </c>
      <c r="L35" s="2">
        <v>1.2</v>
      </c>
      <c r="M35" s="7"/>
      <c r="N35" s="7"/>
    </row>
    <row r="36">
      <c r="A36" s="12">
        <v>45275.0</v>
      </c>
      <c r="B36" s="6" t="s">
        <v>17</v>
      </c>
      <c r="C36" s="2">
        <v>0.48</v>
      </c>
      <c r="D36" s="16">
        <f t="shared" si="3"/>
        <v>12.73</v>
      </c>
      <c r="E36" s="17">
        <f>D36/B1</f>
        <v>0.6365</v>
      </c>
      <c r="F36" s="16">
        <f t="shared" si="4"/>
        <v>17.68</v>
      </c>
      <c r="G36" s="17">
        <f>F36/B2</f>
        <v>0.7072</v>
      </c>
      <c r="H36" s="15">
        <f t="shared" si="5"/>
        <v>8.85</v>
      </c>
      <c r="I36" s="14">
        <f>H36/B3</f>
        <v>0.59</v>
      </c>
      <c r="J36" s="2">
        <v>1.2</v>
      </c>
      <c r="K36" s="2">
        <v>1.2</v>
      </c>
      <c r="L36" s="2">
        <v>1.2</v>
      </c>
      <c r="M36" s="7"/>
      <c r="N36" s="7"/>
    </row>
    <row r="37">
      <c r="A37" s="12">
        <v>45275.0</v>
      </c>
      <c r="B37" s="6" t="s">
        <v>18</v>
      </c>
      <c r="C37" s="2">
        <v>0.47</v>
      </c>
      <c r="D37" s="16">
        <f t="shared" si="3"/>
        <v>12.73</v>
      </c>
      <c r="E37" s="17">
        <f>D37/B1</f>
        <v>0.6365</v>
      </c>
      <c r="F37" s="16">
        <f t="shared" si="4"/>
        <v>17.21</v>
      </c>
      <c r="G37" s="17">
        <f>F37/B2</f>
        <v>0.6884</v>
      </c>
      <c r="H37" s="15">
        <f t="shared" si="5"/>
        <v>8.85</v>
      </c>
      <c r="I37" s="14">
        <f>H37/B3</f>
        <v>0.59</v>
      </c>
      <c r="J37" s="2">
        <v>1.2</v>
      </c>
      <c r="K37" s="2">
        <v>1.2</v>
      </c>
      <c r="L37" s="2">
        <v>1.2</v>
      </c>
      <c r="M37" s="7"/>
      <c r="N37" s="7"/>
    </row>
    <row r="38">
      <c r="A38" s="12">
        <v>45275.0</v>
      </c>
      <c r="B38" s="6" t="s">
        <v>19</v>
      </c>
      <c r="C38" s="2">
        <v>0.62</v>
      </c>
      <c r="D38" s="16">
        <f t="shared" si="3"/>
        <v>12.73</v>
      </c>
      <c r="E38" s="17">
        <f>D38/B1</f>
        <v>0.6365</v>
      </c>
      <c r="F38" s="16">
        <f t="shared" si="4"/>
        <v>17.21</v>
      </c>
      <c r="G38" s="17">
        <f>F38/B2</f>
        <v>0.6884</v>
      </c>
      <c r="H38" s="15">
        <f t="shared" si="5"/>
        <v>8.23</v>
      </c>
      <c r="I38" s="14">
        <f>H38/B3</f>
        <v>0.5486666667</v>
      </c>
      <c r="J38" s="2">
        <v>1.2</v>
      </c>
      <c r="K38" s="2">
        <v>1.2</v>
      </c>
      <c r="L38" s="2">
        <v>1.2</v>
      </c>
      <c r="M38" s="7"/>
      <c r="N38" s="7"/>
    </row>
    <row r="39">
      <c r="A39" s="12">
        <v>45276.0</v>
      </c>
      <c r="B39" s="6" t="s">
        <v>17</v>
      </c>
      <c r="C39" s="2">
        <v>0.67</v>
      </c>
      <c r="D39" s="16">
        <f t="shared" si="3"/>
        <v>12.06</v>
      </c>
      <c r="E39" s="17">
        <f>D39/B1</f>
        <v>0.603</v>
      </c>
      <c r="F39" s="16">
        <f t="shared" si="4"/>
        <v>17.21</v>
      </c>
      <c r="G39" s="17">
        <f>F39/B2</f>
        <v>0.6884</v>
      </c>
      <c r="H39" s="15">
        <f t="shared" si="5"/>
        <v>8.23</v>
      </c>
      <c r="I39" s="14">
        <f>H39/B3</f>
        <v>0.5486666667</v>
      </c>
      <c r="J39" s="2">
        <v>1.2</v>
      </c>
      <c r="K39" s="2">
        <v>1.2</v>
      </c>
      <c r="L39" s="2">
        <v>1.2</v>
      </c>
      <c r="M39" s="7"/>
      <c r="N39" s="7"/>
    </row>
    <row r="40">
      <c r="A40" s="12">
        <v>45276.0</v>
      </c>
      <c r="B40" s="6" t="s">
        <v>18</v>
      </c>
      <c r="C40" s="2">
        <v>0.45</v>
      </c>
      <c r="D40" s="16">
        <f t="shared" si="3"/>
        <v>12.06</v>
      </c>
      <c r="E40" s="17">
        <f>D40/B1</f>
        <v>0.603</v>
      </c>
      <c r="F40" s="16">
        <f t="shared" si="4"/>
        <v>16.76</v>
      </c>
      <c r="G40" s="17">
        <f>F40/B2</f>
        <v>0.6704</v>
      </c>
      <c r="H40" s="15">
        <f t="shared" si="5"/>
        <v>8.23</v>
      </c>
      <c r="I40" s="14">
        <f>H40/B3</f>
        <v>0.5486666667</v>
      </c>
      <c r="J40" s="2">
        <v>1.2</v>
      </c>
      <c r="K40" s="2">
        <v>1.2</v>
      </c>
      <c r="L40" s="2">
        <v>1.2</v>
      </c>
      <c r="M40" s="7"/>
      <c r="N40" s="7"/>
    </row>
    <row r="41">
      <c r="A41" s="12">
        <v>45276.0</v>
      </c>
      <c r="B41" s="6" t="s">
        <v>19</v>
      </c>
      <c r="C41" s="2">
        <v>0.56</v>
      </c>
      <c r="D41" s="16">
        <f t="shared" si="3"/>
        <v>12.06</v>
      </c>
      <c r="E41" s="17">
        <f>D41/B1</f>
        <v>0.603</v>
      </c>
      <c r="F41" s="16">
        <f t="shared" si="4"/>
        <v>16.76</v>
      </c>
      <c r="G41" s="17">
        <f>F41/B2</f>
        <v>0.6704</v>
      </c>
      <c r="H41" s="15">
        <f t="shared" si="5"/>
        <v>7.67</v>
      </c>
      <c r="I41" s="14">
        <f>H41/B3</f>
        <v>0.5113333333</v>
      </c>
      <c r="J41" s="2">
        <v>1.2</v>
      </c>
      <c r="K41" s="2">
        <v>1.2</v>
      </c>
      <c r="L41" s="2">
        <v>1.2</v>
      </c>
      <c r="M41" s="7"/>
      <c r="N41" s="7"/>
    </row>
    <row r="42">
      <c r="A42" s="12">
        <v>45277.0</v>
      </c>
      <c r="B42" s="6" t="s">
        <v>17</v>
      </c>
      <c r="C42" s="2">
        <v>1.66</v>
      </c>
      <c r="D42" s="16">
        <f t="shared" si="3"/>
        <v>10.4</v>
      </c>
      <c r="E42" s="17">
        <f>D42/B1</f>
        <v>0.52</v>
      </c>
      <c r="F42" s="16">
        <f t="shared" si="4"/>
        <v>16.76</v>
      </c>
      <c r="G42" s="17">
        <f>F42/B2</f>
        <v>0.6704</v>
      </c>
      <c r="H42" s="15">
        <f t="shared" si="5"/>
        <v>7.67</v>
      </c>
      <c r="I42" s="14">
        <f>H42/B3</f>
        <v>0.5113333333</v>
      </c>
      <c r="J42" s="2">
        <v>1.2</v>
      </c>
      <c r="K42" s="2">
        <v>1.2</v>
      </c>
      <c r="L42" s="2">
        <v>1.2</v>
      </c>
      <c r="M42" s="7"/>
      <c r="N42" s="7"/>
    </row>
    <row r="43">
      <c r="A43" s="12">
        <v>45277.0</v>
      </c>
      <c r="B43" s="6" t="s">
        <v>18</v>
      </c>
      <c r="C43" s="2">
        <v>0.57</v>
      </c>
      <c r="D43" s="16">
        <f t="shared" si="3"/>
        <v>10.4</v>
      </c>
      <c r="E43" s="17">
        <f>D43/B1</f>
        <v>0.52</v>
      </c>
      <c r="F43" s="16">
        <f t="shared" si="4"/>
        <v>16.19</v>
      </c>
      <c r="G43" s="17">
        <f>F43/B2</f>
        <v>0.6476</v>
      </c>
      <c r="H43" s="15">
        <f t="shared" si="5"/>
        <v>7.67</v>
      </c>
      <c r="I43" s="14">
        <f>H43/B3</f>
        <v>0.5113333333</v>
      </c>
      <c r="J43" s="2">
        <v>1.2</v>
      </c>
      <c r="K43" s="2">
        <v>1.2</v>
      </c>
      <c r="L43" s="2">
        <v>1.2</v>
      </c>
      <c r="M43" s="7"/>
      <c r="N43" s="7"/>
    </row>
    <row r="44">
      <c r="A44" s="12">
        <v>45277.0</v>
      </c>
      <c r="B44" s="6" t="s">
        <v>19</v>
      </c>
      <c r="C44" s="2">
        <v>0.44</v>
      </c>
      <c r="D44" s="16">
        <f t="shared" si="3"/>
        <v>10.4</v>
      </c>
      <c r="E44" s="17">
        <f>D44/B1</f>
        <v>0.52</v>
      </c>
      <c r="F44" s="16">
        <f t="shared" si="4"/>
        <v>16.19</v>
      </c>
      <c r="G44" s="17">
        <f>F44/B2</f>
        <v>0.6476</v>
      </c>
      <c r="H44" s="15">
        <f t="shared" si="5"/>
        <v>7.23</v>
      </c>
      <c r="I44" s="14">
        <f>H44/B3</f>
        <v>0.482</v>
      </c>
      <c r="J44" s="2">
        <v>1.2</v>
      </c>
      <c r="K44" s="2">
        <v>1.2</v>
      </c>
      <c r="L44" s="2">
        <v>1.2</v>
      </c>
      <c r="M44" s="7"/>
      <c r="N44" s="7"/>
    </row>
    <row r="45">
      <c r="A45" s="12">
        <v>45278.0</v>
      </c>
      <c r="B45" s="6" t="s">
        <v>17</v>
      </c>
      <c r="C45" s="2">
        <v>0.57</v>
      </c>
      <c r="D45" s="16">
        <f t="shared" si="3"/>
        <v>9.83</v>
      </c>
      <c r="E45" s="17">
        <f>D45/B1</f>
        <v>0.4915</v>
      </c>
      <c r="F45" s="16">
        <f t="shared" si="4"/>
        <v>16.19</v>
      </c>
      <c r="G45" s="17">
        <f>F45/B2</f>
        <v>0.6476</v>
      </c>
      <c r="H45" s="15">
        <f t="shared" si="5"/>
        <v>7.23</v>
      </c>
      <c r="I45" s="14">
        <f>H45/B3</f>
        <v>0.482</v>
      </c>
      <c r="J45" s="2">
        <v>1.2</v>
      </c>
      <c r="K45" s="2">
        <v>1.2</v>
      </c>
      <c r="L45" s="2">
        <v>1.2</v>
      </c>
      <c r="M45" s="7"/>
      <c r="N45" s="7"/>
    </row>
    <row r="46">
      <c r="A46" s="12">
        <v>45278.0</v>
      </c>
      <c r="B46" s="6" t="s">
        <v>18</v>
      </c>
      <c r="C46" s="2">
        <v>0.85</v>
      </c>
      <c r="D46" s="16">
        <f t="shared" si="3"/>
        <v>9.83</v>
      </c>
      <c r="E46" s="17">
        <f>D46/B1</f>
        <v>0.4915</v>
      </c>
      <c r="F46" s="16">
        <f t="shared" si="4"/>
        <v>15.34</v>
      </c>
      <c r="G46" s="17">
        <f>F46/B2</f>
        <v>0.6136</v>
      </c>
      <c r="H46" s="15">
        <f t="shared" si="5"/>
        <v>7.23</v>
      </c>
      <c r="I46" s="14">
        <f>H46/B3</f>
        <v>0.482</v>
      </c>
      <c r="J46" s="2">
        <v>1.2</v>
      </c>
      <c r="K46" s="2">
        <v>1.2</v>
      </c>
      <c r="L46" s="2">
        <v>1.2</v>
      </c>
      <c r="M46" s="7"/>
      <c r="N46" s="7"/>
    </row>
    <row r="47">
      <c r="A47" s="12">
        <v>45278.0</v>
      </c>
      <c r="B47" s="6" t="s">
        <v>19</v>
      </c>
      <c r="C47" s="2">
        <v>0.54</v>
      </c>
      <c r="D47" s="16">
        <f t="shared" si="3"/>
        <v>9.83</v>
      </c>
      <c r="E47" s="17">
        <f>D47/B1</f>
        <v>0.4915</v>
      </c>
      <c r="F47" s="16">
        <f t="shared" si="4"/>
        <v>15.34</v>
      </c>
      <c r="G47" s="17">
        <f>F47/B2</f>
        <v>0.6136</v>
      </c>
      <c r="H47" s="15">
        <f t="shared" si="5"/>
        <v>6.69</v>
      </c>
      <c r="I47" s="14">
        <f>H47/B3</f>
        <v>0.446</v>
      </c>
      <c r="J47" s="2">
        <v>1.2</v>
      </c>
      <c r="K47" s="2">
        <v>1.2</v>
      </c>
      <c r="L47" s="2">
        <v>1.2</v>
      </c>
      <c r="M47" s="7"/>
      <c r="N47" s="7"/>
    </row>
    <row r="48">
      <c r="A48" s="12">
        <v>45279.0</v>
      </c>
      <c r="B48" s="6" t="s">
        <v>17</v>
      </c>
      <c r="C48" s="2">
        <v>0.27</v>
      </c>
      <c r="D48" s="16">
        <f t="shared" si="3"/>
        <v>9.56</v>
      </c>
      <c r="E48" s="17">
        <f>D48/B1</f>
        <v>0.478</v>
      </c>
      <c r="F48" s="16">
        <f t="shared" si="4"/>
        <v>15.34</v>
      </c>
      <c r="G48" s="17">
        <f>F48/B2</f>
        <v>0.6136</v>
      </c>
      <c r="H48" s="15">
        <f t="shared" si="5"/>
        <v>6.69</v>
      </c>
      <c r="I48" s="14">
        <f>H48/B3</f>
        <v>0.446</v>
      </c>
      <c r="J48" s="2">
        <v>1.2</v>
      </c>
      <c r="K48" s="2">
        <v>1.2</v>
      </c>
      <c r="L48" s="2">
        <v>1.2</v>
      </c>
      <c r="M48" s="7"/>
      <c r="N48" s="7"/>
    </row>
    <row r="49">
      <c r="A49" s="12">
        <v>45279.0</v>
      </c>
      <c r="B49" s="6" t="s">
        <v>18</v>
      </c>
      <c r="C49" s="2">
        <v>1.24</v>
      </c>
      <c r="D49" s="16">
        <f t="shared" si="3"/>
        <v>9.56</v>
      </c>
      <c r="E49" s="17">
        <f>D49/B1</f>
        <v>0.478</v>
      </c>
      <c r="F49" s="16">
        <f t="shared" si="4"/>
        <v>14.1</v>
      </c>
      <c r="G49" s="17">
        <f>F49/B2</f>
        <v>0.564</v>
      </c>
      <c r="H49" s="15">
        <f t="shared" si="5"/>
        <v>6.69</v>
      </c>
      <c r="I49" s="14">
        <f>H49/B3</f>
        <v>0.446</v>
      </c>
      <c r="J49" s="2">
        <v>1.2</v>
      </c>
      <c r="K49" s="2">
        <v>1.2</v>
      </c>
      <c r="L49" s="2">
        <v>1.2</v>
      </c>
      <c r="M49" s="7"/>
      <c r="N49" s="7"/>
    </row>
    <row r="50">
      <c r="A50" s="12">
        <v>45279.0</v>
      </c>
      <c r="B50" s="6" t="s">
        <v>19</v>
      </c>
      <c r="C50" s="2">
        <v>0.42</v>
      </c>
      <c r="D50" s="16">
        <f t="shared" si="3"/>
        <v>9.56</v>
      </c>
      <c r="E50" s="17">
        <f>D50/B1</f>
        <v>0.478</v>
      </c>
      <c r="F50" s="16">
        <f t="shared" si="4"/>
        <v>14.1</v>
      </c>
      <c r="G50" s="17">
        <f>F50/B2</f>
        <v>0.564</v>
      </c>
      <c r="H50" s="15">
        <f t="shared" si="5"/>
        <v>6.27</v>
      </c>
      <c r="I50" s="14">
        <f>H50/B3</f>
        <v>0.418</v>
      </c>
      <c r="J50" s="2">
        <v>1.2</v>
      </c>
      <c r="K50" s="2">
        <v>1.2</v>
      </c>
      <c r="L50" s="2">
        <v>1.2</v>
      </c>
      <c r="M50" s="7"/>
      <c r="N50" s="7"/>
    </row>
    <row r="51">
      <c r="A51" s="12">
        <v>45280.0</v>
      </c>
      <c r="B51" s="6" t="s">
        <v>17</v>
      </c>
      <c r="C51" s="2">
        <v>0.51</v>
      </c>
      <c r="D51" s="16">
        <f t="shared" si="3"/>
        <v>9.05</v>
      </c>
      <c r="E51" s="17">
        <f>D51/B1</f>
        <v>0.4525</v>
      </c>
      <c r="F51" s="16">
        <f t="shared" si="4"/>
        <v>14.1</v>
      </c>
      <c r="G51" s="17">
        <f>F51/B2</f>
        <v>0.564</v>
      </c>
      <c r="H51" s="15">
        <f t="shared" si="5"/>
        <v>6.27</v>
      </c>
      <c r="I51" s="14">
        <f>H51/B3</f>
        <v>0.418</v>
      </c>
      <c r="J51" s="2">
        <v>1.2</v>
      </c>
      <c r="K51" s="2">
        <v>1.2</v>
      </c>
      <c r="L51" s="2">
        <v>1.2</v>
      </c>
      <c r="M51" s="7"/>
      <c r="N51" s="7"/>
    </row>
    <row r="52">
      <c r="A52" s="12">
        <v>45280.0</v>
      </c>
      <c r="B52" s="6" t="s">
        <v>18</v>
      </c>
      <c r="C52" s="2">
        <v>1.45</v>
      </c>
      <c r="D52" s="16">
        <f t="shared" si="3"/>
        <v>9.05</v>
      </c>
      <c r="E52" s="17">
        <f>D52/B1</f>
        <v>0.4525</v>
      </c>
      <c r="F52" s="16">
        <f t="shared" si="4"/>
        <v>12.65</v>
      </c>
      <c r="G52" s="17">
        <f>F52/B2</f>
        <v>0.506</v>
      </c>
      <c r="H52" s="15">
        <f t="shared" si="5"/>
        <v>6.27</v>
      </c>
      <c r="I52" s="14">
        <f>H52/B3</f>
        <v>0.418</v>
      </c>
      <c r="J52" s="2">
        <v>1.2</v>
      </c>
      <c r="K52" s="2">
        <v>1.2</v>
      </c>
      <c r="L52" s="2">
        <v>1.2</v>
      </c>
      <c r="M52" s="7"/>
      <c r="N52" s="7"/>
    </row>
    <row r="53">
      <c r="A53" s="12">
        <v>45280.0</v>
      </c>
      <c r="B53" s="6" t="s">
        <v>19</v>
      </c>
      <c r="C53" s="2">
        <v>0.46</v>
      </c>
      <c r="D53" s="16">
        <f t="shared" si="3"/>
        <v>9.05</v>
      </c>
      <c r="E53" s="17">
        <f>D53/B1</f>
        <v>0.4525</v>
      </c>
      <c r="F53" s="16">
        <f t="shared" si="4"/>
        <v>12.65</v>
      </c>
      <c r="G53" s="17">
        <f>F53/B2</f>
        <v>0.506</v>
      </c>
      <c r="H53" s="15">
        <f t="shared" si="5"/>
        <v>5.81</v>
      </c>
      <c r="I53" s="14">
        <f>H53/B3</f>
        <v>0.3873333333</v>
      </c>
      <c r="J53" s="2">
        <v>1.2</v>
      </c>
      <c r="K53" s="2">
        <v>1.2</v>
      </c>
      <c r="L53" s="2">
        <v>1.2</v>
      </c>
      <c r="M53" s="7"/>
      <c r="N53" s="7"/>
    </row>
    <row r="54">
      <c r="A54" s="12">
        <v>45281.0</v>
      </c>
      <c r="B54" s="6" t="s">
        <v>17</v>
      </c>
      <c r="C54" s="2">
        <v>0.61</v>
      </c>
      <c r="D54" s="16">
        <f t="shared" si="3"/>
        <v>8.44</v>
      </c>
      <c r="E54" s="17">
        <f>D54/B1</f>
        <v>0.422</v>
      </c>
      <c r="F54" s="16">
        <f t="shared" si="4"/>
        <v>12.65</v>
      </c>
      <c r="G54" s="17">
        <f>F54/B2</f>
        <v>0.506</v>
      </c>
      <c r="H54" s="15">
        <f t="shared" si="5"/>
        <v>5.81</v>
      </c>
      <c r="I54" s="14">
        <f>H54/B3</f>
        <v>0.3873333333</v>
      </c>
      <c r="J54" s="2">
        <v>1.2</v>
      </c>
      <c r="K54" s="2">
        <v>1.2</v>
      </c>
      <c r="L54" s="2">
        <v>1.2</v>
      </c>
      <c r="M54" s="7"/>
      <c r="N54" s="7"/>
    </row>
    <row r="55">
      <c r="A55" s="12">
        <v>45281.0</v>
      </c>
      <c r="B55" s="6" t="s">
        <v>18</v>
      </c>
      <c r="C55" s="2">
        <v>0.87</v>
      </c>
      <c r="D55" s="16">
        <f t="shared" si="3"/>
        <v>8.44</v>
      </c>
      <c r="E55" s="17">
        <f>D55/B1</f>
        <v>0.422</v>
      </c>
      <c r="F55" s="16">
        <f t="shared" si="4"/>
        <v>11.78</v>
      </c>
      <c r="G55" s="17">
        <f>F55/B2</f>
        <v>0.4712</v>
      </c>
      <c r="H55" s="15">
        <f t="shared" si="5"/>
        <v>5.81</v>
      </c>
      <c r="I55" s="14">
        <f>H55/B3</f>
        <v>0.3873333333</v>
      </c>
      <c r="J55" s="2">
        <v>1.2</v>
      </c>
      <c r="K55" s="2">
        <v>1.2</v>
      </c>
      <c r="L55" s="2">
        <v>1.2</v>
      </c>
      <c r="M55" s="7"/>
      <c r="N55" s="7"/>
    </row>
    <row r="56">
      <c r="A56" s="12">
        <v>45281.0</v>
      </c>
      <c r="B56" s="6" t="s">
        <v>19</v>
      </c>
      <c r="C56" s="2">
        <v>0.44</v>
      </c>
      <c r="D56" s="16">
        <f t="shared" si="3"/>
        <v>8.44</v>
      </c>
      <c r="E56" s="17">
        <f>D56/B1</f>
        <v>0.422</v>
      </c>
      <c r="F56" s="16">
        <f t="shared" si="4"/>
        <v>11.78</v>
      </c>
      <c r="G56" s="17">
        <f>F56/B2</f>
        <v>0.4712</v>
      </c>
      <c r="H56" s="15">
        <f t="shared" si="5"/>
        <v>5.37</v>
      </c>
      <c r="I56" s="14">
        <f>H56/B3</f>
        <v>0.358</v>
      </c>
      <c r="J56" s="2">
        <v>1.2</v>
      </c>
      <c r="K56" s="2">
        <v>1.2</v>
      </c>
      <c r="L56" s="2">
        <v>1.2</v>
      </c>
      <c r="M56" s="7"/>
      <c r="N56" s="7"/>
    </row>
    <row r="57">
      <c r="A57" s="12">
        <v>45282.0</v>
      </c>
      <c r="B57" s="6" t="s">
        <v>17</v>
      </c>
      <c r="C57" s="2">
        <v>0.44</v>
      </c>
      <c r="D57" s="16">
        <f t="shared" si="3"/>
        <v>8</v>
      </c>
      <c r="E57" s="17">
        <f>D57/B1</f>
        <v>0.4</v>
      </c>
      <c r="F57" s="16">
        <f t="shared" si="4"/>
        <v>11.78</v>
      </c>
      <c r="G57" s="17">
        <f>F57/B2</f>
        <v>0.4712</v>
      </c>
      <c r="H57" s="15">
        <f t="shared" si="5"/>
        <v>5.37</v>
      </c>
      <c r="I57" s="14">
        <f>H57/B3</f>
        <v>0.358</v>
      </c>
      <c r="J57" s="2">
        <v>1.2</v>
      </c>
      <c r="K57" s="2">
        <v>1.2</v>
      </c>
      <c r="L57" s="2">
        <v>1.2</v>
      </c>
      <c r="M57" s="7"/>
      <c r="N57" s="7"/>
    </row>
    <row r="58">
      <c r="A58" s="12">
        <v>45282.0</v>
      </c>
      <c r="B58" s="6" t="s">
        <v>18</v>
      </c>
      <c r="C58" s="2">
        <v>0.65</v>
      </c>
      <c r="D58" s="16">
        <f t="shared" si="3"/>
        <v>8</v>
      </c>
      <c r="E58" s="17">
        <f>D58/B1</f>
        <v>0.4</v>
      </c>
      <c r="F58" s="16">
        <f t="shared" si="4"/>
        <v>11.13</v>
      </c>
      <c r="G58" s="17">
        <f>F58/B2</f>
        <v>0.4452</v>
      </c>
      <c r="H58" s="15">
        <f t="shared" si="5"/>
        <v>5.37</v>
      </c>
      <c r="I58" s="14">
        <f>H58/B3</f>
        <v>0.358</v>
      </c>
      <c r="J58" s="2">
        <v>1.2</v>
      </c>
      <c r="K58" s="2">
        <v>1.2</v>
      </c>
      <c r="L58" s="2">
        <v>1.2</v>
      </c>
      <c r="M58" s="7"/>
      <c r="N58" s="7"/>
    </row>
    <row r="59">
      <c r="A59" s="12">
        <v>45282.0</v>
      </c>
      <c r="B59" s="6" t="s">
        <v>19</v>
      </c>
      <c r="C59" s="2">
        <v>0.49</v>
      </c>
      <c r="D59" s="16">
        <f t="shared" si="3"/>
        <v>8</v>
      </c>
      <c r="E59" s="17">
        <f>D59/B1</f>
        <v>0.4</v>
      </c>
      <c r="F59" s="16">
        <f t="shared" si="4"/>
        <v>11.13</v>
      </c>
      <c r="G59" s="17">
        <f>F59/B2</f>
        <v>0.4452</v>
      </c>
      <c r="H59" s="15">
        <f t="shared" si="5"/>
        <v>4.88</v>
      </c>
      <c r="I59" s="14">
        <f>H59/B3</f>
        <v>0.3253333333</v>
      </c>
      <c r="J59" s="2">
        <v>1.2</v>
      </c>
      <c r="K59" s="2">
        <v>1.2</v>
      </c>
      <c r="L59" s="2">
        <v>1.2</v>
      </c>
    </row>
    <row r="60">
      <c r="A60" s="12">
        <v>45283.0</v>
      </c>
      <c r="B60" s="6" t="s">
        <v>17</v>
      </c>
      <c r="C60" s="2">
        <v>0.0</v>
      </c>
      <c r="D60" s="16">
        <f t="shared" si="3"/>
        <v>8</v>
      </c>
      <c r="E60" s="17">
        <f>D60/B1</f>
        <v>0.4</v>
      </c>
      <c r="F60" s="16">
        <f t="shared" si="4"/>
        <v>11.13</v>
      </c>
      <c r="G60" s="17">
        <f>F60/B2</f>
        <v>0.4452</v>
      </c>
      <c r="H60" s="15">
        <f t="shared" si="5"/>
        <v>4.88</v>
      </c>
      <c r="I60" s="14">
        <f>H60/B3</f>
        <v>0.3253333333</v>
      </c>
      <c r="J60" s="2">
        <v>1.2</v>
      </c>
      <c r="K60" s="2">
        <v>1.2</v>
      </c>
      <c r="L60" s="2">
        <v>1.2</v>
      </c>
    </row>
    <row r="61">
      <c r="A61" s="12">
        <v>45283.0</v>
      </c>
      <c r="B61" s="6" t="s">
        <v>18</v>
      </c>
      <c r="C61" s="2">
        <v>0.0</v>
      </c>
      <c r="D61" s="16">
        <f t="shared" si="3"/>
        <v>8</v>
      </c>
      <c r="E61" s="17">
        <f>D61/B1</f>
        <v>0.4</v>
      </c>
      <c r="F61" s="16">
        <f t="shared" si="4"/>
        <v>11.13</v>
      </c>
      <c r="G61" s="17">
        <f>F61/B2</f>
        <v>0.4452</v>
      </c>
      <c r="H61" s="15">
        <f t="shared" si="5"/>
        <v>4.88</v>
      </c>
      <c r="I61" s="14">
        <f>H61/B3</f>
        <v>0.3253333333</v>
      </c>
      <c r="J61" s="2">
        <v>1.2</v>
      </c>
      <c r="K61" s="2">
        <v>1.2</v>
      </c>
      <c r="L61" s="2">
        <v>1.2</v>
      </c>
    </row>
    <row r="62">
      <c r="A62" s="12">
        <v>45283.0</v>
      </c>
      <c r="B62" s="6" t="s">
        <v>19</v>
      </c>
      <c r="C62" s="2">
        <v>0.0</v>
      </c>
      <c r="D62" s="16">
        <f t="shared" si="3"/>
        <v>8</v>
      </c>
      <c r="E62" s="17">
        <f>D62/B1</f>
        <v>0.4</v>
      </c>
      <c r="F62" s="16">
        <f t="shared" si="4"/>
        <v>11.13</v>
      </c>
      <c r="G62" s="17">
        <f>F62/B2</f>
        <v>0.4452</v>
      </c>
      <c r="H62" s="15">
        <f t="shared" si="5"/>
        <v>4.88</v>
      </c>
      <c r="I62" s="14">
        <f>H62/B3</f>
        <v>0.3253333333</v>
      </c>
      <c r="J62" s="2">
        <v>1.2</v>
      </c>
      <c r="K62" s="2">
        <v>1.2</v>
      </c>
      <c r="L62" s="2">
        <v>1.2</v>
      </c>
    </row>
    <row r="63">
      <c r="A63" s="12">
        <v>45284.0</v>
      </c>
      <c r="B63" s="6" t="s">
        <v>17</v>
      </c>
      <c r="C63" s="2">
        <v>0.0</v>
      </c>
      <c r="D63" s="16">
        <f t="shared" si="3"/>
        <v>8</v>
      </c>
      <c r="E63" s="17">
        <f>D63/B1</f>
        <v>0.4</v>
      </c>
      <c r="F63" s="16">
        <f t="shared" si="4"/>
        <v>11.13</v>
      </c>
      <c r="G63" s="17">
        <f>F63/B2</f>
        <v>0.4452</v>
      </c>
      <c r="H63" s="15">
        <f t="shared" si="5"/>
        <v>4.88</v>
      </c>
      <c r="I63" s="14">
        <f>H63/B3</f>
        <v>0.3253333333</v>
      </c>
      <c r="J63" s="2">
        <v>1.2</v>
      </c>
      <c r="K63" s="2">
        <v>1.2</v>
      </c>
      <c r="L63" s="2">
        <v>1.2</v>
      </c>
    </row>
    <row r="64">
      <c r="A64" s="12">
        <v>45284.0</v>
      </c>
      <c r="B64" s="6" t="s">
        <v>18</v>
      </c>
      <c r="C64" s="2">
        <v>0.0</v>
      </c>
      <c r="D64" s="16">
        <f t="shared" si="3"/>
        <v>8</v>
      </c>
      <c r="E64" s="17">
        <f>D64/B1</f>
        <v>0.4</v>
      </c>
      <c r="F64" s="16">
        <f t="shared" si="4"/>
        <v>11.13</v>
      </c>
      <c r="G64" s="17">
        <f>F64/B2</f>
        <v>0.4452</v>
      </c>
      <c r="H64" s="15">
        <f t="shared" si="5"/>
        <v>4.88</v>
      </c>
      <c r="I64" s="14">
        <f>H64/B3</f>
        <v>0.3253333333</v>
      </c>
      <c r="J64" s="2">
        <v>1.2</v>
      </c>
      <c r="K64" s="2">
        <v>1.2</v>
      </c>
      <c r="L64" s="2">
        <v>1.2</v>
      </c>
    </row>
    <row r="65">
      <c r="A65" s="12">
        <v>45284.0</v>
      </c>
      <c r="B65" s="6" t="s">
        <v>19</v>
      </c>
      <c r="C65" s="2">
        <v>0.0</v>
      </c>
      <c r="D65" s="16">
        <f t="shared" si="3"/>
        <v>8</v>
      </c>
      <c r="E65" s="17">
        <f>D65/B1</f>
        <v>0.4</v>
      </c>
      <c r="F65" s="16">
        <f t="shared" si="4"/>
        <v>11.13</v>
      </c>
      <c r="G65" s="17">
        <f>F65/B2</f>
        <v>0.4452</v>
      </c>
      <c r="H65" s="15">
        <f t="shared" si="5"/>
        <v>4.88</v>
      </c>
      <c r="I65" s="14">
        <f>H65/B3</f>
        <v>0.3253333333</v>
      </c>
      <c r="J65" s="2">
        <v>1.2</v>
      </c>
      <c r="K65" s="2">
        <v>1.2</v>
      </c>
      <c r="L65" s="2">
        <v>1.2</v>
      </c>
    </row>
    <row r="66">
      <c r="A66" s="12">
        <v>45285.0</v>
      </c>
      <c r="B66" s="6" t="s">
        <v>17</v>
      </c>
      <c r="C66" s="2">
        <v>0.96</v>
      </c>
      <c r="D66" s="16">
        <f t="shared" si="3"/>
        <v>7.04</v>
      </c>
      <c r="E66" s="17">
        <f>D66/B1</f>
        <v>0.352</v>
      </c>
      <c r="F66" s="16">
        <f t="shared" si="4"/>
        <v>11.13</v>
      </c>
      <c r="G66" s="17">
        <f>F66/B2</f>
        <v>0.4452</v>
      </c>
      <c r="H66" s="15">
        <f t="shared" si="5"/>
        <v>4.88</v>
      </c>
      <c r="I66" s="14">
        <f>H66/B3</f>
        <v>0.3253333333</v>
      </c>
      <c r="J66" s="2">
        <v>1.2</v>
      </c>
      <c r="K66" s="2">
        <v>0.9</v>
      </c>
      <c r="L66" s="2">
        <v>1.2</v>
      </c>
    </row>
    <row r="67">
      <c r="A67" s="12">
        <v>45285.0</v>
      </c>
      <c r="B67" s="6" t="s">
        <v>18</v>
      </c>
      <c r="C67" s="2">
        <v>0.94</v>
      </c>
      <c r="D67" s="16">
        <f t="shared" si="3"/>
        <v>7.04</v>
      </c>
      <c r="E67" s="17">
        <f>D67/B1</f>
        <v>0.352</v>
      </c>
      <c r="F67" s="16">
        <f t="shared" si="4"/>
        <v>10.19</v>
      </c>
      <c r="G67" s="17">
        <f>F67/B2</f>
        <v>0.4076</v>
      </c>
      <c r="H67" s="15">
        <f t="shared" si="5"/>
        <v>4.88</v>
      </c>
      <c r="I67" s="14">
        <f>H67/B3</f>
        <v>0.3253333333</v>
      </c>
      <c r="J67" s="2">
        <v>1.2</v>
      </c>
      <c r="K67" s="2">
        <v>0.9</v>
      </c>
      <c r="L67" s="2">
        <v>1.2</v>
      </c>
    </row>
    <row r="68">
      <c r="A68" s="12">
        <v>45285.0</v>
      </c>
      <c r="B68" s="6" t="s">
        <v>19</v>
      </c>
      <c r="C68" s="2">
        <v>0.88</v>
      </c>
      <c r="D68" s="16">
        <f t="shared" si="3"/>
        <v>7.04</v>
      </c>
      <c r="E68" s="17">
        <f>D68/B1</f>
        <v>0.352</v>
      </c>
      <c r="F68" s="16">
        <f t="shared" si="4"/>
        <v>10.19</v>
      </c>
      <c r="G68" s="17">
        <f>F68/B2</f>
        <v>0.4076</v>
      </c>
      <c r="H68" s="15">
        <f t="shared" si="5"/>
        <v>4</v>
      </c>
      <c r="I68" s="14">
        <f>H68/B3</f>
        <v>0.2666666667</v>
      </c>
      <c r="J68" s="2">
        <v>1.2</v>
      </c>
      <c r="K68" s="2">
        <v>0.9</v>
      </c>
      <c r="L68" s="2">
        <v>1.2</v>
      </c>
    </row>
    <row r="69">
      <c r="A69" s="12">
        <v>45286.0</v>
      </c>
      <c r="B69" s="6" t="s">
        <v>17</v>
      </c>
      <c r="C69" s="2">
        <v>0.44</v>
      </c>
      <c r="D69" s="16">
        <f t="shared" si="3"/>
        <v>6.6</v>
      </c>
      <c r="E69" s="17">
        <f>D69/B1</f>
        <v>0.33</v>
      </c>
      <c r="F69" s="16">
        <f t="shared" si="4"/>
        <v>10.19</v>
      </c>
      <c r="G69" s="17">
        <f>F69/B2</f>
        <v>0.4076</v>
      </c>
      <c r="H69" s="15">
        <f t="shared" si="5"/>
        <v>4</v>
      </c>
      <c r="I69" s="14">
        <f>H69/B3</f>
        <v>0.2666666667</v>
      </c>
      <c r="J69" s="2">
        <v>1.2</v>
      </c>
      <c r="K69" s="2">
        <v>0.9</v>
      </c>
      <c r="L69" s="2">
        <v>1.2</v>
      </c>
    </row>
    <row r="70">
      <c r="A70" s="12">
        <v>45286.0</v>
      </c>
      <c r="B70" s="6" t="s">
        <v>18</v>
      </c>
      <c r="C70" s="2">
        <v>0.46</v>
      </c>
      <c r="D70" s="16">
        <f t="shared" si="3"/>
        <v>6.6</v>
      </c>
      <c r="E70" s="17">
        <f>D70/B1</f>
        <v>0.33</v>
      </c>
      <c r="F70" s="16">
        <f t="shared" si="4"/>
        <v>9.73</v>
      </c>
      <c r="G70" s="17">
        <f>F70/B2</f>
        <v>0.3892</v>
      </c>
      <c r="H70" s="15">
        <f t="shared" si="5"/>
        <v>4</v>
      </c>
      <c r="I70" s="14">
        <f>H70/B3</f>
        <v>0.2666666667</v>
      </c>
      <c r="J70" s="2">
        <v>1.2</v>
      </c>
      <c r="K70" s="2">
        <v>0.9</v>
      </c>
      <c r="L70" s="2">
        <v>1.2</v>
      </c>
    </row>
    <row r="71">
      <c r="A71" s="12">
        <v>45286.0</v>
      </c>
      <c r="B71" s="6" t="s">
        <v>19</v>
      </c>
      <c r="C71" s="2">
        <v>0.44</v>
      </c>
      <c r="D71" s="16">
        <f t="shared" si="3"/>
        <v>6.6</v>
      </c>
      <c r="E71" s="17">
        <f>D71/B1</f>
        <v>0.33</v>
      </c>
      <c r="F71" s="16">
        <f t="shared" si="4"/>
        <v>9.73</v>
      </c>
      <c r="G71" s="17">
        <f>F71/B2</f>
        <v>0.3892</v>
      </c>
      <c r="H71" s="15">
        <f t="shared" si="5"/>
        <v>3.56</v>
      </c>
      <c r="I71" s="14">
        <f>H71/B3</f>
        <v>0.2373333333</v>
      </c>
      <c r="J71" s="2">
        <v>1.2</v>
      </c>
      <c r="K71" s="2">
        <v>0.9</v>
      </c>
      <c r="L71" s="2">
        <v>1.2</v>
      </c>
    </row>
    <row r="72">
      <c r="A72" s="12">
        <v>45287.0</v>
      </c>
      <c r="B72" s="6" t="s">
        <v>17</v>
      </c>
      <c r="C72" s="2">
        <v>0.49</v>
      </c>
      <c r="D72" s="16">
        <f t="shared" si="3"/>
        <v>6.11</v>
      </c>
      <c r="E72" s="17">
        <f>D72/B1</f>
        <v>0.3055</v>
      </c>
      <c r="F72" s="16">
        <f t="shared" si="4"/>
        <v>9.73</v>
      </c>
      <c r="G72" s="17">
        <f>F72/B2</f>
        <v>0.3892</v>
      </c>
      <c r="H72" s="15">
        <f t="shared" si="5"/>
        <v>3.56</v>
      </c>
      <c r="I72" s="14">
        <f>H72/B3</f>
        <v>0.2373333333</v>
      </c>
      <c r="J72" s="2">
        <v>1.2</v>
      </c>
      <c r="K72" s="2">
        <v>0.9</v>
      </c>
      <c r="L72" s="2">
        <v>1.2</v>
      </c>
    </row>
    <row r="73">
      <c r="A73" s="12">
        <v>45287.0</v>
      </c>
      <c r="B73" s="6" t="s">
        <v>18</v>
      </c>
      <c r="C73" s="2">
        <v>0.65</v>
      </c>
      <c r="D73" s="16">
        <f t="shared" si="3"/>
        <v>6.11</v>
      </c>
      <c r="E73" s="17">
        <f>D73/B1</f>
        <v>0.3055</v>
      </c>
      <c r="F73" s="16">
        <f t="shared" si="4"/>
        <v>9.08</v>
      </c>
      <c r="G73" s="17">
        <f>F73/B2</f>
        <v>0.3632</v>
      </c>
      <c r="H73" s="15">
        <f t="shared" si="5"/>
        <v>3.56</v>
      </c>
      <c r="I73" s="14">
        <f>H73/B3</f>
        <v>0.2373333333</v>
      </c>
      <c r="J73" s="2">
        <v>1.2</v>
      </c>
      <c r="K73" s="2">
        <v>0.9</v>
      </c>
      <c r="L73" s="2">
        <v>1.2</v>
      </c>
    </row>
    <row r="74">
      <c r="A74" s="12">
        <v>45287.0</v>
      </c>
      <c r="B74" s="6" t="s">
        <v>19</v>
      </c>
      <c r="C74" s="2">
        <v>0.43</v>
      </c>
      <c r="D74" s="16">
        <f t="shared" si="3"/>
        <v>6.11</v>
      </c>
      <c r="E74" s="17">
        <f>D74/B1</f>
        <v>0.3055</v>
      </c>
      <c r="F74" s="16">
        <f t="shared" si="4"/>
        <v>9.08</v>
      </c>
      <c r="G74" s="17">
        <f>F74/B2</f>
        <v>0.3632</v>
      </c>
      <c r="H74" s="15">
        <f t="shared" si="5"/>
        <v>3.13</v>
      </c>
      <c r="I74" s="14">
        <f>H74/B3</f>
        <v>0.2086666667</v>
      </c>
      <c r="J74" s="2">
        <v>1.2</v>
      </c>
      <c r="K74" s="2">
        <v>0.9</v>
      </c>
      <c r="L74" s="2">
        <v>1.2</v>
      </c>
    </row>
    <row r="75">
      <c r="A75" s="12">
        <v>45288.0</v>
      </c>
      <c r="B75" s="6" t="s">
        <v>17</v>
      </c>
      <c r="C75" s="2">
        <v>0.58</v>
      </c>
      <c r="D75" s="16">
        <f t="shared" si="3"/>
        <v>5.53</v>
      </c>
      <c r="E75" s="17">
        <f>D75/B1</f>
        <v>0.2765</v>
      </c>
      <c r="F75" s="16">
        <f t="shared" si="4"/>
        <v>9.08</v>
      </c>
      <c r="G75" s="17">
        <f>F75/B2</f>
        <v>0.3632</v>
      </c>
      <c r="H75" s="15">
        <f t="shared" si="5"/>
        <v>3.13</v>
      </c>
      <c r="I75" s="14">
        <f>H75/B3</f>
        <v>0.2086666667</v>
      </c>
      <c r="J75" s="2">
        <v>1.2</v>
      </c>
      <c r="K75" s="2">
        <v>0.9</v>
      </c>
      <c r="L75" s="2">
        <v>1.2</v>
      </c>
    </row>
    <row r="76">
      <c r="A76" s="12">
        <v>45288.0</v>
      </c>
      <c r="B76" s="6" t="s">
        <v>18</v>
      </c>
      <c r="C76" s="2">
        <v>0.56</v>
      </c>
      <c r="D76" s="16">
        <f t="shared" si="3"/>
        <v>5.53</v>
      </c>
      <c r="E76" s="17">
        <f>D76/B1</f>
        <v>0.2765</v>
      </c>
      <c r="F76" s="16">
        <f t="shared" si="4"/>
        <v>8.52</v>
      </c>
      <c r="G76" s="17">
        <f>F76/B2</f>
        <v>0.3408</v>
      </c>
      <c r="H76" s="15">
        <f t="shared" si="5"/>
        <v>3.13</v>
      </c>
      <c r="I76" s="14">
        <f>H76/B3</f>
        <v>0.2086666667</v>
      </c>
      <c r="J76" s="2">
        <v>1.2</v>
      </c>
      <c r="K76" s="2">
        <v>0.9</v>
      </c>
      <c r="L76" s="2">
        <v>1.2</v>
      </c>
    </row>
    <row r="77">
      <c r="A77" s="12">
        <v>45288.0</v>
      </c>
      <c r="B77" s="6" t="s">
        <v>19</v>
      </c>
      <c r="C77" s="2">
        <v>0.43</v>
      </c>
      <c r="D77" s="16">
        <f t="shared" si="3"/>
        <v>5.53</v>
      </c>
      <c r="E77" s="17">
        <f>D77/B1</f>
        <v>0.2765</v>
      </c>
      <c r="F77" s="16">
        <f t="shared" si="4"/>
        <v>8.52</v>
      </c>
      <c r="G77" s="17">
        <f>F77/B2</f>
        <v>0.3408</v>
      </c>
      <c r="H77" s="15">
        <f t="shared" si="5"/>
        <v>2.7</v>
      </c>
      <c r="I77" s="14">
        <f>H77/B3</f>
        <v>0.18</v>
      </c>
      <c r="J77" s="2">
        <v>1.2</v>
      </c>
      <c r="K77" s="2">
        <v>0.9</v>
      </c>
      <c r="L77" s="2">
        <v>1.2</v>
      </c>
    </row>
    <row r="78">
      <c r="A78" s="12">
        <v>45289.0</v>
      </c>
      <c r="B78" s="6" t="s">
        <v>17</v>
      </c>
      <c r="C78" s="2">
        <v>0.0</v>
      </c>
      <c r="D78" s="16">
        <f t="shared" si="3"/>
        <v>5.53</v>
      </c>
      <c r="E78" s="17">
        <f>D78/B1</f>
        <v>0.2765</v>
      </c>
      <c r="F78" s="16">
        <f t="shared" si="4"/>
        <v>8.52</v>
      </c>
      <c r="G78" s="17">
        <f>F78/B2</f>
        <v>0.3408</v>
      </c>
      <c r="H78" s="15">
        <f t="shared" si="5"/>
        <v>2.7</v>
      </c>
      <c r="I78" s="14">
        <f>H78/B3</f>
        <v>0.18</v>
      </c>
      <c r="J78" s="2">
        <v>1.2</v>
      </c>
      <c r="K78" s="2">
        <v>0.9</v>
      </c>
      <c r="L78" s="2">
        <v>1.2</v>
      </c>
    </row>
    <row r="79">
      <c r="A79" s="12">
        <v>45289.0</v>
      </c>
      <c r="B79" s="6" t="s">
        <v>18</v>
      </c>
      <c r="C79" s="2">
        <v>1.17</v>
      </c>
      <c r="D79" s="16">
        <f t="shared" si="3"/>
        <v>5.53</v>
      </c>
      <c r="E79" s="17">
        <f>D79/B1</f>
        <v>0.2765</v>
      </c>
      <c r="F79" s="16">
        <f t="shared" si="4"/>
        <v>7.35</v>
      </c>
      <c r="G79" s="17">
        <f>F79/B2</f>
        <v>0.294</v>
      </c>
      <c r="H79" s="15">
        <f t="shared" si="5"/>
        <v>2.7</v>
      </c>
      <c r="I79" s="14">
        <f>H79/B3</f>
        <v>0.18</v>
      </c>
      <c r="J79" s="2">
        <v>1.2</v>
      </c>
      <c r="K79" s="2">
        <v>0.9</v>
      </c>
      <c r="L79" s="2">
        <v>1.2</v>
      </c>
    </row>
    <row r="80">
      <c r="A80" s="12">
        <v>45289.0</v>
      </c>
      <c r="B80" s="6" t="s">
        <v>19</v>
      </c>
      <c r="C80" s="2">
        <v>0.0</v>
      </c>
      <c r="D80" s="16">
        <f t="shared" si="3"/>
        <v>5.53</v>
      </c>
      <c r="E80" s="17">
        <f>D80/B1</f>
        <v>0.2765</v>
      </c>
      <c r="F80" s="16">
        <f t="shared" si="4"/>
        <v>7.35</v>
      </c>
      <c r="G80" s="17">
        <f>F80/B2</f>
        <v>0.294</v>
      </c>
      <c r="H80" s="15">
        <f t="shared" si="5"/>
        <v>2.7</v>
      </c>
      <c r="I80" s="14">
        <f>H80/B3</f>
        <v>0.18</v>
      </c>
      <c r="J80" s="2">
        <v>1.2</v>
      </c>
      <c r="K80" s="2">
        <v>0.9</v>
      </c>
      <c r="L80" s="2">
        <v>1.2</v>
      </c>
    </row>
    <row r="81">
      <c r="A81" s="12">
        <v>45290.0</v>
      </c>
      <c r="B81" s="6" t="s">
        <v>17</v>
      </c>
      <c r="C81" s="2">
        <v>1.17</v>
      </c>
      <c r="D81" s="16">
        <f t="shared" si="3"/>
        <v>4.36</v>
      </c>
      <c r="E81" s="17">
        <f>D81/B1</f>
        <v>0.218</v>
      </c>
      <c r="F81" s="16">
        <f t="shared" si="4"/>
        <v>7.35</v>
      </c>
      <c r="G81" s="17">
        <f>F81/B2</f>
        <v>0.294</v>
      </c>
      <c r="H81" s="15">
        <f t="shared" si="5"/>
        <v>2.7</v>
      </c>
      <c r="I81" s="14">
        <f>H81/B3</f>
        <v>0.18</v>
      </c>
      <c r="J81" s="2">
        <v>1.2</v>
      </c>
      <c r="K81" s="2">
        <v>0.9</v>
      </c>
      <c r="L81" s="2">
        <v>1.2</v>
      </c>
    </row>
    <row r="82">
      <c r="A82" s="12">
        <v>45290.0</v>
      </c>
      <c r="B82" s="6" t="s">
        <v>18</v>
      </c>
      <c r="C82" s="2">
        <v>0.0</v>
      </c>
      <c r="D82" s="16">
        <f t="shared" si="3"/>
        <v>4.36</v>
      </c>
      <c r="E82" s="17">
        <f>D82/B1</f>
        <v>0.218</v>
      </c>
      <c r="F82" s="16">
        <f t="shared" si="4"/>
        <v>7.35</v>
      </c>
      <c r="G82" s="17">
        <f>F82/B2</f>
        <v>0.294</v>
      </c>
      <c r="H82" s="15">
        <f t="shared" si="5"/>
        <v>2.7</v>
      </c>
      <c r="I82" s="14">
        <f>H82/B3</f>
        <v>0.18</v>
      </c>
      <c r="J82" s="2">
        <v>1.2</v>
      </c>
      <c r="K82" s="2">
        <v>0.9</v>
      </c>
      <c r="L82" s="2">
        <v>1.2</v>
      </c>
    </row>
    <row r="83">
      <c r="A83" s="12">
        <v>45290.0</v>
      </c>
      <c r="B83" s="6" t="s">
        <v>19</v>
      </c>
      <c r="C83" s="2">
        <v>1.02</v>
      </c>
      <c r="D83" s="16">
        <f t="shared" si="3"/>
        <v>4.36</v>
      </c>
      <c r="E83" s="17">
        <f>D83/B1</f>
        <v>0.218</v>
      </c>
      <c r="F83" s="16">
        <f t="shared" si="4"/>
        <v>7.35</v>
      </c>
      <c r="G83" s="17">
        <f>F83/B2</f>
        <v>0.294</v>
      </c>
      <c r="H83" s="15">
        <f t="shared" si="5"/>
        <v>1.68</v>
      </c>
      <c r="I83" s="14">
        <f>H83/B3</f>
        <v>0.112</v>
      </c>
      <c r="J83" s="2">
        <v>1.2</v>
      </c>
      <c r="K83" s="2">
        <v>0.9</v>
      </c>
      <c r="L83" s="2">
        <v>1.2</v>
      </c>
    </row>
    <row r="84">
      <c r="A84" s="12">
        <v>45291.0</v>
      </c>
      <c r="B84" s="6" t="s">
        <v>17</v>
      </c>
      <c r="C84" s="2">
        <v>1.0</v>
      </c>
      <c r="D84" s="16">
        <f t="shared" si="3"/>
        <v>3.36</v>
      </c>
      <c r="E84" s="17">
        <f>D84/B1</f>
        <v>0.168</v>
      </c>
      <c r="F84" s="16">
        <f t="shared" si="4"/>
        <v>7.35</v>
      </c>
      <c r="G84" s="17">
        <f>F84/B2</f>
        <v>0.294</v>
      </c>
      <c r="H84" s="15">
        <f t="shared" si="5"/>
        <v>1.68</v>
      </c>
      <c r="I84" s="14">
        <f>H84/B3</f>
        <v>0.112</v>
      </c>
      <c r="J84" s="2">
        <v>1.2</v>
      </c>
      <c r="K84" s="2">
        <v>0.9</v>
      </c>
      <c r="L84" s="2">
        <v>1.2</v>
      </c>
    </row>
    <row r="85">
      <c r="A85" s="12">
        <v>45291.0</v>
      </c>
      <c r="B85" s="6" t="s">
        <v>18</v>
      </c>
      <c r="C85" s="2">
        <v>0.98</v>
      </c>
      <c r="D85" s="16">
        <f t="shared" si="3"/>
        <v>3.36</v>
      </c>
      <c r="E85" s="17">
        <f>D85/B1</f>
        <v>0.168</v>
      </c>
      <c r="F85" s="16">
        <f t="shared" si="4"/>
        <v>6.37</v>
      </c>
      <c r="G85" s="17">
        <f>F85/B2</f>
        <v>0.2548</v>
      </c>
      <c r="H85" s="15">
        <f t="shared" si="5"/>
        <v>1.68</v>
      </c>
      <c r="I85" s="14">
        <f>H85/B3</f>
        <v>0.112</v>
      </c>
      <c r="J85" s="2">
        <v>1.2</v>
      </c>
      <c r="K85" s="2">
        <v>0.9</v>
      </c>
      <c r="L85" s="2">
        <v>1.2</v>
      </c>
    </row>
    <row r="86">
      <c r="A86" s="12">
        <v>45291.0</v>
      </c>
      <c r="B86" s="6" t="s">
        <v>19</v>
      </c>
      <c r="C86" s="2">
        <v>0.0</v>
      </c>
      <c r="D86" s="16">
        <f t="shared" si="3"/>
        <v>3.36</v>
      </c>
      <c r="E86" s="17">
        <f>D86/B1</f>
        <v>0.168</v>
      </c>
      <c r="F86" s="16">
        <f t="shared" si="4"/>
        <v>6.37</v>
      </c>
      <c r="G86" s="17">
        <f>F86/B2</f>
        <v>0.2548</v>
      </c>
      <c r="H86" s="15">
        <f t="shared" si="5"/>
        <v>1.68</v>
      </c>
      <c r="I86" s="14">
        <f>H86/B3</f>
        <v>0.112</v>
      </c>
      <c r="J86" s="2">
        <v>1.2</v>
      </c>
      <c r="K86" s="2">
        <v>0.9</v>
      </c>
      <c r="L86" s="2">
        <v>1.2</v>
      </c>
    </row>
    <row r="87">
      <c r="A87" s="12">
        <v>45292.0</v>
      </c>
      <c r="B87" s="6" t="s">
        <v>17</v>
      </c>
      <c r="C87" s="2">
        <v>1.19</v>
      </c>
      <c r="D87" s="16">
        <f t="shared" si="3"/>
        <v>2.17</v>
      </c>
      <c r="E87" s="17">
        <f>D87/B1</f>
        <v>0.1085</v>
      </c>
      <c r="F87" s="16">
        <f t="shared" si="4"/>
        <v>6.37</v>
      </c>
      <c r="G87" s="17">
        <f>F87/B2</f>
        <v>0.2548</v>
      </c>
      <c r="H87" s="15">
        <f t="shared" si="5"/>
        <v>1.68</v>
      </c>
      <c r="I87" s="14">
        <f>H87/B3</f>
        <v>0.112</v>
      </c>
      <c r="J87" s="2">
        <v>1.2</v>
      </c>
      <c r="K87" s="2">
        <v>0.9</v>
      </c>
      <c r="L87" s="2">
        <v>1.2</v>
      </c>
    </row>
    <row r="88">
      <c r="A88" s="12">
        <v>45292.0</v>
      </c>
      <c r="B88" s="6" t="s">
        <v>18</v>
      </c>
      <c r="C88" s="2">
        <v>1.69</v>
      </c>
      <c r="D88" s="16">
        <f t="shared" si="3"/>
        <v>2.17</v>
      </c>
      <c r="E88" s="17">
        <f>D88/B1</f>
        <v>0.1085</v>
      </c>
      <c r="F88" s="16">
        <f t="shared" si="4"/>
        <v>4.68</v>
      </c>
      <c r="G88" s="17">
        <f>F88/B2</f>
        <v>0.1872</v>
      </c>
      <c r="H88" s="15">
        <f t="shared" si="5"/>
        <v>1.68</v>
      </c>
      <c r="I88" s="14">
        <f>H88/B3</f>
        <v>0.112</v>
      </c>
      <c r="J88" s="2">
        <v>1.2</v>
      </c>
      <c r="K88" s="2">
        <v>0.9</v>
      </c>
      <c r="L88" s="2">
        <v>1.2</v>
      </c>
    </row>
    <row r="89">
      <c r="A89" s="12">
        <v>45292.0</v>
      </c>
      <c r="B89" s="6" t="s">
        <v>19</v>
      </c>
      <c r="C89" s="2">
        <v>0.0</v>
      </c>
      <c r="D89" s="16">
        <f t="shared" si="3"/>
        <v>2.17</v>
      </c>
      <c r="E89" s="17">
        <f>D89/B1</f>
        <v>0.1085</v>
      </c>
      <c r="F89" s="16">
        <f t="shared" si="4"/>
        <v>4.68</v>
      </c>
      <c r="G89" s="17">
        <f>F89/B2</f>
        <v>0.1872</v>
      </c>
      <c r="H89" s="15">
        <f t="shared" si="5"/>
        <v>1.68</v>
      </c>
      <c r="I89" s="14">
        <f>H89/B3</f>
        <v>0.112</v>
      </c>
      <c r="J89" s="2">
        <v>1.2</v>
      </c>
      <c r="K89" s="2">
        <v>0.9</v>
      </c>
      <c r="L89" s="2">
        <v>1.2</v>
      </c>
    </row>
    <row r="90">
      <c r="A90" s="12">
        <v>45293.0</v>
      </c>
      <c r="B90" s="6" t="s">
        <v>17</v>
      </c>
      <c r="C90" s="2">
        <v>0.0</v>
      </c>
      <c r="D90" s="16">
        <f t="shared" si="3"/>
        <v>2.17</v>
      </c>
      <c r="E90" s="17">
        <f>D90/B1</f>
        <v>0.1085</v>
      </c>
      <c r="F90" s="16">
        <f t="shared" si="4"/>
        <v>4.68</v>
      </c>
      <c r="G90" s="17">
        <f>F90/B2</f>
        <v>0.1872</v>
      </c>
      <c r="H90" s="15">
        <f t="shared" si="5"/>
        <v>1.68</v>
      </c>
      <c r="I90" s="14">
        <f>H90/B3</f>
        <v>0.112</v>
      </c>
      <c r="J90" s="2">
        <v>1.2</v>
      </c>
      <c r="K90" s="2">
        <v>0.9</v>
      </c>
      <c r="L90" s="2">
        <v>1.2</v>
      </c>
    </row>
    <row r="91">
      <c r="A91" s="12">
        <v>45293.0</v>
      </c>
      <c r="B91" s="6" t="s">
        <v>18</v>
      </c>
      <c r="C91" s="2">
        <v>0.0</v>
      </c>
      <c r="D91" s="16">
        <f t="shared" si="3"/>
        <v>2.17</v>
      </c>
      <c r="E91" s="17">
        <f>D91/B1</f>
        <v>0.1085</v>
      </c>
      <c r="F91" s="16">
        <f t="shared" si="4"/>
        <v>4.68</v>
      </c>
      <c r="G91" s="17">
        <f>F91/B2</f>
        <v>0.1872</v>
      </c>
      <c r="H91" s="15">
        <f t="shared" si="5"/>
        <v>1.68</v>
      </c>
      <c r="I91" s="14">
        <f>H91/B3</f>
        <v>0.112</v>
      </c>
      <c r="J91" s="2">
        <v>1.2</v>
      </c>
      <c r="K91" s="2">
        <v>0.9</v>
      </c>
      <c r="L91" s="2">
        <v>1.2</v>
      </c>
    </row>
    <row r="92">
      <c r="A92" s="12">
        <v>45293.0</v>
      </c>
      <c r="B92" s="6" t="s">
        <v>19</v>
      </c>
      <c r="C92" s="2">
        <v>1.02</v>
      </c>
      <c r="D92" s="16">
        <f t="shared" si="3"/>
        <v>2.17</v>
      </c>
      <c r="E92" s="17">
        <f>D92/B1</f>
        <v>0.1085</v>
      </c>
      <c r="F92" s="16">
        <f t="shared" si="4"/>
        <v>4.68</v>
      </c>
      <c r="G92" s="17">
        <f>F92/B2</f>
        <v>0.1872</v>
      </c>
      <c r="H92" s="15">
        <f t="shared" si="5"/>
        <v>0.66</v>
      </c>
      <c r="I92" s="14">
        <f>H92/B3</f>
        <v>0.044</v>
      </c>
      <c r="J92" s="2">
        <v>1.2</v>
      </c>
      <c r="K92" s="2">
        <v>0.9</v>
      </c>
      <c r="L92" s="2">
        <v>1.2</v>
      </c>
    </row>
    <row r="93">
      <c r="A93" s="12">
        <v>45294.0</v>
      </c>
      <c r="B93" s="6" t="s">
        <v>17</v>
      </c>
      <c r="C93" s="2">
        <v>1.6</v>
      </c>
      <c r="D93" s="16">
        <f t="shared" si="3"/>
        <v>0.57</v>
      </c>
      <c r="E93" s="17">
        <f>D93/B1</f>
        <v>0.0285</v>
      </c>
      <c r="F93" s="16">
        <f t="shared" si="4"/>
        <v>4.68</v>
      </c>
      <c r="G93" s="17">
        <f>F93/B2</f>
        <v>0.1872</v>
      </c>
      <c r="H93" s="15">
        <f t="shared" si="5"/>
        <v>0.66</v>
      </c>
      <c r="I93" s="14">
        <f>H93/B3</f>
        <v>0.044</v>
      </c>
      <c r="J93" s="2">
        <v>1.2</v>
      </c>
      <c r="K93" s="2">
        <v>0.9</v>
      </c>
      <c r="L93" s="2">
        <v>1.2</v>
      </c>
    </row>
    <row r="94">
      <c r="A94" s="12">
        <v>45294.0</v>
      </c>
      <c r="B94" s="6" t="s">
        <v>18</v>
      </c>
      <c r="C94" s="2">
        <v>0.0</v>
      </c>
      <c r="D94" s="16">
        <f t="shared" si="3"/>
        <v>0.57</v>
      </c>
      <c r="E94" s="17">
        <f>D94/B1</f>
        <v>0.0285</v>
      </c>
      <c r="F94" s="16">
        <f t="shared" si="4"/>
        <v>4.68</v>
      </c>
      <c r="G94" s="17">
        <f>F94/B2</f>
        <v>0.1872</v>
      </c>
      <c r="H94" s="15">
        <f t="shared" si="5"/>
        <v>0.66</v>
      </c>
      <c r="I94" s="14">
        <f>H94/B3</f>
        <v>0.044</v>
      </c>
      <c r="J94" s="2">
        <v>1.2</v>
      </c>
      <c r="K94" s="2">
        <v>0.9</v>
      </c>
      <c r="L94" s="2">
        <v>1.2</v>
      </c>
    </row>
    <row r="95">
      <c r="A95" s="12">
        <v>45294.0</v>
      </c>
      <c r="B95" s="6" t="s">
        <v>19</v>
      </c>
      <c r="C95" s="2">
        <v>0.0</v>
      </c>
      <c r="D95" s="16">
        <f t="shared" si="3"/>
        <v>0.57</v>
      </c>
      <c r="E95" s="17">
        <f>D95/B1</f>
        <v>0.0285</v>
      </c>
      <c r="F95" s="16">
        <f t="shared" si="4"/>
        <v>4.68</v>
      </c>
      <c r="G95" s="17">
        <f>F95/B2</f>
        <v>0.1872</v>
      </c>
      <c r="H95" s="15">
        <f t="shared" si="5"/>
        <v>0.66</v>
      </c>
      <c r="I95" s="14">
        <f>H95/B3</f>
        <v>0.044</v>
      </c>
      <c r="J95" s="2">
        <v>1.2</v>
      </c>
      <c r="K95" s="2">
        <v>0.9</v>
      </c>
      <c r="L95" s="2">
        <v>1.2</v>
      </c>
    </row>
    <row r="96">
      <c r="A96" s="12">
        <v>45295.0</v>
      </c>
      <c r="B96" s="6" t="s">
        <v>17</v>
      </c>
      <c r="C96" s="2">
        <v>0.0</v>
      </c>
      <c r="D96" s="16">
        <f t="shared" si="3"/>
        <v>0.57</v>
      </c>
      <c r="E96" s="17">
        <f>D96/B1</f>
        <v>0.0285</v>
      </c>
      <c r="F96" s="16">
        <f t="shared" si="4"/>
        <v>4.68</v>
      </c>
      <c r="G96" s="17">
        <f>F96/B2</f>
        <v>0.1872</v>
      </c>
      <c r="H96" s="15">
        <f t="shared" si="5"/>
        <v>0.66</v>
      </c>
      <c r="I96" s="14">
        <f>H96/B3</f>
        <v>0.044</v>
      </c>
      <c r="J96" s="2">
        <v>1.2</v>
      </c>
      <c r="K96" s="2">
        <v>0.9</v>
      </c>
      <c r="L96" s="2">
        <v>1.2</v>
      </c>
    </row>
    <row r="97">
      <c r="A97" s="12">
        <v>45295.0</v>
      </c>
      <c r="B97" s="6" t="s">
        <v>18</v>
      </c>
      <c r="C97" s="2">
        <v>1.1</v>
      </c>
      <c r="D97" s="16">
        <f t="shared" si="3"/>
        <v>0.57</v>
      </c>
      <c r="E97" s="17">
        <f>D97/B1</f>
        <v>0.0285</v>
      </c>
      <c r="F97" s="16">
        <f t="shared" si="4"/>
        <v>3.58</v>
      </c>
      <c r="G97" s="17">
        <f>F97/B2</f>
        <v>0.1432</v>
      </c>
      <c r="H97" s="15">
        <f t="shared" si="5"/>
        <v>0.66</v>
      </c>
      <c r="I97" s="14">
        <f>H97/B3</f>
        <v>0.044</v>
      </c>
      <c r="J97" s="2">
        <v>1.2</v>
      </c>
      <c r="K97" s="2">
        <v>0.9</v>
      </c>
      <c r="L97" s="2">
        <v>1.2</v>
      </c>
    </row>
    <row r="98">
      <c r="A98" s="12">
        <v>45295.0</v>
      </c>
      <c r="B98" s="6" t="s">
        <v>19</v>
      </c>
      <c r="C98" s="2">
        <v>0.0</v>
      </c>
      <c r="D98" s="16">
        <f t="shared" si="3"/>
        <v>0.57</v>
      </c>
      <c r="E98" s="17">
        <f>D98/B1</f>
        <v>0.0285</v>
      </c>
      <c r="F98" s="16">
        <f t="shared" si="4"/>
        <v>3.58</v>
      </c>
      <c r="G98" s="17">
        <f>F98/B2</f>
        <v>0.1432</v>
      </c>
      <c r="H98" s="15">
        <f t="shared" si="5"/>
        <v>0.66</v>
      </c>
      <c r="I98" s="14">
        <f>H98/B3</f>
        <v>0.044</v>
      </c>
      <c r="J98" s="2">
        <v>1.2</v>
      </c>
      <c r="K98" s="2">
        <v>0.9</v>
      </c>
      <c r="L98" s="2">
        <v>1.2</v>
      </c>
    </row>
    <row r="99">
      <c r="A99" s="12">
        <v>45296.0</v>
      </c>
      <c r="B99" s="6" t="s">
        <v>17</v>
      </c>
      <c r="C99" s="2">
        <v>0.0</v>
      </c>
      <c r="D99" s="16">
        <f t="shared" si="3"/>
        <v>0.57</v>
      </c>
      <c r="E99" s="17">
        <f>D99/B1</f>
        <v>0.0285</v>
      </c>
      <c r="F99" s="16">
        <f t="shared" si="4"/>
        <v>3.58</v>
      </c>
      <c r="G99" s="17">
        <f>F99/B2</f>
        <v>0.1432</v>
      </c>
      <c r="H99" s="15">
        <f t="shared" si="5"/>
        <v>0.66</v>
      </c>
      <c r="I99" s="14">
        <f>H99/B3</f>
        <v>0.044</v>
      </c>
      <c r="J99" s="2">
        <v>1.2</v>
      </c>
      <c r="K99" s="2">
        <v>0.9</v>
      </c>
      <c r="L99" s="2">
        <v>1.2</v>
      </c>
    </row>
    <row r="100">
      <c r="A100" s="12">
        <v>45296.0</v>
      </c>
      <c r="B100" s="6" t="s">
        <v>18</v>
      </c>
      <c r="C100" s="2">
        <v>0.0</v>
      </c>
      <c r="D100" s="16">
        <f t="shared" si="3"/>
        <v>0.57</v>
      </c>
      <c r="E100" s="17">
        <f>D100/B1</f>
        <v>0.0285</v>
      </c>
      <c r="F100" s="16">
        <f t="shared" si="4"/>
        <v>3.58</v>
      </c>
      <c r="G100" s="17">
        <f>F100/B2</f>
        <v>0.1432</v>
      </c>
      <c r="H100" s="15">
        <f t="shared" si="5"/>
        <v>0.66</v>
      </c>
      <c r="I100" s="14">
        <f>H100/B3</f>
        <v>0.044</v>
      </c>
      <c r="J100" s="2">
        <v>1.2</v>
      </c>
      <c r="K100" s="2">
        <v>0.9</v>
      </c>
      <c r="L100" s="2">
        <v>1.2</v>
      </c>
    </row>
    <row r="101">
      <c r="A101" s="12">
        <v>45296.0</v>
      </c>
      <c r="B101" s="6" t="s">
        <v>19</v>
      </c>
      <c r="C101" s="2">
        <v>0.66</v>
      </c>
      <c r="D101" s="16">
        <f t="shared" si="3"/>
        <v>0.57</v>
      </c>
      <c r="E101" s="17">
        <f>D101/B1</f>
        <v>0.0285</v>
      </c>
      <c r="F101" s="16">
        <f t="shared" si="4"/>
        <v>3.58</v>
      </c>
      <c r="G101" s="17">
        <f>F101/B2</f>
        <v>0.1432</v>
      </c>
      <c r="H101" s="15">
        <f t="shared" si="5"/>
        <v>0</v>
      </c>
      <c r="I101" s="14">
        <f>H101/B3</f>
        <v>0</v>
      </c>
      <c r="J101" s="2">
        <v>1.2</v>
      </c>
      <c r="K101" s="2">
        <v>0.9</v>
      </c>
      <c r="L101" s="2">
        <v>1.2</v>
      </c>
    </row>
    <row r="102">
      <c r="A102" s="12">
        <v>45297.0</v>
      </c>
      <c r="B102" s="6" t="s">
        <v>17</v>
      </c>
      <c r="C102" s="2">
        <v>0.57</v>
      </c>
      <c r="D102" s="16">
        <f t="shared" si="3"/>
        <v>0</v>
      </c>
      <c r="E102" s="17">
        <f>D102/B1</f>
        <v>0</v>
      </c>
      <c r="F102" s="16">
        <f t="shared" si="4"/>
        <v>3.58</v>
      </c>
      <c r="G102" s="17">
        <f>F102/B2</f>
        <v>0.1432</v>
      </c>
      <c r="H102" s="15">
        <f t="shared" si="5"/>
        <v>0</v>
      </c>
      <c r="I102" s="14">
        <f>H102/B3</f>
        <v>0</v>
      </c>
      <c r="J102" s="2">
        <v>1.2</v>
      </c>
      <c r="K102" s="2">
        <v>0.6</v>
      </c>
      <c r="L102" s="2">
        <v>1.2</v>
      </c>
    </row>
    <row r="103">
      <c r="A103" s="12">
        <v>45297.0</v>
      </c>
      <c r="B103" s="6" t="s">
        <v>18</v>
      </c>
      <c r="C103" s="2">
        <v>1.04</v>
      </c>
      <c r="D103" s="16">
        <f t="shared" si="3"/>
        <v>0</v>
      </c>
      <c r="E103" s="17">
        <f>D103/B1</f>
        <v>0</v>
      </c>
      <c r="F103" s="16">
        <f t="shared" si="4"/>
        <v>2.54</v>
      </c>
      <c r="G103" s="17">
        <f>F103/B2</f>
        <v>0.1016</v>
      </c>
      <c r="H103" s="15">
        <f t="shared" si="5"/>
        <v>0</v>
      </c>
      <c r="I103" s="14">
        <f>H103/B3</f>
        <v>0</v>
      </c>
      <c r="J103" s="2">
        <v>1.2</v>
      </c>
      <c r="K103" s="2">
        <v>0.6</v>
      </c>
      <c r="L103" s="2">
        <v>1.2</v>
      </c>
    </row>
    <row r="104">
      <c r="A104" s="12">
        <v>45297.0</v>
      </c>
      <c r="B104" s="6" t="s">
        <v>19</v>
      </c>
      <c r="C104" s="2">
        <v>0.0</v>
      </c>
      <c r="D104" s="16">
        <f t="shared" si="3"/>
        <v>0</v>
      </c>
      <c r="E104" s="17">
        <f>D104/B1</f>
        <v>0</v>
      </c>
      <c r="F104" s="16">
        <f t="shared" si="4"/>
        <v>2.54</v>
      </c>
      <c r="G104" s="17">
        <f>F104/B2</f>
        <v>0.1016</v>
      </c>
      <c r="H104" s="15">
        <f t="shared" si="5"/>
        <v>0</v>
      </c>
      <c r="I104" s="14">
        <f>H104/B3</f>
        <v>0</v>
      </c>
      <c r="J104" s="2">
        <v>1.2</v>
      </c>
      <c r="K104" s="2">
        <v>0.6</v>
      </c>
      <c r="L104" s="2">
        <v>1.2</v>
      </c>
    </row>
    <row r="105">
      <c r="A105" s="12">
        <v>45298.0</v>
      </c>
      <c r="B105" s="6" t="s">
        <v>17</v>
      </c>
      <c r="C105" s="2">
        <v>0.0</v>
      </c>
      <c r="D105" s="16">
        <f t="shared" si="3"/>
        <v>0</v>
      </c>
      <c r="E105" s="17">
        <f>D105/B1</f>
        <v>0</v>
      </c>
      <c r="F105" s="16">
        <f t="shared" si="4"/>
        <v>2.54</v>
      </c>
      <c r="G105" s="17">
        <f>F105/B2</f>
        <v>0.1016</v>
      </c>
      <c r="H105" s="15">
        <f t="shared" si="5"/>
        <v>0</v>
      </c>
      <c r="I105" s="14">
        <f>H105/B3</f>
        <v>0</v>
      </c>
      <c r="J105" s="2">
        <v>1.2</v>
      </c>
      <c r="K105" s="2">
        <v>0.6</v>
      </c>
      <c r="L105" s="2">
        <v>1.2</v>
      </c>
    </row>
    <row r="106">
      <c r="A106" s="12">
        <v>45298.0</v>
      </c>
      <c r="B106" s="6" t="s">
        <v>18</v>
      </c>
      <c r="C106" s="2">
        <v>0.0</v>
      </c>
      <c r="D106" s="16">
        <f t="shared" si="3"/>
        <v>0</v>
      </c>
      <c r="E106" s="17">
        <f>D106/B1</f>
        <v>0</v>
      </c>
      <c r="F106" s="16">
        <f t="shared" si="4"/>
        <v>2.54</v>
      </c>
      <c r="G106" s="17">
        <f>F106/B2</f>
        <v>0.1016</v>
      </c>
      <c r="H106" s="15">
        <f t="shared" si="5"/>
        <v>0</v>
      </c>
      <c r="I106" s="14">
        <f>H106/B3</f>
        <v>0</v>
      </c>
      <c r="J106" s="2">
        <v>1.2</v>
      </c>
      <c r="K106" s="2">
        <v>0.6</v>
      </c>
      <c r="L106" s="2">
        <v>1.2</v>
      </c>
    </row>
    <row r="107">
      <c r="A107" s="12">
        <v>45298.0</v>
      </c>
      <c r="B107" s="6" t="s">
        <v>19</v>
      </c>
      <c r="C107" s="2">
        <v>0.0</v>
      </c>
      <c r="D107" s="16">
        <f t="shared" si="3"/>
        <v>0</v>
      </c>
      <c r="E107" s="17">
        <f>D107/B1</f>
        <v>0</v>
      </c>
      <c r="F107" s="16">
        <f t="shared" si="4"/>
        <v>2.54</v>
      </c>
      <c r="G107" s="17">
        <f>F107/B2</f>
        <v>0.1016</v>
      </c>
      <c r="H107" s="15">
        <f t="shared" si="5"/>
        <v>0</v>
      </c>
      <c r="I107" s="14">
        <f>H107/B3</f>
        <v>0</v>
      </c>
      <c r="J107" s="2">
        <v>1.2</v>
      </c>
      <c r="K107" s="2">
        <v>0.6</v>
      </c>
      <c r="L107" s="2">
        <v>1.2</v>
      </c>
    </row>
    <row r="108">
      <c r="A108" s="12">
        <v>45299.0</v>
      </c>
      <c r="B108" s="6" t="s">
        <v>17</v>
      </c>
      <c r="C108" s="2">
        <v>0.0</v>
      </c>
      <c r="D108" s="16">
        <f t="shared" si="3"/>
        <v>0</v>
      </c>
      <c r="E108" s="17">
        <f>D108/B1</f>
        <v>0</v>
      </c>
      <c r="F108" s="16">
        <f t="shared" si="4"/>
        <v>2.54</v>
      </c>
      <c r="G108" s="17">
        <f>F108/B2</f>
        <v>0.1016</v>
      </c>
      <c r="H108" s="15">
        <f t="shared" si="5"/>
        <v>0</v>
      </c>
      <c r="I108" s="14">
        <f>H108/B3</f>
        <v>0</v>
      </c>
      <c r="J108" s="2">
        <v>1.2</v>
      </c>
      <c r="K108" s="2">
        <v>0.6</v>
      </c>
      <c r="L108" s="2">
        <v>1.2</v>
      </c>
    </row>
    <row r="109">
      <c r="A109" s="12">
        <v>45299.0</v>
      </c>
      <c r="B109" s="6" t="s">
        <v>18</v>
      </c>
      <c r="C109" s="2">
        <v>0.0</v>
      </c>
      <c r="D109" s="16">
        <f t="shared" si="3"/>
        <v>0</v>
      </c>
      <c r="E109" s="17">
        <f>D109/B1</f>
        <v>0</v>
      </c>
      <c r="F109" s="16">
        <f t="shared" si="4"/>
        <v>2.54</v>
      </c>
      <c r="G109" s="17">
        <f>F109/B2</f>
        <v>0.1016</v>
      </c>
      <c r="H109" s="15">
        <f t="shared" si="5"/>
        <v>0</v>
      </c>
      <c r="I109" s="14">
        <f>H109/B3</f>
        <v>0</v>
      </c>
      <c r="J109" s="2">
        <v>1.2</v>
      </c>
      <c r="K109" s="2">
        <v>0.6</v>
      </c>
      <c r="L109" s="2">
        <v>1.2</v>
      </c>
    </row>
    <row r="110">
      <c r="A110" s="12">
        <v>45299.0</v>
      </c>
      <c r="B110" s="6" t="s">
        <v>19</v>
      </c>
      <c r="C110" s="2">
        <v>0.0</v>
      </c>
      <c r="D110" s="16">
        <f t="shared" si="3"/>
        <v>0</v>
      </c>
      <c r="E110" s="17">
        <f>D110/B1</f>
        <v>0</v>
      </c>
      <c r="F110" s="16">
        <f t="shared" si="4"/>
        <v>2.54</v>
      </c>
      <c r="G110" s="17">
        <f>F110/B2</f>
        <v>0.1016</v>
      </c>
      <c r="H110" s="15">
        <f t="shared" si="5"/>
        <v>0</v>
      </c>
      <c r="I110" s="14">
        <f>H110/B3</f>
        <v>0</v>
      </c>
      <c r="J110" s="2">
        <v>0.0</v>
      </c>
      <c r="K110" s="2">
        <v>0.0</v>
      </c>
      <c r="L110" s="2">
        <v>0.9</v>
      </c>
    </row>
    <row r="111">
      <c r="A111" s="12">
        <v>45300.0</v>
      </c>
      <c r="B111" s="6" t="s">
        <v>17</v>
      </c>
      <c r="C111" s="2">
        <v>0.0</v>
      </c>
      <c r="D111" s="16">
        <f t="shared" si="3"/>
        <v>0</v>
      </c>
      <c r="E111" s="17">
        <f>D111/B1</f>
        <v>0</v>
      </c>
      <c r="F111" s="16">
        <f t="shared" si="4"/>
        <v>2.54</v>
      </c>
      <c r="G111" s="17">
        <f>F111/B2</f>
        <v>0.1016</v>
      </c>
      <c r="H111" s="15">
        <f t="shared" si="5"/>
        <v>0</v>
      </c>
      <c r="I111" s="14">
        <f>H111/B3</f>
        <v>0</v>
      </c>
      <c r="J111" s="2">
        <v>0.0</v>
      </c>
      <c r="K111" s="2">
        <v>0.0</v>
      </c>
      <c r="L111" s="2">
        <v>0.9</v>
      </c>
    </row>
    <row r="112">
      <c r="A112" s="12">
        <v>45300.0</v>
      </c>
      <c r="B112" s="6" t="s">
        <v>18</v>
      </c>
      <c r="C112" s="2">
        <v>1.41</v>
      </c>
      <c r="D112" s="16">
        <f t="shared" si="3"/>
        <v>0</v>
      </c>
      <c r="E112" s="17">
        <f>D112/B1</f>
        <v>0</v>
      </c>
      <c r="F112" s="16">
        <f t="shared" si="4"/>
        <v>1.13</v>
      </c>
      <c r="G112" s="17">
        <f>F112/B2</f>
        <v>0.0452</v>
      </c>
      <c r="H112" s="15">
        <f t="shared" si="5"/>
        <v>0</v>
      </c>
      <c r="I112" s="14">
        <f>H112/B3</f>
        <v>0</v>
      </c>
      <c r="J112" s="2">
        <v>0.0</v>
      </c>
      <c r="K112" s="2">
        <v>0.0</v>
      </c>
      <c r="L112" s="2">
        <v>0.9</v>
      </c>
    </row>
    <row r="113">
      <c r="A113" s="12">
        <v>45300.0</v>
      </c>
      <c r="B113" s="6" t="s">
        <v>19</v>
      </c>
      <c r="C113" s="2">
        <v>0.0</v>
      </c>
      <c r="D113" s="16">
        <f t="shared" si="3"/>
        <v>0</v>
      </c>
      <c r="E113" s="17">
        <f>D113/B1</f>
        <v>0</v>
      </c>
      <c r="F113" s="16">
        <f t="shared" si="4"/>
        <v>1.13</v>
      </c>
      <c r="G113" s="17">
        <f>F113/B2</f>
        <v>0.0452</v>
      </c>
      <c r="H113" s="15">
        <f t="shared" si="5"/>
        <v>0</v>
      </c>
      <c r="I113" s="14">
        <f>H113/B3</f>
        <v>0</v>
      </c>
      <c r="J113" s="2">
        <v>0.0</v>
      </c>
      <c r="K113" s="2">
        <v>0.0</v>
      </c>
      <c r="L113" s="2">
        <v>0.9</v>
      </c>
    </row>
    <row r="114">
      <c r="A114" s="12">
        <v>45301.0</v>
      </c>
      <c r="B114" s="6" t="s">
        <v>17</v>
      </c>
      <c r="C114" s="2">
        <v>0.0</v>
      </c>
      <c r="D114" s="16">
        <f t="shared" si="3"/>
        <v>0</v>
      </c>
      <c r="E114" s="17">
        <f>D114/B1</f>
        <v>0</v>
      </c>
      <c r="F114" s="16">
        <f t="shared" si="4"/>
        <v>1.13</v>
      </c>
      <c r="G114" s="17">
        <f>F114/B2</f>
        <v>0.0452</v>
      </c>
      <c r="H114" s="15">
        <f t="shared" si="5"/>
        <v>0</v>
      </c>
      <c r="I114" s="14">
        <f>H114/B3</f>
        <v>0</v>
      </c>
      <c r="J114" s="2">
        <v>0.0</v>
      </c>
      <c r="K114" s="2">
        <v>0.0</v>
      </c>
      <c r="L114" s="2">
        <v>0.0</v>
      </c>
    </row>
    <row r="115">
      <c r="A115" s="12">
        <v>45301.0</v>
      </c>
      <c r="B115" s="6" t="s">
        <v>18</v>
      </c>
      <c r="C115" s="2">
        <v>1.13</v>
      </c>
      <c r="D115" s="16">
        <f t="shared" si="3"/>
        <v>0</v>
      </c>
      <c r="E115" s="17">
        <f>D115/B1</f>
        <v>0</v>
      </c>
      <c r="F115" s="16">
        <f t="shared" si="4"/>
        <v>0</v>
      </c>
      <c r="G115" s="17">
        <f>F115/B2</f>
        <v>0</v>
      </c>
      <c r="H115" s="15">
        <f t="shared" si="5"/>
        <v>0</v>
      </c>
      <c r="I115" s="14">
        <f>H115/B3</f>
        <v>0</v>
      </c>
      <c r="J115" s="2">
        <v>0.0</v>
      </c>
      <c r="K115" s="2">
        <v>0.0</v>
      </c>
      <c r="L115" s="2">
        <v>0.0</v>
      </c>
    </row>
    <row r="116">
      <c r="A116" s="12">
        <v>45301.0</v>
      </c>
      <c r="B116" s="6" t="s">
        <v>19</v>
      </c>
      <c r="C116" s="2">
        <v>0.0</v>
      </c>
      <c r="D116" s="16">
        <f t="shared" si="3"/>
        <v>0</v>
      </c>
      <c r="E116" s="17">
        <f>D116/B1</f>
        <v>0</v>
      </c>
      <c r="F116" s="16">
        <f t="shared" si="4"/>
        <v>0</v>
      </c>
      <c r="G116" s="17">
        <f>F116/B2</f>
        <v>0</v>
      </c>
      <c r="H116" s="15">
        <f t="shared" si="5"/>
        <v>0</v>
      </c>
      <c r="I116" s="14">
        <f>H116/B3</f>
        <v>0</v>
      </c>
      <c r="J116" s="2">
        <v>0.0</v>
      </c>
      <c r="K116" s="2">
        <v>0.0</v>
      </c>
      <c r="L116" s="2">
        <v>0.0</v>
      </c>
    </row>
  </sheetData>
  <dataValidations>
    <dataValidation type="list" allowBlank="1" showErrorMessage="1" sqref="B6:B116">
      <formula1>"Hindu Kush,Gorilla Glue #4,Blueberry Haze"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42.75"/>
    <col customWidth="1" min="2" max="2" width="20.0"/>
    <col customWidth="1" min="3" max="3" width="10.25"/>
    <col customWidth="1" min="4" max="4" width="17.0"/>
    <col customWidth="1" min="5" max="5" width="15.0"/>
    <col customWidth="1" min="6" max="6" width="17.0"/>
    <col customWidth="1" min="7" max="7" width="16.13"/>
    <col customWidth="1" min="8" max="9" width="16.38"/>
    <col customWidth="1" min="10" max="10" width="12.63"/>
    <col customWidth="1" min="11" max="11" width="14.88"/>
    <col customWidth="1" min="12" max="12" width="13.0"/>
  </cols>
  <sheetData>
    <row r="1">
      <c r="A1" s="1" t="s">
        <v>0</v>
      </c>
      <c r="B1" s="2">
        <v>15.0</v>
      </c>
      <c r="C1" s="4">
        <f>D83</f>
        <v>0</v>
      </c>
      <c r="D1" s="5">
        <f t="shared" ref="D1:D4" si="1">C1/B1</f>
        <v>0</v>
      </c>
      <c r="G1" s="1" t="s">
        <v>1</v>
      </c>
      <c r="H1" s="3">
        <f>IFERROR(__xludf.DUMMYFUNCTION("COUNTUNIQUE(A9:A83)"),25.0)</f>
        <v>25</v>
      </c>
      <c r="I1" s="3"/>
      <c r="J1" s="6"/>
      <c r="K1" s="3"/>
      <c r="L1" s="3"/>
      <c r="M1" s="7"/>
      <c r="N1" s="7"/>
    </row>
    <row r="2">
      <c r="A2" s="1" t="s">
        <v>2</v>
      </c>
      <c r="B2" s="2">
        <v>15.0</v>
      </c>
      <c r="C2" s="4">
        <f>F83</f>
        <v>0</v>
      </c>
      <c r="D2" s="5">
        <f t="shared" si="1"/>
        <v>0</v>
      </c>
      <c r="G2" s="1" t="s">
        <v>5</v>
      </c>
      <c r="H2" s="3">
        <f>(B1+B2+B3)/F4</f>
        <v>25</v>
      </c>
      <c r="I2" s="3"/>
      <c r="J2" s="3"/>
      <c r="K2" s="3"/>
      <c r="L2" s="3"/>
      <c r="M2" s="7"/>
      <c r="N2" s="7"/>
    </row>
    <row r="3">
      <c r="A3" s="1" t="s">
        <v>6</v>
      </c>
      <c r="B3" s="2">
        <v>15.0</v>
      </c>
      <c r="C3" s="4">
        <f>H83</f>
        <v>0</v>
      </c>
      <c r="D3" s="8">
        <f t="shared" si="1"/>
        <v>0</v>
      </c>
      <c r="E3" s="3"/>
      <c r="F3" s="6"/>
      <c r="G3" s="3"/>
      <c r="H3" s="3"/>
      <c r="I3" s="3"/>
      <c r="J3" s="3"/>
      <c r="K3" s="3"/>
      <c r="L3" s="3"/>
      <c r="M3" s="7"/>
      <c r="N3" s="7"/>
    </row>
    <row r="4">
      <c r="A4" s="3"/>
      <c r="B4" s="9">
        <f t="shared" ref="B4:C4" si="2">SUM(B1:B3)</f>
        <v>45</v>
      </c>
      <c r="C4" s="9">
        <f t="shared" si="2"/>
        <v>0</v>
      </c>
      <c r="D4" s="5">
        <f t="shared" si="1"/>
        <v>0</v>
      </c>
      <c r="E4" s="1" t="s">
        <v>7</v>
      </c>
      <c r="F4" s="3">
        <f>SUM(C9:C83)/H1</f>
        <v>1.8</v>
      </c>
      <c r="G4" s="3"/>
      <c r="H4" s="3"/>
      <c r="I4" s="3"/>
      <c r="J4" s="3"/>
      <c r="K4" s="3"/>
      <c r="L4" s="3"/>
      <c r="M4" s="7"/>
      <c r="N4" s="7"/>
    </row>
    <row r="5">
      <c r="A5" s="10" t="s">
        <v>8</v>
      </c>
      <c r="B5" s="10" t="s">
        <v>9</v>
      </c>
      <c r="C5" s="10" t="s">
        <v>10</v>
      </c>
      <c r="D5" s="10" t="s">
        <v>11</v>
      </c>
      <c r="E5" s="10" t="s">
        <v>11</v>
      </c>
      <c r="F5" s="10" t="s">
        <v>12</v>
      </c>
      <c r="G5" s="10" t="s">
        <v>12</v>
      </c>
      <c r="H5" s="10" t="s">
        <v>13</v>
      </c>
      <c r="I5" s="10" t="s">
        <v>13</v>
      </c>
      <c r="J5" s="10" t="s">
        <v>14</v>
      </c>
      <c r="K5" s="10" t="s">
        <v>15</v>
      </c>
      <c r="L5" s="10" t="s">
        <v>16</v>
      </c>
      <c r="M5" s="7"/>
      <c r="N5" s="7"/>
    </row>
    <row r="6">
      <c r="A6" s="12">
        <v>45307.0</v>
      </c>
      <c r="B6" s="6" t="s">
        <v>17</v>
      </c>
      <c r="C6" s="2">
        <v>0.0</v>
      </c>
      <c r="D6" s="4">
        <f>IF(B6="Hindu Kush",B1-C6,B1)</f>
        <v>15</v>
      </c>
      <c r="E6" s="13">
        <f>D6/B1</f>
        <v>1</v>
      </c>
      <c r="F6" s="2">
        <f>IF(B6="Gorilla Glue #4",B2-C6,B2)</f>
        <v>15</v>
      </c>
      <c r="G6" s="14">
        <f>F6/B2</f>
        <v>1</v>
      </c>
      <c r="H6" s="15">
        <f>IF(B6="Blueberry Haze",B3-C6,B3)</f>
        <v>15</v>
      </c>
      <c r="I6" s="14">
        <f>H6/B3</f>
        <v>1</v>
      </c>
      <c r="J6" s="2">
        <v>0.0</v>
      </c>
      <c r="K6" s="2">
        <v>0.0</v>
      </c>
      <c r="L6" s="2">
        <v>0.0</v>
      </c>
      <c r="M6" s="7"/>
      <c r="N6" s="7"/>
    </row>
    <row r="7">
      <c r="A7" s="12">
        <v>45307.0</v>
      </c>
      <c r="B7" s="6" t="s">
        <v>18</v>
      </c>
      <c r="C7" s="2">
        <v>0.0</v>
      </c>
      <c r="D7" s="16">
        <f t="shared" ref="D7:D83" si="3">IF(B7="Hindu Kush",D6-C7,D6)</f>
        <v>15</v>
      </c>
      <c r="E7" s="17">
        <f>D7/B1</f>
        <v>1</v>
      </c>
      <c r="F7" s="16">
        <f t="shared" ref="F7:F83" si="4">IF(B7="Gorilla Glue #4",F6-C7,F6)</f>
        <v>15</v>
      </c>
      <c r="G7" s="17">
        <f>F7/B2</f>
        <v>1</v>
      </c>
      <c r="H7" s="15">
        <f t="shared" ref="H7:H83" si="5">IF(B7="Blueberry Haze",H6-C7,H6)</f>
        <v>15</v>
      </c>
      <c r="I7" s="14">
        <f>H7/B3</f>
        <v>1</v>
      </c>
      <c r="J7" s="2">
        <v>0.0</v>
      </c>
      <c r="K7" s="2">
        <v>0.0</v>
      </c>
      <c r="L7" s="2">
        <v>0.0</v>
      </c>
      <c r="M7" s="7"/>
      <c r="N7" s="7"/>
    </row>
    <row r="8">
      <c r="A8" s="12">
        <v>45307.0</v>
      </c>
      <c r="B8" s="6" t="s">
        <v>19</v>
      </c>
      <c r="C8" s="2">
        <v>0.0</v>
      </c>
      <c r="D8" s="16">
        <f t="shared" si="3"/>
        <v>15</v>
      </c>
      <c r="E8" s="17">
        <f>D8/B1</f>
        <v>1</v>
      </c>
      <c r="F8" s="16">
        <f t="shared" si="4"/>
        <v>15</v>
      </c>
      <c r="G8" s="17">
        <f>F8/B2</f>
        <v>1</v>
      </c>
      <c r="H8" s="15">
        <f t="shared" si="5"/>
        <v>15</v>
      </c>
      <c r="I8" s="14">
        <f>H8/B3</f>
        <v>1</v>
      </c>
      <c r="J8" s="2">
        <v>0.0</v>
      </c>
      <c r="K8" s="2">
        <v>0.0</v>
      </c>
      <c r="L8" s="2">
        <v>0.0</v>
      </c>
      <c r="M8" s="7"/>
      <c r="N8" s="7"/>
    </row>
    <row r="9">
      <c r="A9" s="12">
        <v>45308.0</v>
      </c>
      <c r="B9" s="6" t="s">
        <v>17</v>
      </c>
      <c r="C9" s="2">
        <v>0.12</v>
      </c>
      <c r="D9" s="16">
        <f t="shared" si="3"/>
        <v>14.88</v>
      </c>
      <c r="E9" s="17">
        <f>D9/B1</f>
        <v>0.992</v>
      </c>
      <c r="F9" s="16">
        <f t="shared" si="4"/>
        <v>15</v>
      </c>
      <c r="G9" s="17">
        <f>F9/B2</f>
        <v>1</v>
      </c>
      <c r="H9" s="15">
        <f t="shared" si="5"/>
        <v>15</v>
      </c>
      <c r="I9" s="14">
        <f>H9/B3</f>
        <v>1</v>
      </c>
      <c r="J9" s="2">
        <v>0.0</v>
      </c>
      <c r="K9" s="2">
        <v>0.0</v>
      </c>
      <c r="L9" s="2">
        <v>0.0</v>
      </c>
      <c r="M9" s="7"/>
      <c r="N9" s="7"/>
    </row>
    <row r="10">
      <c r="A10" s="12">
        <v>45308.0</v>
      </c>
      <c r="B10" s="6" t="s">
        <v>18</v>
      </c>
      <c r="C10" s="2">
        <v>0.55</v>
      </c>
      <c r="D10" s="16">
        <f t="shared" si="3"/>
        <v>14.88</v>
      </c>
      <c r="E10" s="17">
        <f>D10/B1</f>
        <v>0.992</v>
      </c>
      <c r="F10" s="16">
        <f t="shared" si="4"/>
        <v>14.45</v>
      </c>
      <c r="G10" s="17">
        <f>F10/B2</f>
        <v>0.9633333333</v>
      </c>
      <c r="H10" s="15">
        <f t="shared" si="5"/>
        <v>15</v>
      </c>
      <c r="I10" s="14">
        <f>H10/B3</f>
        <v>1</v>
      </c>
      <c r="J10" s="2">
        <v>0.0</v>
      </c>
      <c r="K10" s="2">
        <v>0.0</v>
      </c>
      <c r="L10" s="2">
        <v>0.0</v>
      </c>
      <c r="M10" s="7"/>
      <c r="N10" s="7"/>
    </row>
    <row r="11">
      <c r="A11" s="12">
        <v>45308.0</v>
      </c>
      <c r="B11" s="6" t="s">
        <v>19</v>
      </c>
      <c r="C11" s="2">
        <v>0.6</v>
      </c>
      <c r="D11" s="16">
        <f t="shared" si="3"/>
        <v>14.88</v>
      </c>
      <c r="E11" s="17">
        <f>D11/B1</f>
        <v>0.992</v>
      </c>
      <c r="F11" s="16">
        <f t="shared" si="4"/>
        <v>14.45</v>
      </c>
      <c r="G11" s="17">
        <f>F11/B2</f>
        <v>0.9633333333</v>
      </c>
      <c r="H11" s="15">
        <f t="shared" si="5"/>
        <v>14.4</v>
      </c>
      <c r="I11" s="14">
        <f>H11/B3</f>
        <v>0.96</v>
      </c>
      <c r="J11" s="2">
        <v>0.0</v>
      </c>
      <c r="K11" s="2">
        <v>0.0</v>
      </c>
      <c r="L11" s="2">
        <v>0.0</v>
      </c>
      <c r="M11" s="7"/>
      <c r="N11" s="7"/>
    </row>
    <row r="12">
      <c r="A12" s="12">
        <v>45309.0</v>
      </c>
      <c r="B12" s="6" t="s">
        <v>17</v>
      </c>
      <c r="C12" s="2">
        <v>0.59</v>
      </c>
      <c r="D12" s="16">
        <f t="shared" si="3"/>
        <v>14.29</v>
      </c>
      <c r="E12" s="17">
        <f>D12/B1</f>
        <v>0.9526666667</v>
      </c>
      <c r="F12" s="16">
        <f t="shared" si="4"/>
        <v>14.45</v>
      </c>
      <c r="G12" s="17">
        <f>F12/B2</f>
        <v>0.9633333333</v>
      </c>
      <c r="H12" s="15">
        <f t="shared" si="5"/>
        <v>14.4</v>
      </c>
      <c r="I12" s="14">
        <f>H12/B3</f>
        <v>0.96</v>
      </c>
      <c r="J12" s="2">
        <v>0.0</v>
      </c>
      <c r="K12" s="2">
        <v>0.0</v>
      </c>
      <c r="L12" s="2">
        <v>0.0</v>
      </c>
      <c r="M12" s="7"/>
      <c r="N12" s="7"/>
    </row>
    <row r="13">
      <c r="A13" s="12">
        <v>45309.0</v>
      </c>
      <c r="B13" s="6" t="s">
        <v>18</v>
      </c>
      <c r="C13" s="2">
        <v>0.0</v>
      </c>
      <c r="D13" s="16">
        <f t="shared" si="3"/>
        <v>14.29</v>
      </c>
      <c r="E13" s="17">
        <f>D13/B1</f>
        <v>0.9526666667</v>
      </c>
      <c r="F13" s="16">
        <f t="shared" si="4"/>
        <v>14.45</v>
      </c>
      <c r="G13" s="17">
        <f>F13/B2</f>
        <v>0.9633333333</v>
      </c>
      <c r="H13" s="15">
        <f t="shared" si="5"/>
        <v>14.4</v>
      </c>
      <c r="I13" s="14">
        <f>H13/B3</f>
        <v>0.96</v>
      </c>
      <c r="J13" s="2">
        <v>0.0</v>
      </c>
      <c r="K13" s="2">
        <v>0.0</v>
      </c>
      <c r="L13" s="2">
        <v>0.0</v>
      </c>
      <c r="M13" s="7"/>
      <c r="N13" s="7"/>
    </row>
    <row r="14">
      <c r="A14" s="12">
        <v>45309.0</v>
      </c>
      <c r="B14" s="6" t="s">
        <v>19</v>
      </c>
      <c r="C14" s="2">
        <v>0.54</v>
      </c>
      <c r="D14" s="16">
        <f t="shared" si="3"/>
        <v>14.29</v>
      </c>
      <c r="E14" s="17">
        <f>D14/B1</f>
        <v>0.9526666667</v>
      </c>
      <c r="F14" s="16">
        <f t="shared" si="4"/>
        <v>14.45</v>
      </c>
      <c r="G14" s="17">
        <f>F14/B2</f>
        <v>0.9633333333</v>
      </c>
      <c r="H14" s="15">
        <f t="shared" si="5"/>
        <v>13.86</v>
      </c>
      <c r="I14" s="14">
        <f>H14/B3</f>
        <v>0.924</v>
      </c>
      <c r="J14" s="2">
        <v>0.0</v>
      </c>
      <c r="K14" s="2">
        <v>0.0</v>
      </c>
      <c r="L14" s="2">
        <v>0.0</v>
      </c>
      <c r="M14" s="7"/>
      <c r="N14" s="7"/>
    </row>
    <row r="15">
      <c r="A15" s="12">
        <v>45310.0</v>
      </c>
      <c r="B15" s="6" t="s">
        <v>17</v>
      </c>
      <c r="C15" s="2">
        <v>0.58</v>
      </c>
      <c r="D15" s="16">
        <f t="shared" si="3"/>
        <v>13.71</v>
      </c>
      <c r="E15" s="17">
        <f>D15/B1</f>
        <v>0.914</v>
      </c>
      <c r="F15" s="16">
        <f t="shared" si="4"/>
        <v>14.45</v>
      </c>
      <c r="G15" s="17">
        <f>F15/B2</f>
        <v>0.9633333333</v>
      </c>
      <c r="H15" s="15">
        <f t="shared" si="5"/>
        <v>13.86</v>
      </c>
      <c r="I15" s="14">
        <f>H15/B3</f>
        <v>0.924</v>
      </c>
      <c r="J15" s="2">
        <v>0.0</v>
      </c>
      <c r="K15" s="2">
        <v>0.0</v>
      </c>
      <c r="L15" s="2">
        <v>0.0</v>
      </c>
      <c r="M15" s="7"/>
      <c r="N15" s="7"/>
    </row>
    <row r="16">
      <c r="A16" s="12">
        <v>45310.0</v>
      </c>
      <c r="B16" s="6" t="s">
        <v>18</v>
      </c>
      <c r="C16" s="2">
        <v>0.68</v>
      </c>
      <c r="D16" s="16">
        <f t="shared" si="3"/>
        <v>13.71</v>
      </c>
      <c r="E16" s="17">
        <f>D16/B1</f>
        <v>0.914</v>
      </c>
      <c r="F16" s="16">
        <f t="shared" si="4"/>
        <v>13.77</v>
      </c>
      <c r="G16" s="17">
        <f>F16/B2</f>
        <v>0.918</v>
      </c>
      <c r="H16" s="15">
        <f t="shared" si="5"/>
        <v>13.86</v>
      </c>
      <c r="I16" s="14">
        <f>H16/B3</f>
        <v>0.924</v>
      </c>
      <c r="J16" s="2">
        <v>0.0</v>
      </c>
      <c r="K16" s="2">
        <v>0.0</v>
      </c>
      <c r="L16" s="2">
        <v>0.0</v>
      </c>
      <c r="M16" s="7"/>
      <c r="N16" s="7"/>
    </row>
    <row r="17">
      <c r="A17" s="12">
        <v>45310.0</v>
      </c>
      <c r="B17" s="6" t="s">
        <v>19</v>
      </c>
      <c r="C17" s="2">
        <v>0.6</v>
      </c>
      <c r="D17" s="16">
        <f t="shared" si="3"/>
        <v>13.71</v>
      </c>
      <c r="E17" s="17">
        <f>D17/B1</f>
        <v>0.914</v>
      </c>
      <c r="F17" s="16">
        <f t="shared" si="4"/>
        <v>13.77</v>
      </c>
      <c r="G17" s="17">
        <f>F17/B2</f>
        <v>0.918</v>
      </c>
      <c r="H17" s="15">
        <f t="shared" si="5"/>
        <v>13.26</v>
      </c>
      <c r="I17" s="14">
        <f>H17/B3</f>
        <v>0.884</v>
      </c>
      <c r="J17" s="2">
        <v>0.0</v>
      </c>
      <c r="K17" s="2">
        <v>0.0</v>
      </c>
      <c r="L17" s="2">
        <v>0.0</v>
      </c>
      <c r="M17" s="7"/>
      <c r="N17" s="7"/>
    </row>
    <row r="18">
      <c r="A18" s="12">
        <v>45311.0</v>
      </c>
      <c r="B18" s="6" t="s">
        <v>17</v>
      </c>
      <c r="C18" s="2">
        <v>0.73</v>
      </c>
      <c r="D18" s="16">
        <f t="shared" si="3"/>
        <v>12.98</v>
      </c>
      <c r="E18" s="17">
        <f>D18/B1</f>
        <v>0.8653333333</v>
      </c>
      <c r="F18" s="16">
        <f t="shared" si="4"/>
        <v>13.77</v>
      </c>
      <c r="G18" s="17">
        <f>F18/B2</f>
        <v>0.918</v>
      </c>
      <c r="H18" s="15">
        <f t="shared" si="5"/>
        <v>13.26</v>
      </c>
      <c r="I18" s="14">
        <f>H18/B3</f>
        <v>0.884</v>
      </c>
      <c r="J18" s="2">
        <v>0.0</v>
      </c>
      <c r="K18" s="2">
        <v>0.0</v>
      </c>
      <c r="L18" s="2">
        <v>0.0</v>
      </c>
      <c r="M18" s="7"/>
      <c r="N18" s="7"/>
    </row>
    <row r="19">
      <c r="A19" s="12">
        <v>45311.0</v>
      </c>
      <c r="B19" s="6" t="s">
        <v>18</v>
      </c>
      <c r="C19" s="2">
        <v>0.67</v>
      </c>
      <c r="D19" s="16">
        <f t="shared" si="3"/>
        <v>12.98</v>
      </c>
      <c r="E19" s="17">
        <f>D19/B1</f>
        <v>0.8653333333</v>
      </c>
      <c r="F19" s="16">
        <f t="shared" si="4"/>
        <v>13.1</v>
      </c>
      <c r="G19" s="17">
        <f>F19/B2</f>
        <v>0.8733333333</v>
      </c>
      <c r="H19" s="15">
        <f t="shared" si="5"/>
        <v>13.26</v>
      </c>
      <c r="I19" s="14">
        <f>H19/B3</f>
        <v>0.884</v>
      </c>
      <c r="J19" s="2">
        <v>0.0</v>
      </c>
      <c r="K19" s="2">
        <v>0.0</v>
      </c>
      <c r="L19" s="2">
        <v>0.0</v>
      </c>
      <c r="M19" s="7"/>
      <c r="N19" s="7"/>
    </row>
    <row r="20">
      <c r="A20" s="12">
        <v>45311.0</v>
      </c>
      <c r="B20" s="6" t="s">
        <v>19</v>
      </c>
      <c r="C20" s="2">
        <v>0.65</v>
      </c>
      <c r="D20" s="16">
        <f t="shared" si="3"/>
        <v>12.98</v>
      </c>
      <c r="E20" s="17">
        <f>D20/B1</f>
        <v>0.8653333333</v>
      </c>
      <c r="F20" s="16">
        <f t="shared" si="4"/>
        <v>13.1</v>
      </c>
      <c r="G20" s="17">
        <f>F20/B2</f>
        <v>0.8733333333</v>
      </c>
      <c r="H20" s="15">
        <f t="shared" si="5"/>
        <v>12.61</v>
      </c>
      <c r="I20" s="14">
        <f>H20/B3</f>
        <v>0.8406666667</v>
      </c>
      <c r="J20" s="2">
        <v>0.0</v>
      </c>
      <c r="K20" s="2">
        <v>0.0</v>
      </c>
      <c r="L20" s="2">
        <v>0.0</v>
      </c>
      <c r="M20" s="7"/>
      <c r="N20" s="7"/>
    </row>
    <row r="21">
      <c r="A21" s="12">
        <v>45312.0</v>
      </c>
      <c r="B21" s="6" t="s">
        <v>17</v>
      </c>
      <c r="C21" s="2">
        <v>0.62</v>
      </c>
      <c r="D21" s="16">
        <f t="shared" si="3"/>
        <v>12.36</v>
      </c>
      <c r="E21" s="17">
        <f>D21/B1</f>
        <v>0.824</v>
      </c>
      <c r="F21" s="16">
        <f t="shared" si="4"/>
        <v>13.1</v>
      </c>
      <c r="G21" s="17">
        <f>F21/B2</f>
        <v>0.8733333333</v>
      </c>
      <c r="H21" s="15">
        <f t="shared" si="5"/>
        <v>12.61</v>
      </c>
      <c r="I21" s="14">
        <f>H21/B3</f>
        <v>0.8406666667</v>
      </c>
      <c r="J21" s="2">
        <v>0.0</v>
      </c>
      <c r="K21" s="2">
        <v>0.0</v>
      </c>
      <c r="L21" s="2">
        <v>0.0</v>
      </c>
      <c r="M21" s="7"/>
      <c r="N21" s="7"/>
    </row>
    <row r="22">
      <c r="A22" s="12">
        <v>45312.0</v>
      </c>
      <c r="B22" s="6" t="s">
        <v>18</v>
      </c>
      <c r="C22" s="2">
        <v>0.56</v>
      </c>
      <c r="D22" s="16">
        <f t="shared" si="3"/>
        <v>12.36</v>
      </c>
      <c r="E22" s="17">
        <f>D22/B1</f>
        <v>0.824</v>
      </c>
      <c r="F22" s="16">
        <f t="shared" si="4"/>
        <v>12.54</v>
      </c>
      <c r="G22" s="17">
        <f>F22/B2</f>
        <v>0.836</v>
      </c>
      <c r="H22" s="15">
        <f t="shared" si="5"/>
        <v>12.61</v>
      </c>
      <c r="I22" s="14">
        <f>H22/B3</f>
        <v>0.8406666667</v>
      </c>
      <c r="J22" s="2">
        <v>0.0</v>
      </c>
      <c r="K22" s="2">
        <v>0.0</v>
      </c>
      <c r="L22" s="2">
        <v>0.0</v>
      </c>
      <c r="M22" s="7"/>
      <c r="N22" s="7"/>
    </row>
    <row r="23">
      <c r="A23" s="12">
        <v>45312.0</v>
      </c>
      <c r="B23" s="6" t="s">
        <v>19</v>
      </c>
      <c r="C23" s="2">
        <v>0.97</v>
      </c>
      <c r="D23" s="16">
        <f t="shared" si="3"/>
        <v>12.36</v>
      </c>
      <c r="E23" s="17">
        <f>D23/B1</f>
        <v>0.824</v>
      </c>
      <c r="F23" s="16">
        <f t="shared" si="4"/>
        <v>12.54</v>
      </c>
      <c r="G23" s="17">
        <f>F23/B2</f>
        <v>0.836</v>
      </c>
      <c r="H23" s="15">
        <f t="shared" si="5"/>
        <v>11.64</v>
      </c>
      <c r="I23" s="14">
        <f>H23/B3</f>
        <v>0.776</v>
      </c>
      <c r="J23" s="2">
        <v>0.0</v>
      </c>
      <c r="K23" s="2">
        <v>0.0</v>
      </c>
      <c r="L23" s="2">
        <v>0.0</v>
      </c>
      <c r="M23" s="7"/>
      <c r="N23" s="7"/>
    </row>
    <row r="24">
      <c r="A24" s="12">
        <v>45313.0</v>
      </c>
      <c r="B24" s="6" t="s">
        <v>17</v>
      </c>
      <c r="C24" s="2">
        <v>0.69</v>
      </c>
      <c r="D24" s="16">
        <f t="shared" si="3"/>
        <v>11.67</v>
      </c>
      <c r="E24" s="17">
        <f>D24/B1</f>
        <v>0.778</v>
      </c>
      <c r="F24" s="16">
        <f t="shared" si="4"/>
        <v>12.54</v>
      </c>
      <c r="G24" s="17">
        <f>F24/B2</f>
        <v>0.836</v>
      </c>
      <c r="H24" s="15">
        <f t="shared" si="5"/>
        <v>11.64</v>
      </c>
      <c r="I24" s="14">
        <f>H24/B3</f>
        <v>0.776</v>
      </c>
      <c r="J24" s="2">
        <v>0.0</v>
      </c>
      <c r="K24" s="2">
        <v>0.0</v>
      </c>
      <c r="L24" s="2">
        <v>0.0</v>
      </c>
      <c r="M24" s="7"/>
      <c r="N24" s="7"/>
    </row>
    <row r="25">
      <c r="A25" s="12">
        <v>45313.0</v>
      </c>
      <c r="B25" s="6" t="s">
        <v>18</v>
      </c>
      <c r="C25" s="2">
        <v>0.75</v>
      </c>
      <c r="D25" s="16">
        <f t="shared" si="3"/>
        <v>11.67</v>
      </c>
      <c r="E25" s="17">
        <f>D25/B1</f>
        <v>0.778</v>
      </c>
      <c r="F25" s="16">
        <f t="shared" si="4"/>
        <v>11.79</v>
      </c>
      <c r="G25" s="17">
        <f>F25/B2</f>
        <v>0.786</v>
      </c>
      <c r="H25" s="15">
        <f t="shared" si="5"/>
        <v>11.64</v>
      </c>
      <c r="I25" s="14">
        <f>H25/B3</f>
        <v>0.776</v>
      </c>
      <c r="J25" s="2">
        <v>0.0</v>
      </c>
      <c r="K25" s="2">
        <v>0.0</v>
      </c>
      <c r="L25" s="2">
        <v>0.0</v>
      </c>
      <c r="M25" s="7"/>
      <c r="N25" s="7"/>
    </row>
    <row r="26">
      <c r="A26" s="12">
        <v>45313.0</v>
      </c>
      <c r="B26" s="6" t="s">
        <v>19</v>
      </c>
      <c r="C26" s="2">
        <v>0.68</v>
      </c>
      <c r="D26" s="16">
        <f t="shared" si="3"/>
        <v>11.67</v>
      </c>
      <c r="E26" s="17">
        <f>D26/B1</f>
        <v>0.778</v>
      </c>
      <c r="F26" s="16">
        <f t="shared" si="4"/>
        <v>11.79</v>
      </c>
      <c r="G26" s="17">
        <f>F26/B2</f>
        <v>0.786</v>
      </c>
      <c r="H26" s="15">
        <f t="shared" si="5"/>
        <v>10.96</v>
      </c>
      <c r="I26" s="14">
        <f>H26/B3</f>
        <v>0.7306666667</v>
      </c>
      <c r="J26" s="2">
        <v>0.0</v>
      </c>
      <c r="K26" s="2">
        <v>0.0</v>
      </c>
      <c r="L26" s="2">
        <v>0.0</v>
      </c>
      <c r="M26" s="7"/>
      <c r="N26" s="7"/>
    </row>
    <row r="27">
      <c r="A27" s="12">
        <v>45314.0</v>
      </c>
      <c r="B27" s="6" t="s">
        <v>17</v>
      </c>
      <c r="C27" s="2">
        <v>0.6</v>
      </c>
      <c r="D27" s="16">
        <f t="shared" si="3"/>
        <v>11.07</v>
      </c>
      <c r="E27" s="17">
        <f>D27/B1</f>
        <v>0.738</v>
      </c>
      <c r="F27" s="16">
        <f t="shared" si="4"/>
        <v>11.79</v>
      </c>
      <c r="G27" s="17">
        <f>F27/B2</f>
        <v>0.786</v>
      </c>
      <c r="H27" s="15">
        <f t="shared" si="5"/>
        <v>10.96</v>
      </c>
      <c r="I27" s="14">
        <f>H27/B3</f>
        <v>0.7306666667</v>
      </c>
      <c r="J27" s="2">
        <v>0.0</v>
      </c>
      <c r="K27" s="2">
        <v>0.0</v>
      </c>
      <c r="L27" s="2">
        <v>0.0</v>
      </c>
      <c r="M27" s="7"/>
      <c r="N27" s="7"/>
    </row>
    <row r="28">
      <c r="A28" s="12">
        <v>45314.0</v>
      </c>
      <c r="B28" s="6" t="s">
        <v>18</v>
      </c>
      <c r="C28" s="2">
        <v>0.62</v>
      </c>
      <c r="D28" s="16">
        <f t="shared" si="3"/>
        <v>11.07</v>
      </c>
      <c r="E28" s="17">
        <f>D28/B1</f>
        <v>0.738</v>
      </c>
      <c r="F28" s="16">
        <f t="shared" si="4"/>
        <v>11.17</v>
      </c>
      <c r="G28" s="17">
        <f>F28/B2</f>
        <v>0.7446666667</v>
      </c>
      <c r="H28" s="15">
        <f t="shared" si="5"/>
        <v>10.96</v>
      </c>
      <c r="I28" s="14">
        <f>H28/B3</f>
        <v>0.7306666667</v>
      </c>
      <c r="J28" s="2">
        <v>0.0</v>
      </c>
      <c r="K28" s="2">
        <v>0.0</v>
      </c>
      <c r="L28" s="2">
        <v>0.0</v>
      </c>
      <c r="M28" s="7"/>
      <c r="N28" s="7"/>
    </row>
    <row r="29">
      <c r="A29" s="12">
        <v>45314.0</v>
      </c>
      <c r="B29" s="6" t="s">
        <v>19</v>
      </c>
      <c r="C29" s="2">
        <v>0.65</v>
      </c>
      <c r="D29" s="16">
        <f t="shared" si="3"/>
        <v>11.07</v>
      </c>
      <c r="E29" s="17">
        <f>D29/B1</f>
        <v>0.738</v>
      </c>
      <c r="F29" s="16">
        <f t="shared" si="4"/>
        <v>11.17</v>
      </c>
      <c r="G29" s="17">
        <f>F29/B2</f>
        <v>0.7446666667</v>
      </c>
      <c r="H29" s="15">
        <f t="shared" si="5"/>
        <v>10.31</v>
      </c>
      <c r="I29" s="14">
        <f>H29/B3</f>
        <v>0.6873333333</v>
      </c>
      <c r="J29" s="2">
        <v>0.0</v>
      </c>
      <c r="K29" s="2">
        <v>0.0</v>
      </c>
      <c r="L29" s="2">
        <v>0.0</v>
      </c>
      <c r="M29" s="7"/>
      <c r="N29" s="7"/>
    </row>
    <row r="30">
      <c r="A30" s="12">
        <v>45315.0</v>
      </c>
      <c r="B30" s="6" t="s">
        <v>17</v>
      </c>
      <c r="C30" s="2">
        <v>0.6</v>
      </c>
      <c r="D30" s="16">
        <f t="shared" si="3"/>
        <v>10.47</v>
      </c>
      <c r="E30" s="17">
        <f>D30/B1</f>
        <v>0.698</v>
      </c>
      <c r="F30" s="16">
        <f t="shared" si="4"/>
        <v>11.17</v>
      </c>
      <c r="G30" s="17">
        <f>F30/B2</f>
        <v>0.7446666667</v>
      </c>
      <c r="H30" s="15">
        <f t="shared" si="5"/>
        <v>10.31</v>
      </c>
      <c r="I30" s="14">
        <f>H30/B3</f>
        <v>0.6873333333</v>
      </c>
      <c r="J30" s="2">
        <v>0.0</v>
      </c>
      <c r="K30" s="2">
        <v>0.0</v>
      </c>
      <c r="L30" s="2">
        <v>0.0</v>
      </c>
      <c r="M30" s="7"/>
      <c r="N30" s="7"/>
    </row>
    <row r="31">
      <c r="A31" s="12">
        <v>45315.0</v>
      </c>
      <c r="B31" s="6" t="s">
        <v>18</v>
      </c>
      <c r="C31" s="2">
        <v>0.75</v>
      </c>
      <c r="D31" s="16">
        <f t="shared" si="3"/>
        <v>10.47</v>
      </c>
      <c r="E31" s="17">
        <f>D31/B1</f>
        <v>0.698</v>
      </c>
      <c r="F31" s="16">
        <f t="shared" si="4"/>
        <v>10.42</v>
      </c>
      <c r="G31" s="17">
        <f>F31/B2</f>
        <v>0.6946666667</v>
      </c>
      <c r="H31" s="15">
        <f t="shared" si="5"/>
        <v>10.31</v>
      </c>
      <c r="I31" s="14">
        <f>H31/B3</f>
        <v>0.6873333333</v>
      </c>
      <c r="J31" s="2">
        <v>0.0</v>
      </c>
      <c r="K31" s="2">
        <v>0.0</v>
      </c>
      <c r="L31" s="2">
        <v>0.0</v>
      </c>
      <c r="M31" s="7"/>
      <c r="N31" s="7"/>
    </row>
    <row r="32">
      <c r="A32" s="12">
        <v>45315.0</v>
      </c>
      <c r="B32" s="6" t="s">
        <v>19</v>
      </c>
      <c r="C32" s="2">
        <v>0.63</v>
      </c>
      <c r="D32" s="16">
        <f t="shared" si="3"/>
        <v>10.47</v>
      </c>
      <c r="E32" s="17">
        <f>D32/B1</f>
        <v>0.698</v>
      </c>
      <c r="F32" s="16">
        <f t="shared" si="4"/>
        <v>10.42</v>
      </c>
      <c r="G32" s="17">
        <f>F32/B2</f>
        <v>0.6946666667</v>
      </c>
      <c r="H32" s="15">
        <f t="shared" si="5"/>
        <v>9.68</v>
      </c>
      <c r="I32" s="14">
        <f>H32/B3</f>
        <v>0.6453333333</v>
      </c>
      <c r="J32" s="2">
        <v>0.0</v>
      </c>
      <c r="K32" s="2">
        <v>0.0</v>
      </c>
      <c r="L32" s="2">
        <v>0.0</v>
      </c>
      <c r="M32" s="7"/>
      <c r="N32" s="7"/>
    </row>
    <row r="33">
      <c r="A33" s="12">
        <v>45316.0</v>
      </c>
      <c r="B33" s="6" t="s">
        <v>17</v>
      </c>
      <c r="C33" s="2">
        <v>0.75</v>
      </c>
      <c r="D33" s="16">
        <f t="shared" si="3"/>
        <v>9.72</v>
      </c>
      <c r="E33" s="17">
        <f>D33/B1</f>
        <v>0.648</v>
      </c>
      <c r="F33" s="16">
        <f t="shared" si="4"/>
        <v>10.42</v>
      </c>
      <c r="G33" s="17">
        <f>F33/B2</f>
        <v>0.6946666667</v>
      </c>
      <c r="H33" s="15">
        <f t="shared" si="5"/>
        <v>9.68</v>
      </c>
      <c r="I33" s="14">
        <f>H33/B3</f>
        <v>0.6453333333</v>
      </c>
      <c r="J33" s="2">
        <v>0.0</v>
      </c>
      <c r="K33" s="2">
        <v>0.0</v>
      </c>
      <c r="L33" s="2">
        <v>0.0</v>
      </c>
      <c r="M33" s="7"/>
      <c r="N33" s="7"/>
    </row>
    <row r="34">
      <c r="A34" s="12">
        <v>45316.0</v>
      </c>
      <c r="B34" s="6" t="s">
        <v>18</v>
      </c>
      <c r="C34" s="2">
        <v>0.0</v>
      </c>
      <c r="D34" s="16">
        <f t="shared" si="3"/>
        <v>9.72</v>
      </c>
      <c r="E34" s="17">
        <f>D34/B1</f>
        <v>0.648</v>
      </c>
      <c r="F34" s="16">
        <f t="shared" si="4"/>
        <v>10.42</v>
      </c>
      <c r="G34" s="17">
        <f>F34/B2</f>
        <v>0.6946666667</v>
      </c>
      <c r="H34" s="15">
        <f t="shared" si="5"/>
        <v>9.68</v>
      </c>
      <c r="I34" s="14">
        <f>H34/B3</f>
        <v>0.6453333333</v>
      </c>
      <c r="J34" s="2">
        <v>0.0</v>
      </c>
      <c r="K34" s="2">
        <v>0.0</v>
      </c>
      <c r="L34" s="2">
        <v>0.0</v>
      </c>
      <c r="M34" s="7"/>
      <c r="N34" s="7"/>
    </row>
    <row r="35">
      <c r="A35" s="12">
        <v>45316.0</v>
      </c>
      <c r="B35" s="6" t="s">
        <v>19</v>
      </c>
      <c r="C35" s="2">
        <v>0.65</v>
      </c>
      <c r="D35" s="16">
        <f t="shared" si="3"/>
        <v>9.72</v>
      </c>
      <c r="E35" s="17">
        <f>D35/B1</f>
        <v>0.648</v>
      </c>
      <c r="F35" s="16">
        <f t="shared" si="4"/>
        <v>10.42</v>
      </c>
      <c r="G35" s="17">
        <f>F35/B2</f>
        <v>0.6946666667</v>
      </c>
      <c r="H35" s="15">
        <f t="shared" si="5"/>
        <v>9.03</v>
      </c>
      <c r="I35" s="14">
        <f>H35/B3</f>
        <v>0.602</v>
      </c>
      <c r="J35" s="2">
        <v>0.0</v>
      </c>
      <c r="K35" s="2">
        <v>0.0</v>
      </c>
      <c r="L35" s="2">
        <v>0.0</v>
      </c>
      <c r="M35" s="7"/>
      <c r="N35" s="7"/>
    </row>
    <row r="36">
      <c r="A36" s="12">
        <v>45317.0</v>
      </c>
      <c r="B36" s="6" t="s">
        <v>17</v>
      </c>
      <c r="C36" s="2">
        <v>0.58</v>
      </c>
      <c r="D36" s="16">
        <f t="shared" si="3"/>
        <v>9.14</v>
      </c>
      <c r="E36" s="17">
        <f>D36/B1</f>
        <v>0.6093333333</v>
      </c>
      <c r="F36" s="16">
        <f t="shared" si="4"/>
        <v>10.42</v>
      </c>
      <c r="G36" s="17">
        <f>F36/B2</f>
        <v>0.6946666667</v>
      </c>
      <c r="H36" s="15">
        <f t="shared" si="5"/>
        <v>9.03</v>
      </c>
      <c r="I36" s="14">
        <f>H36/B3</f>
        <v>0.602</v>
      </c>
      <c r="J36" s="2">
        <v>0.0</v>
      </c>
      <c r="K36" s="2">
        <v>0.0</v>
      </c>
      <c r="L36" s="2">
        <v>0.0</v>
      </c>
      <c r="M36" s="7"/>
      <c r="N36" s="7"/>
    </row>
    <row r="37">
      <c r="A37" s="12">
        <v>45317.0</v>
      </c>
      <c r="B37" s="6" t="s">
        <v>18</v>
      </c>
      <c r="C37" s="2">
        <v>0.53</v>
      </c>
      <c r="D37" s="16">
        <f t="shared" si="3"/>
        <v>9.14</v>
      </c>
      <c r="E37" s="17">
        <f>D37/B1</f>
        <v>0.6093333333</v>
      </c>
      <c r="F37" s="16">
        <f t="shared" si="4"/>
        <v>9.89</v>
      </c>
      <c r="G37" s="17">
        <f>F37/B2</f>
        <v>0.6593333333</v>
      </c>
      <c r="H37" s="15">
        <f t="shared" si="5"/>
        <v>9.03</v>
      </c>
      <c r="I37" s="14">
        <f>H37/B3</f>
        <v>0.602</v>
      </c>
      <c r="J37" s="2">
        <v>0.0</v>
      </c>
      <c r="K37" s="2">
        <v>0.0</v>
      </c>
      <c r="L37" s="2">
        <v>0.0</v>
      </c>
      <c r="M37" s="7"/>
      <c r="N37" s="7"/>
    </row>
    <row r="38">
      <c r="A38" s="12">
        <v>45317.0</v>
      </c>
      <c r="B38" s="6" t="s">
        <v>19</v>
      </c>
      <c r="C38" s="2">
        <v>0.59</v>
      </c>
      <c r="D38" s="16">
        <f t="shared" si="3"/>
        <v>9.14</v>
      </c>
      <c r="E38" s="17">
        <f>D38/B1</f>
        <v>0.6093333333</v>
      </c>
      <c r="F38" s="16">
        <f t="shared" si="4"/>
        <v>9.89</v>
      </c>
      <c r="G38" s="17">
        <f>F38/B2</f>
        <v>0.6593333333</v>
      </c>
      <c r="H38" s="15">
        <f t="shared" si="5"/>
        <v>8.44</v>
      </c>
      <c r="I38" s="14">
        <f>H38/B3</f>
        <v>0.5626666667</v>
      </c>
      <c r="J38" s="2">
        <v>0.0</v>
      </c>
      <c r="K38" s="2">
        <v>0.0</v>
      </c>
      <c r="L38" s="2">
        <v>0.0</v>
      </c>
      <c r="M38" s="7"/>
      <c r="N38" s="7"/>
    </row>
    <row r="39">
      <c r="A39" s="12">
        <v>45318.0</v>
      </c>
      <c r="B39" s="6" t="s">
        <v>17</v>
      </c>
      <c r="C39" s="2">
        <v>0.67</v>
      </c>
      <c r="D39" s="16">
        <f t="shared" si="3"/>
        <v>8.47</v>
      </c>
      <c r="E39" s="17">
        <f>D39/B1</f>
        <v>0.5646666667</v>
      </c>
      <c r="F39" s="16">
        <f t="shared" si="4"/>
        <v>9.89</v>
      </c>
      <c r="G39" s="17">
        <f>F39/B2</f>
        <v>0.6593333333</v>
      </c>
      <c r="H39" s="15">
        <f t="shared" si="5"/>
        <v>8.44</v>
      </c>
      <c r="I39" s="14">
        <f>H39/B3</f>
        <v>0.5626666667</v>
      </c>
      <c r="J39" s="2">
        <v>0.0</v>
      </c>
      <c r="K39" s="2">
        <v>0.0</v>
      </c>
      <c r="L39" s="2">
        <v>0.0</v>
      </c>
      <c r="M39" s="7"/>
      <c r="N39" s="7"/>
    </row>
    <row r="40">
      <c r="A40" s="12">
        <v>45318.0</v>
      </c>
      <c r="B40" s="6" t="s">
        <v>18</v>
      </c>
      <c r="C40" s="2">
        <v>0.77</v>
      </c>
      <c r="D40" s="16">
        <f t="shared" si="3"/>
        <v>8.47</v>
      </c>
      <c r="E40" s="17">
        <f>D40/B1</f>
        <v>0.5646666667</v>
      </c>
      <c r="F40" s="16">
        <f t="shared" si="4"/>
        <v>9.12</v>
      </c>
      <c r="G40" s="17">
        <f>F40/B2</f>
        <v>0.608</v>
      </c>
      <c r="H40" s="15">
        <f t="shared" si="5"/>
        <v>8.44</v>
      </c>
      <c r="I40" s="14">
        <f>H40/B3</f>
        <v>0.5626666667</v>
      </c>
      <c r="J40" s="2">
        <v>0.0</v>
      </c>
      <c r="K40" s="2">
        <v>0.0</v>
      </c>
      <c r="L40" s="2">
        <v>0.0</v>
      </c>
      <c r="M40" s="7"/>
      <c r="N40" s="7"/>
    </row>
    <row r="41">
      <c r="A41" s="12">
        <v>45318.0</v>
      </c>
      <c r="B41" s="6" t="s">
        <v>19</v>
      </c>
      <c r="C41" s="2">
        <v>0.65</v>
      </c>
      <c r="D41" s="16">
        <f t="shared" si="3"/>
        <v>8.47</v>
      </c>
      <c r="E41" s="17">
        <f>D41/B1</f>
        <v>0.5646666667</v>
      </c>
      <c r="F41" s="16">
        <f t="shared" si="4"/>
        <v>9.12</v>
      </c>
      <c r="G41" s="17">
        <f>F41/B2</f>
        <v>0.608</v>
      </c>
      <c r="H41" s="15">
        <f t="shared" si="5"/>
        <v>7.79</v>
      </c>
      <c r="I41" s="14">
        <f>H41/B3</f>
        <v>0.5193333333</v>
      </c>
      <c r="J41" s="2">
        <v>0.0</v>
      </c>
      <c r="K41" s="2">
        <v>0.0</v>
      </c>
      <c r="L41" s="2">
        <v>0.0</v>
      </c>
      <c r="M41" s="7"/>
      <c r="N41" s="7"/>
    </row>
    <row r="42">
      <c r="A42" s="12">
        <v>45319.0</v>
      </c>
      <c r="B42" s="6" t="s">
        <v>17</v>
      </c>
      <c r="C42" s="2">
        <v>0.6</v>
      </c>
      <c r="D42" s="16">
        <f t="shared" si="3"/>
        <v>7.87</v>
      </c>
      <c r="E42" s="17">
        <f>D42/B1</f>
        <v>0.5246666667</v>
      </c>
      <c r="F42" s="16">
        <f t="shared" si="4"/>
        <v>9.12</v>
      </c>
      <c r="G42" s="17">
        <f>F42/B2</f>
        <v>0.608</v>
      </c>
      <c r="H42" s="15">
        <f t="shared" si="5"/>
        <v>7.79</v>
      </c>
      <c r="I42" s="14">
        <f>H42/B3</f>
        <v>0.5193333333</v>
      </c>
      <c r="J42" s="2">
        <v>0.0</v>
      </c>
      <c r="K42" s="2">
        <v>0.0</v>
      </c>
      <c r="L42" s="2">
        <v>0.0</v>
      </c>
      <c r="M42" s="7"/>
      <c r="N42" s="7"/>
    </row>
    <row r="43">
      <c r="A43" s="12">
        <v>45319.0</v>
      </c>
      <c r="B43" s="6" t="s">
        <v>18</v>
      </c>
      <c r="C43" s="2">
        <v>0.0</v>
      </c>
      <c r="D43" s="16">
        <f t="shared" si="3"/>
        <v>7.87</v>
      </c>
      <c r="E43" s="17">
        <f>D43/B1</f>
        <v>0.5246666667</v>
      </c>
      <c r="F43" s="16">
        <f t="shared" si="4"/>
        <v>9.12</v>
      </c>
      <c r="G43" s="17">
        <f>F43/B2</f>
        <v>0.608</v>
      </c>
      <c r="H43" s="15">
        <f t="shared" si="5"/>
        <v>7.79</v>
      </c>
      <c r="I43" s="14">
        <f>H43/B3</f>
        <v>0.5193333333</v>
      </c>
      <c r="J43" s="2">
        <v>0.0</v>
      </c>
      <c r="K43" s="2">
        <v>0.0</v>
      </c>
      <c r="L43" s="2">
        <v>0.0</v>
      </c>
      <c r="M43" s="7"/>
      <c r="N43" s="7"/>
    </row>
    <row r="44">
      <c r="A44" s="12">
        <v>45319.0</v>
      </c>
      <c r="B44" s="6" t="s">
        <v>19</v>
      </c>
      <c r="C44" s="2">
        <v>0.66</v>
      </c>
      <c r="D44" s="16">
        <f t="shared" si="3"/>
        <v>7.87</v>
      </c>
      <c r="E44" s="17">
        <f>D44/B1</f>
        <v>0.5246666667</v>
      </c>
      <c r="F44" s="16">
        <f t="shared" si="4"/>
        <v>9.12</v>
      </c>
      <c r="G44" s="17">
        <f>F44/B2</f>
        <v>0.608</v>
      </c>
      <c r="H44" s="15">
        <f t="shared" si="5"/>
        <v>7.13</v>
      </c>
      <c r="I44" s="14">
        <f>H44/B3</f>
        <v>0.4753333333</v>
      </c>
      <c r="J44" s="2">
        <v>0.0</v>
      </c>
      <c r="K44" s="2">
        <v>0.0</v>
      </c>
      <c r="L44" s="2">
        <v>0.0</v>
      </c>
      <c r="M44" s="7"/>
      <c r="N44" s="7"/>
    </row>
    <row r="45">
      <c r="A45" s="12">
        <v>45320.0</v>
      </c>
      <c r="B45" s="6" t="s">
        <v>17</v>
      </c>
      <c r="C45" s="2">
        <v>0.57</v>
      </c>
      <c r="D45" s="16">
        <f t="shared" si="3"/>
        <v>7.3</v>
      </c>
      <c r="E45" s="17">
        <f>D45/B1</f>
        <v>0.4866666667</v>
      </c>
      <c r="F45" s="16">
        <f t="shared" si="4"/>
        <v>9.12</v>
      </c>
      <c r="G45" s="17">
        <f>F45/B2</f>
        <v>0.608</v>
      </c>
      <c r="H45" s="15">
        <f t="shared" si="5"/>
        <v>7.13</v>
      </c>
      <c r="I45" s="14">
        <f>H45/B3</f>
        <v>0.4753333333</v>
      </c>
      <c r="J45" s="2">
        <v>0.0</v>
      </c>
      <c r="K45" s="2">
        <v>0.0</v>
      </c>
      <c r="L45" s="2">
        <v>0.0</v>
      </c>
      <c r="M45" s="7"/>
      <c r="N45" s="7"/>
    </row>
    <row r="46">
      <c r="A46" s="12">
        <v>45320.0</v>
      </c>
      <c r="B46" s="6" t="s">
        <v>18</v>
      </c>
      <c r="C46" s="2">
        <v>0.56</v>
      </c>
      <c r="D46" s="16">
        <f t="shared" si="3"/>
        <v>7.3</v>
      </c>
      <c r="E46" s="17">
        <f>D46/B1</f>
        <v>0.4866666667</v>
      </c>
      <c r="F46" s="16">
        <f t="shared" si="4"/>
        <v>8.56</v>
      </c>
      <c r="G46" s="17">
        <f>F46/B2</f>
        <v>0.5706666667</v>
      </c>
      <c r="H46" s="15">
        <f t="shared" si="5"/>
        <v>7.13</v>
      </c>
      <c r="I46" s="14">
        <f>H46/B3</f>
        <v>0.4753333333</v>
      </c>
      <c r="J46" s="2">
        <v>0.0</v>
      </c>
      <c r="K46" s="2">
        <v>0.0</v>
      </c>
      <c r="L46" s="2">
        <v>0.0</v>
      </c>
      <c r="M46" s="7"/>
      <c r="N46" s="7"/>
    </row>
    <row r="47">
      <c r="A47" s="12">
        <v>45320.0</v>
      </c>
      <c r="B47" s="6" t="s">
        <v>19</v>
      </c>
      <c r="C47" s="2">
        <v>0.0</v>
      </c>
      <c r="D47" s="16">
        <f t="shared" si="3"/>
        <v>7.3</v>
      </c>
      <c r="E47" s="17">
        <f>D47/B1</f>
        <v>0.4866666667</v>
      </c>
      <c r="F47" s="16">
        <f t="shared" si="4"/>
        <v>8.56</v>
      </c>
      <c r="G47" s="17">
        <f>F47/B2</f>
        <v>0.5706666667</v>
      </c>
      <c r="H47" s="15">
        <f t="shared" si="5"/>
        <v>7.13</v>
      </c>
      <c r="I47" s="14">
        <f>H47/B3</f>
        <v>0.4753333333</v>
      </c>
      <c r="J47" s="2">
        <v>0.0</v>
      </c>
      <c r="K47" s="2">
        <v>0.0</v>
      </c>
      <c r="L47" s="2">
        <v>0.0</v>
      </c>
      <c r="M47" s="7"/>
      <c r="N47" s="7"/>
    </row>
    <row r="48">
      <c r="A48" s="12">
        <v>45321.0</v>
      </c>
      <c r="B48" s="6" t="s">
        <v>17</v>
      </c>
      <c r="C48" s="2">
        <v>0.57</v>
      </c>
      <c r="D48" s="16">
        <f t="shared" si="3"/>
        <v>6.73</v>
      </c>
      <c r="E48" s="17">
        <f>D48/B1</f>
        <v>0.4486666667</v>
      </c>
      <c r="F48" s="16">
        <f t="shared" si="4"/>
        <v>8.56</v>
      </c>
      <c r="G48" s="17">
        <f>F48/B2</f>
        <v>0.5706666667</v>
      </c>
      <c r="H48" s="15">
        <f t="shared" si="5"/>
        <v>7.13</v>
      </c>
      <c r="I48" s="14">
        <f>H48/B3</f>
        <v>0.4753333333</v>
      </c>
      <c r="J48" s="2">
        <v>0.0</v>
      </c>
      <c r="K48" s="2">
        <v>0.0</v>
      </c>
      <c r="L48" s="2">
        <v>0.0</v>
      </c>
      <c r="M48" s="7"/>
      <c r="N48" s="7"/>
    </row>
    <row r="49">
      <c r="A49" s="12">
        <v>45321.0</v>
      </c>
      <c r="B49" s="6" t="s">
        <v>18</v>
      </c>
      <c r="C49" s="2">
        <v>0.6</v>
      </c>
      <c r="D49" s="16">
        <f t="shared" si="3"/>
        <v>6.73</v>
      </c>
      <c r="E49" s="17">
        <f>D49/B1</f>
        <v>0.4486666667</v>
      </c>
      <c r="F49" s="16">
        <f t="shared" si="4"/>
        <v>7.96</v>
      </c>
      <c r="G49" s="17">
        <f>F49/B2</f>
        <v>0.5306666667</v>
      </c>
      <c r="H49" s="15">
        <f t="shared" si="5"/>
        <v>7.13</v>
      </c>
      <c r="I49" s="14">
        <f>H49/B3</f>
        <v>0.4753333333</v>
      </c>
      <c r="J49" s="2">
        <v>0.0</v>
      </c>
      <c r="K49" s="2">
        <v>0.0</v>
      </c>
      <c r="L49" s="2">
        <v>0.0</v>
      </c>
      <c r="M49" s="7"/>
      <c r="N49" s="7"/>
    </row>
    <row r="50">
      <c r="A50" s="12">
        <v>45321.0</v>
      </c>
      <c r="B50" s="6" t="s">
        <v>19</v>
      </c>
      <c r="C50" s="2">
        <v>0.58</v>
      </c>
      <c r="D50" s="16">
        <f t="shared" si="3"/>
        <v>6.73</v>
      </c>
      <c r="E50" s="17">
        <f>D50/B1</f>
        <v>0.4486666667</v>
      </c>
      <c r="F50" s="16">
        <f t="shared" si="4"/>
        <v>7.96</v>
      </c>
      <c r="G50" s="17">
        <f>F50/B2</f>
        <v>0.5306666667</v>
      </c>
      <c r="H50" s="15">
        <f t="shared" si="5"/>
        <v>6.55</v>
      </c>
      <c r="I50" s="14">
        <f>H50/B3</f>
        <v>0.4366666667</v>
      </c>
      <c r="J50" s="2">
        <v>0.0</v>
      </c>
      <c r="K50" s="2">
        <v>0.0</v>
      </c>
      <c r="L50" s="2">
        <v>0.0</v>
      </c>
      <c r="M50" s="7"/>
      <c r="N50" s="7"/>
    </row>
    <row r="51">
      <c r="A51" s="12">
        <v>45322.0</v>
      </c>
      <c r="B51" s="6" t="s">
        <v>17</v>
      </c>
      <c r="C51" s="2">
        <v>1.22</v>
      </c>
      <c r="D51" s="16">
        <f t="shared" si="3"/>
        <v>5.51</v>
      </c>
      <c r="E51" s="17">
        <f>D51/B1</f>
        <v>0.3673333333</v>
      </c>
      <c r="F51" s="16">
        <f t="shared" si="4"/>
        <v>7.96</v>
      </c>
      <c r="G51" s="17">
        <f>F51/B2</f>
        <v>0.5306666667</v>
      </c>
      <c r="H51" s="15">
        <f t="shared" si="5"/>
        <v>6.55</v>
      </c>
      <c r="I51" s="14">
        <f>H51/B3</f>
        <v>0.4366666667</v>
      </c>
      <c r="J51" s="2">
        <v>0.0</v>
      </c>
      <c r="K51" s="2">
        <v>0.0</v>
      </c>
      <c r="L51" s="2">
        <v>0.0</v>
      </c>
      <c r="M51" s="7"/>
      <c r="N51" s="7"/>
    </row>
    <row r="52">
      <c r="A52" s="12">
        <v>45322.0</v>
      </c>
      <c r="B52" s="6" t="s">
        <v>18</v>
      </c>
      <c r="C52" s="2">
        <v>0.56</v>
      </c>
      <c r="D52" s="16">
        <f t="shared" si="3"/>
        <v>5.51</v>
      </c>
      <c r="E52" s="17">
        <f>D52/B1</f>
        <v>0.3673333333</v>
      </c>
      <c r="F52" s="16">
        <f t="shared" si="4"/>
        <v>7.4</v>
      </c>
      <c r="G52" s="17">
        <f>F52/B2</f>
        <v>0.4933333333</v>
      </c>
      <c r="H52" s="15">
        <f t="shared" si="5"/>
        <v>6.55</v>
      </c>
      <c r="I52" s="14">
        <f>H52/B3</f>
        <v>0.4366666667</v>
      </c>
      <c r="J52" s="2">
        <v>0.0</v>
      </c>
      <c r="K52" s="2">
        <v>0.0</v>
      </c>
      <c r="L52" s="2">
        <v>0.0</v>
      </c>
      <c r="M52" s="7"/>
      <c r="N52" s="7"/>
    </row>
    <row r="53">
      <c r="A53" s="12">
        <v>45322.0</v>
      </c>
      <c r="B53" s="6" t="s">
        <v>19</v>
      </c>
      <c r="C53" s="2">
        <v>0.62</v>
      </c>
      <c r="D53" s="16">
        <f t="shared" si="3"/>
        <v>5.51</v>
      </c>
      <c r="E53" s="17">
        <f>D53/B1</f>
        <v>0.3673333333</v>
      </c>
      <c r="F53" s="16">
        <f t="shared" si="4"/>
        <v>7.4</v>
      </c>
      <c r="G53" s="17">
        <f>F53/B2</f>
        <v>0.4933333333</v>
      </c>
      <c r="H53" s="15">
        <f t="shared" si="5"/>
        <v>5.93</v>
      </c>
      <c r="I53" s="14">
        <f>H53/B3</f>
        <v>0.3953333333</v>
      </c>
      <c r="J53" s="2">
        <v>0.0</v>
      </c>
      <c r="K53" s="2">
        <v>0.0</v>
      </c>
      <c r="L53" s="2">
        <v>0.0</v>
      </c>
      <c r="M53" s="7"/>
      <c r="N53" s="7"/>
    </row>
    <row r="54">
      <c r="A54" s="12">
        <v>45323.0</v>
      </c>
      <c r="B54" s="6" t="s">
        <v>17</v>
      </c>
      <c r="C54" s="2">
        <v>0.58</v>
      </c>
      <c r="D54" s="16">
        <f t="shared" si="3"/>
        <v>4.93</v>
      </c>
      <c r="E54" s="17">
        <f>D54/B1</f>
        <v>0.3286666667</v>
      </c>
      <c r="F54" s="16">
        <f t="shared" si="4"/>
        <v>7.4</v>
      </c>
      <c r="G54" s="17">
        <f>F54/B2</f>
        <v>0.4933333333</v>
      </c>
      <c r="H54" s="15">
        <f t="shared" si="5"/>
        <v>5.93</v>
      </c>
      <c r="I54" s="14">
        <f>H54/B3</f>
        <v>0.3953333333</v>
      </c>
      <c r="J54" s="2">
        <v>0.0</v>
      </c>
      <c r="K54" s="2">
        <v>0.0</v>
      </c>
      <c r="L54" s="2">
        <v>0.0</v>
      </c>
      <c r="M54" s="7"/>
      <c r="N54" s="7"/>
    </row>
    <row r="55">
      <c r="A55" s="12">
        <v>45323.0</v>
      </c>
      <c r="B55" s="6" t="s">
        <v>18</v>
      </c>
      <c r="C55" s="2">
        <v>0.6</v>
      </c>
      <c r="D55" s="16">
        <f t="shared" si="3"/>
        <v>4.93</v>
      </c>
      <c r="E55" s="17">
        <f>D55/B1</f>
        <v>0.3286666667</v>
      </c>
      <c r="F55" s="16">
        <f t="shared" si="4"/>
        <v>6.8</v>
      </c>
      <c r="G55" s="17">
        <f>F55/B2</f>
        <v>0.4533333333</v>
      </c>
      <c r="H55" s="15">
        <f t="shared" si="5"/>
        <v>5.93</v>
      </c>
      <c r="I55" s="14">
        <f>H55/B3</f>
        <v>0.3953333333</v>
      </c>
      <c r="J55" s="2">
        <v>0.0</v>
      </c>
      <c r="K55" s="2">
        <v>0.0</v>
      </c>
      <c r="L55" s="2">
        <v>0.0</v>
      </c>
      <c r="M55" s="7"/>
      <c r="N55" s="7"/>
    </row>
    <row r="56">
      <c r="A56" s="12">
        <v>45323.0</v>
      </c>
      <c r="B56" s="6" t="s">
        <v>19</v>
      </c>
      <c r="C56" s="2">
        <v>0.59</v>
      </c>
      <c r="D56" s="16">
        <f t="shared" si="3"/>
        <v>4.93</v>
      </c>
      <c r="E56" s="17">
        <f>D56/B1</f>
        <v>0.3286666667</v>
      </c>
      <c r="F56" s="16">
        <f t="shared" si="4"/>
        <v>6.8</v>
      </c>
      <c r="G56" s="17">
        <f>F56/B2</f>
        <v>0.4533333333</v>
      </c>
      <c r="H56" s="15">
        <f t="shared" si="5"/>
        <v>5.34</v>
      </c>
      <c r="I56" s="14">
        <f>H56/B3</f>
        <v>0.356</v>
      </c>
      <c r="J56" s="2">
        <v>0.0</v>
      </c>
      <c r="K56" s="2">
        <v>0.0</v>
      </c>
      <c r="L56" s="2">
        <v>0.0</v>
      </c>
      <c r="M56" s="7"/>
      <c r="N56" s="7"/>
    </row>
    <row r="57">
      <c r="A57" s="12">
        <v>45324.0</v>
      </c>
      <c r="B57" s="6" t="s">
        <v>17</v>
      </c>
      <c r="C57" s="2">
        <v>0.56</v>
      </c>
      <c r="D57" s="16">
        <f t="shared" si="3"/>
        <v>4.37</v>
      </c>
      <c r="E57" s="17">
        <f>D57/B1</f>
        <v>0.2913333333</v>
      </c>
      <c r="F57" s="16">
        <f t="shared" si="4"/>
        <v>6.8</v>
      </c>
      <c r="G57" s="17">
        <f>F57/B2</f>
        <v>0.4533333333</v>
      </c>
      <c r="H57" s="15">
        <f t="shared" si="5"/>
        <v>5.34</v>
      </c>
      <c r="I57" s="14">
        <f>H57/B3</f>
        <v>0.356</v>
      </c>
      <c r="J57" s="2">
        <v>0.0</v>
      </c>
      <c r="K57" s="2">
        <v>0.0</v>
      </c>
      <c r="L57" s="2">
        <v>0.0</v>
      </c>
      <c r="M57" s="7"/>
      <c r="N57" s="7"/>
    </row>
    <row r="58">
      <c r="A58" s="12">
        <v>45324.0</v>
      </c>
      <c r="B58" s="6" t="s">
        <v>18</v>
      </c>
      <c r="C58" s="2">
        <v>0.6</v>
      </c>
      <c r="D58" s="16">
        <f t="shared" si="3"/>
        <v>4.37</v>
      </c>
      <c r="E58" s="17">
        <f>D58/B1</f>
        <v>0.2913333333</v>
      </c>
      <c r="F58" s="16">
        <f t="shared" si="4"/>
        <v>6.2</v>
      </c>
      <c r="G58" s="17">
        <f>F58/B2</f>
        <v>0.4133333333</v>
      </c>
      <c r="H58" s="15">
        <f t="shared" si="5"/>
        <v>5.34</v>
      </c>
      <c r="I58" s="14">
        <f>H58/B3</f>
        <v>0.356</v>
      </c>
      <c r="J58" s="2">
        <v>0.0</v>
      </c>
      <c r="K58" s="2">
        <v>0.0</v>
      </c>
      <c r="L58" s="2">
        <v>0.0</v>
      </c>
      <c r="M58" s="7"/>
      <c r="N58" s="7"/>
    </row>
    <row r="59">
      <c r="A59" s="12">
        <v>45324.0</v>
      </c>
      <c r="B59" s="6" t="s">
        <v>19</v>
      </c>
      <c r="C59" s="2">
        <v>0.61</v>
      </c>
      <c r="D59" s="16">
        <f t="shared" si="3"/>
        <v>4.37</v>
      </c>
      <c r="E59" s="17">
        <f>D59/B1</f>
        <v>0.2913333333</v>
      </c>
      <c r="F59" s="16">
        <f t="shared" si="4"/>
        <v>6.2</v>
      </c>
      <c r="G59" s="17">
        <f>F59/B2</f>
        <v>0.4133333333</v>
      </c>
      <c r="H59" s="15">
        <f t="shared" si="5"/>
        <v>4.73</v>
      </c>
      <c r="I59" s="14">
        <f>H59/B3</f>
        <v>0.3153333333</v>
      </c>
      <c r="J59" s="2">
        <v>0.0</v>
      </c>
      <c r="K59" s="2">
        <v>0.0</v>
      </c>
      <c r="L59" s="2">
        <v>0.0</v>
      </c>
    </row>
    <row r="60">
      <c r="A60" s="12">
        <v>45325.0</v>
      </c>
      <c r="B60" s="6" t="s">
        <v>17</v>
      </c>
      <c r="C60" s="2">
        <v>0.62</v>
      </c>
      <c r="D60" s="16">
        <f t="shared" si="3"/>
        <v>3.75</v>
      </c>
      <c r="E60" s="17">
        <f>D60/B1</f>
        <v>0.25</v>
      </c>
      <c r="F60" s="16">
        <f t="shared" si="4"/>
        <v>6.2</v>
      </c>
      <c r="G60" s="17">
        <f>F60/B2</f>
        <v>0.4133333333</v>
      </c>
      <c r="H60" s="15">
        <f t="shared" si="5"/>
        <v>4.73</v>
      </c>
      <c r="I60" s="14">
        <f>H60/B3</f>
        <v>0.3153333333</v>
      </c>
      <c r="J60" s="2">
        <v>0.0</v>
      </c>
      <c r="K60" s="2">
        <v>0.0</v>
      </c>
      <c r="L60" s="2">
        <v>0.0</v>
      </c>
    </row>
    <row r="61">
      <c r="A61" s="12">
        <v>45325.0</v>
      </c>
      <c r="B61" s="6" t="s">
        <v>18</v>
      </c>
      <c r="C61" s="2">
        <v>0.59</v>
      </c>
      <c r="D61" s="16">
        <f t="shared" si="3"/>
        <v>3.75</v>
      </c>
      <c r="E61" s="17">
        <f>D61/B1</f>
        <v>0.25</v>
      </c>
      <c r="F61" s="16">
        <f t="shared" si="4"/>
        <v>5.61</v>
      </c>
      <c r="G61" s="17">
        <f>F61/B2</f>
        <v>0.374</v>
      </c>
      <c r="H61" s="15">
        <f t="shared" si="5"/>
        <v>4.73</v>
      </c>
      <c r="I61" s="14">
        <f>H61/B3</f>
        <v>0.3153333333</v>
      </c>
      <c r="J61" s="2">
        <v>0.0</v>
      </c>
      <c r="K61" s="2">
        <v>0.0</v>
      </c>
      <c r="L61" s="2">
        <v>0.0</v>
      </c>
    </row>
    <row r="62">
      <c r="A62" s="12">
        <v>45325.0</v>
      </c>
      <c r="B62" s="6" t="s">
        <v>19</v>
      </c>
      <c r="C62" s="2">
        <v>0.49</v>
      </c>
      <c r="D62" s="16">
        <f t="shared" si="3"/>
        <v>3.75</v>
      </c>
      <c r="E62" s="17">
        <f>D62/B1</f>
        <v>0.25</v>
      </c>
      <c r="F62" s="16">
        <f t="shared" si="4"/>
        <v>5.61</v>
      </c>
      <c r="G62" s="17">
        <f>F62/B2</f>
        <v>0.374</v>
      </c>
      <c r="H62" s="15">
        <f t="shared" si="5"/>
        <v>4.24</v>
      </c>
      <c r="I62" s="14">
        <f>H62/B3</f>
        <v>0.2826666667</v>
      </c>
      <c r="J62" s="2">
        <v>0.0</v>
      </c>
      <c r="K62" s="2">
        <v>0.0</v>
      </c>
      <c r="L62" s="2">
        <v>0.0</v>
      </c>
    </row>
    <row r="63">
      <c r="A63" s="12">
        <v>45326.0</v>
      </c>
      <c r="B63" s="6" t="s">
        <v>17</v>
      </c>
      <c r="C63" s="2">
        <v>0.61</v>
      </c>
      <c r="D63" s="16">
        <f t="shared" si="3"/>
        <v>3.14</v>
      </c>
      <c r="E63" s="17">
        <f>D63/B1</f>
        <v>0.2093333333</v>
      </c>
      <c r="F63" s="16">
        <f t="shared" si="4"/>
        <v>5.61</v>
      </c>
      <c r="G63" s="17">
        <f>F63/B2</f>
        <v>0.374</v>
      </c>
      <c r="H63" s="15">
        <f t="shared" si="5"/>
        <v>4.24</v>
      </c>
      <c r="I63" s="14">
        <f>H63/B3</f>
        <v>0.2826666667</v>
      </c>
      <c r="J63" s="2">
        <v>0.0</v>
      </c>
      <c r="K63" s="2">
        <v>0.0</v>
      </c>
      <c r="L63" s="2">
        <v>0.0</v>
      </c>
    </row>
    <row r="64">
      <c r="A64" s="12">
        <v>45326.0</v>
      </c>
      <c r="B64" s="6" t="s">
        <v>18</v>
      </c>
      <c r="C64" s="2">
        <v>0.6</v>
      </c>
      <c r="D64" s="16">
        <f t="shared" si="3"/>
        <v>3.14</v>
      </c>
      <c r="E64" s="17">
        <f>D64/B1</f>
        <v>0.2093333333</v>
      </c>
      <c r="F64" s="16">
        <f t="shared" si="4"/>
        <v>5.01</v>
      </c>
      <c r="G64" s="17">
        <f>F64/B2</f>
        <v>0.334</v>
      </c>
      <c r="H64" s="15">
        <f t="shared" si="5"/>
        <v>4.24</v>
      </c>
      <c r="I64" s="14">
        <f>H64/B3</f>
        <v>0.2826666667</v>
      </c>
      <c r="J64" s="2">
        <v>0.0</v>
      </c>
      <c r="K64" s="2">
        <v>0.0</v>
      </c>
      <c r="L64" s="2">
        <v>0.0</v>
      </c>
    </row>
    <row r="65">
      <c r="A65" s="12">
        <v>45326.0</v>
      </c>
      <c r="B65" s="6" t="s">
        <v>19</v>
      </c>
      <c r="C65" s="2">
        <v>0.58</v>
      </c>
      <c r="D65" s="16">
        <f t="shared" si="3"/>
        <v>3.14</v>
      </c>
      <c r="E65" s="17">
        <f>D65/B1</f>
        <v>0.2093333333</v>
      </c>
      <c r="F65" s="16">
        <f t="shared" si="4"/>
        <v>5.01</v>
      </c>
      <c r="G65" s="17">
        <f>F65/B2</f>
        <v>0.334</v>
      </c>
      <c r="H65" s="15">
        <f t="shared" si="5"/>
        <v>3.66</v>
      </c>
      <c r="I65" s="14">
        <f>H65/B3</f>
        <v>0.244</v>
      </c>
      <c r="J65" s="2">
        <v>0.0</v>
      </c>
      <c r="K65" s="2">
        <v>0.0</v>
      </c>
      <c r="L65" s="2">
        <v>0.0</v>
      </c>
    </row>
    <row r="66">
      <c r="A66" s="12">
        <v>45327.0</v>
      </c>
      <c r="B66" s="6" t="s">
        <v>17</v>
      </c>
      <c r="C66" s="2">
        <v>0.61</v>
      </c>
      <c r="D66" s="16">
        <f t="shared" si="3"/>
        <v>2.53</v>
      </c>
      <c r="E66" s="17">
        <f>D66/B1</f>
        <v>0.1686666667</v>
      </c>
      <c r="F66" s="16">
        <f t="shared" si="4"/>
        <v>5.01</v>
      </c>
      <c r="G66" s="17">
        <f>F66/B2</f>
        <v>0.334</v>
      </c>
      <c r="H66" s="15">
        <f t="shared" si="5"/>
        <v>3.66</v>
      </c>
      <c r="I66" s="14">
        <f>H66/B3</f>
        <v>0.244</v>
      </c>
      <c r="J66" s="2">
        <v>0.0</v>
      </c>
      <c r="K66" s="2">
        <v>0.0</v>
      </c>
      <c r="L66" s="2">
        <v>0.0</v>
      </c>
    </row>
    <row r="67">
      <c r="A67" s="12">
        <v>45327.0</v>
      </c>
      <c r="B67" s="6" t="s">
        <v>18</v>
      </c>
      <c r="C67" s="2">
        <v>0.57</v>
      </c>
      <c r="D67" s="16">
        <f t="shared" si="3"/>
        <v>2.53</v>
      </c>
      <c r="E67" s="17">
        <f>D67/B1</f>
        <v>0.1686666667</v>
      </c>
      <c r="F67" s="16">
        <f t="shared" si="4"/>
        <v>4.44</v>
      </c>
      <c r="G67" s="17">
        <f>F67/B2</f>
        <v>0.296</v>
      </c>
      <c r="H67" s="15">
        <f t="shared" si="5"/>
        <v>3.66</v>
      </c>
      <c r="I67" s="14">
        <f>H67/B3</f>
        <v>0.244</v>
      </c>
      <c r="J67" s="2">
        <v>0.0</v>
      </c>
      <c r="K67" s="2">
        <v>0.0</v>
      </c>
      <c r="L67" s="2">
        <v>0.0</v>
      </c>
    </row>
    <row r="68">
      <c r="A68" s="12">
        <v>45327.0</v>
      </c>
      <c r="B68" s="6" t="s">
        <v>19</v>
      </c>
      <c r="C68" s="2">
        <v>0.55</v>
      </c>
      <c r="D68" s="16">
        <f t="shared" si="3"/>
        <v>2.53</v>
      </c>
      <c r="E68" s="17">
        <f>D68/B1</f>
        <v>0.1686666667</v>
      </c>
      <c r="F68" s="16">
        <f t="shared" si="4"/>
        <v>4.44</v>
      </c>
      <c r="G68" s="17">
        <f>F68/B2</f>
        <v>0.296</v>
      </c>
      <c r="H68" s="15">
        <f t="shared" si="5"/>
        <v>3.11</v>
      </c>
      <c r="I68" s="14">
        <f>H68/B3</f>
        <v>0.2073333333</v>
      </c>
      <c r="J68" s="2">
        <v>0.0</v>
      </c>
      <c r="K68" s="2">
        <v>0.0</v>
      </c>
      <c r="L68" s="2">
        <v>0.0</v>
      </c>
    </row>
    <row r="69">
      <c r="A69" s="12">
        <v>45328.0</v>
      </c>
      <c r="B69" s="6" t="s">
        <v>17</v>
      </c>
      <c r="C69" s="2">
        <v>0.63</v>
      </c>
      <c r="D69" s="16">
        <f t="shared" si="3"/>
        <v>1.9</v>
      </c>
      <c r="E69" s="17">
        <f>D69/B1</f>
        <v>0.1266666667</v>
      </c>
      <c r="F69" s="16">
        <f t="shared" si="4"/>
        <v>4.44</v>
      </c>
      <c r="G69" s="17">
        <f>F69/B2</f>
        <v>0.296</v>
      </c>
      <c r="H69" s="15">
        <f t="shared" si="5"/>
        <v>3.11</v>
      </c>
      <c r="I69" s="14">
        <f>H69/B3</f>
        <v>0.2073333333</v>
      </c>
      <c r="J69" s="2">
        <v>0.0</v>
      </c>
      <c r="K69" s="2">
        <v>0.0</v>
      </c>
      <c r="L69" s="2">
        <v>0.0</v>
      </c>
    </row>
    <row r="70">
      <c r="A70" s="12">
        <v>45328.0</v>
      </c>
      <c r="B70" s="6" t="s">
        <v>18</v>
      </c>
      <c r="C70" s="2">
        <v>0.6</v>
      </c>
      <c r="D70" s="16">
        <f t="shared" si="3"/>
        <v>1.9</v>
      </c>
      <c r="E70" s="17">
        <f>D70/B1</f>
        <v>0.1266666667</v>
      </c>
      <c r="F70" s="16">
        <f t="shared" si="4"/>
        <v>3.84</v>
      </c>
      <c r="G70" s="17">
        <f>F70/B2</f>
        <v>0.256</v>
      </c>
      <c r="H70" s="15">
        <f t="shared" si="5"/>
        <v>3.11</v>
      </c>
      <c r="I70" s="14">
        <f>H70/B3</f>
        <v>0.2073333333</v>
      </c>
      <c r="J70" s="2">
        <v>0.0</v>
      </c>
      <c r="K70" s="2">
        <v>0.0</v>
      </c>
      <c r="L70" s="2">
        <v>0.0</v>
      </c>
    </row>
    <row r="71">
      <c r="A71" s="12">
        <v>45328.0</v>
      </c>
      <c r="B71" s="6" t="s">
        <v>19</v>
      </c>
      <c r="C71" s="2">
        <v>0.7</v>
      </c>
      <c r="D71" s="16">
        <f t="shared" si="3"/>
        <v>1.9</v>
      </c>
      <c r="E71" s="17">
        <f>D71/B1</f>
        <v>0.1266666667</v>
      </c>
      <c r="F71" s="16">
        <f t="shared" si="4"/>
        <v>3.84</v>
      </c>
      <c r="G71" s="17">
        <f>F71/B2</f>
        <v>0.256</v>
      </c>
      <c r="H71" s="15">
        <f t="shared" si="5"/>
        <v>2.41</v>
      </c>
      <c r="I71" s="14">
        <f>H71/B3</f>
        <v>0.1606666667</v>
      </c>
      <c r="J71" s="2">
        <v>0.0</v>
      </c>
      <c r="K71" s="2">
        <v>0.0</v>
      </c>
      <c r="L71" s="2">
        <v>0.0</v>
      </c>
    </row>
    <row r="72">
      <c r="A72" s="12">
        <v>45329.0</v>
      </c>
      <c r="B72" s="6" t="s">
        <v>17</v>
      </c>
      <c r="C72" s="2">
        <v>0.62</v>
      </c>
      <c r="D72" s="16">
        <f t="shared" si="3"/>
        <v>1.28</v>
      </c>
      <c r="E72" s="17">
        <f>D72/B1</f>
        <v>0.08533333333</v>
      </c>
      <c r="F72" s="16">
        <f t="shared" si="4"/>
        <v>3.84</v>
      </c>
      <c r="G72" s="17">
        <f>F72/B2</f>
        <v>0.256</v>
      </c>
      <c r="H72" s="15">
        <f t="shared" si="5"/>
        <v>2.41</v>
      </c>
      <c r="I72" s="14">
        <f>H72/B3</f>
        <v>0.1606666667</v>
      </c>
      <c r="J72" s="2">
        <v>0.0</v>
      </c>
      <c r="K72" s="2">
        <v>0.0</v>
      </c>
      <c r="L72" s="2">
        <v>0.0</v>
      </c>
    </row>
    <row r="73">
      <c r="A73" s="12">
        <v>45329.0</v>
      </c>
      <c r="B73" s="6" t="s">
        <v>18</v>
      </c>
      <c r="C73" s="2">
        <v>0.61</v>
      </c>
      <c r="D73" s="16">
        <f t="shared" si="3"/>
        <v>1.28</v>
      </c>
      <c r="E73" s="17">
        <f>D73/B1</f>
        <v>0.08533333333</v>
      </c>
      <c r="F73" s="16">
        <f t="shared" si="4"/>
        <v>3.23</v>
      </c>
      <c r="G73" s="17">
        <f>F73/B2</f>
        <v>0.2153333333</v>
      </c>
      <c r="H73" s="15">
        <f t="shared" si="5"/>
        <v>2.41</v>
      </c>
      <c r="I73" s="14">
        <f>H73/B3</f>
        <v>0.1606666667</v>
      </c>
      <c r="J73" s="2">
        <v>0.0</v>
      </c>
      <c r="K73" s="2">
        <v>0.0</v>
      </c>
      <c r="L73" s="2">
        <v>0.0</v>
      </c>
    </row>
    <row r="74">
      <c r="A74" s="12">
        <v>45329.0</v>
      </c>
      <c r="B74" s="6" t="s">
        <v>19</v>
      </c>
      <c r="C74" s="2">
        <v>0.6</v>
      </c>
      <c r="D74" s="16">
        <f t="shared" si="3"/>
        <v>1.28</v>
      </c>
      <c r="E74" s="17">
        <f>D74/B1</f>
        <v>0.08533333333</v>
      </c>
      <c r="F74" s="16">
        <f t="shared" si="4"/>
        <v>3.23</v>
      </c>
      <c r="G74" s="17">
        <f>F74/B2</f>
        <v>0.2153333333</v>
      </c>
      <c r="H74" s="15">
        <f t="shared" si="5"/>
        <v>1.81</v>
      </c>
      <c r="I74" s="14">
        <f>H74/B3</f>
        <v>0.1206666667</v>
      </c>
      <c r="J74" s="2">
        <v>0.0</v>
      </c>
      <c r="K74" s="2">
        <v>0.0</v>
      </c>
      <c r="L74" s="2">
        <v>0.0</v>
      </c>
    </row>
    <row r="75">
      <c r="A75" s="12">
        <v>45330.0</v>
      </c>
      <c r="B75" s="6" t="s">
        <v>17</v>
      </c>
      <c r="C75" s="2">
        <v>1.28</v>
      </c>
      <c r="D75" s="16">
        <f t="shared" si="3"/>
        <v>0</v>
      </c>
      <c r="E75" s="17">
        <f>D75/B1</f>
        <v>0</v>
      </c>
      <c r="F75" s="16">
        <f t="shared" si="4"/>
        <v>3.23</v>
      </c>
      <c r="G75" s="17">
        <f>F75/B2</f>
        <v>0.2153333333</v>
      </c>
      <c r="H75" s="15">
        <f t="shared" si="5"/>
        <v>1.81</v>
      </c>
      <c r="I75" s="14">
        <f>H75/B3</f>
        <v>0.1206666667</v>
      </c>
      <c r="J75" s="2">
        <v>0.0</v>
      </c>
      <c r="K75" s="2">
        <v>0.0</v>
      </c>
      <c r="L75" s="2">
        <v>0.0</v>
      </c>
    </row>
    <row r="76">
      <c r="A76" s="12">
        <v>45330.0</v>
      </c>
      <c r="B76" s="6" t="s">
        <v>18</v>
      </c>
      <c r="C76" s="2">
        <v>1.16</v>
      </c>
      <c r="D76" s="16">
        <f t="shared" si="3"/>
        <v>0</v>
      </c>
      <c r="E76" s="17">
        <f>D76/B1</f>
        <v>0</v>
      </c>
      <c r="F76" s="16">
        <f t="shared" si="4"/>
        <v>2.07</v>
      </c>
      <c r="G76" s="17">
        <f>F76/B2</f>
        <v>0.138</v>
      </c>
      <c r="H76" s="15">
        <f t="shared" si="5"/>
        <v>1.81</v>
      </c>
      <c r="I76" s="14">
        <f>H76/B3</f>
        <v>0.1206666667</v>
      </c>
      <c r="J76" s="2">
        <v>0.0</v>
      </c>
      <c r="K76" s="2">
        <v>0.0</v>
      </c>
      <c r="L76" s="2">
        <v>0.0</v>
      </c>
    </row>
    <row r="77">
      <c r="A77" s="12">
        <v>45330.0</v>
      </c>
      <c r="B77" s="6" t="s">
        <v>19</v>
      </c>
      <c r="C77" s="2">
        <v>0.64</v>
      </c>
      <c r="D77" s="16">
        <f t="shared" si="3"/>
        <v>0</v>
      </c>
      <c r="E77" s="17">
        <f>D77/B1</f>
        <v>0</v>
      </c>
      <c r="F77" s="16">
        <f t="shared" si="4"/>
        <v>2.07</v>
      </c>
      <c r="G77" s="17">
        <f>F77/B2</f>
        <v>0.138</v>
      </c>
      <c r="H77" s="15">
        <f t="shared" si="5"/>
        <v>1.17</v>
      </c>
      <c r="I77" s="14">
        <f>H77/B3</f>
        <v>0.078</v>
      </c>
      <c r="J77" s="2">
        <v>0.0</v>
      </c>
      <c r="K77" s="2">
        <v>0.0</v>
      </c>
      <c r="L77" s="2">
        <v>0.0</v>
      </c>
    </row>
    <row r="78">
      <c r="A78" s="12">
        <v>45331.0</v>
      </c>
      <c r="B78" s="6" t="s">
        <v>17</v>
      </c>
      <c r="C78" s="2">
        <v>0.0</v>
      </c>
      <c r="D78" s="16">
        <f t="shared" si="3"/>
        <v>0</v>
      </c>
      <c r="E78" s="17">
        <f>D78/B1</f>
        <v>0</v>
      </c>
      <c r="F78" s="16">
        <f t="shared" si="4"/>
        <v>2.07</v>
      </c>
      <c r="G78" s="17">
        <f>F78/B2</f>
        <v>0.138</v>
      </c>
      <c r="H78" s="15">
        <f t="shared" si="5"/>
        <v>1.17</v>
      </c>
      <c r="I78" s="14">
        <f>H78/B3</f>
        <v>0.078</v>
      </c>
      <c r="J78" s="2">
        <v>0.0</v>
      </c>
      <c r="K78" s="2">
        <v>0.0</v>
      </c>
      <c r="L78" s="2">
        <v>0.0</v>
      </c>
    </row>
    <row r="79">
      <c r="A79" s="12">
        <v>45331.0</v>
      </c>
      <c r="B79" s="6" t="s">
        <v>18</v>
      </c>
      <c r="C79" s="2">
        <v>1.29</v>
      </c>
      <c r="D79" s="16">
        <f t="shared" si="3"/>
        <v>0</v>
      </c>
      <c r="E79" s="17">
        <f>D79/B1</f>
        <v>0</v>
      </c>
      <c r="F79" s="16">
        <f t="shared" si="4"/>
        <v>0.78</v>
      </c>
      <c r="G79" s="17">
        <f>F79/B2</f>
        <v>0.052</v>
      </c>
      <c r="H79" s="15">
        <f t="shared" si="5"/>
        <v>1.17</v>
      </c>
      <c r="I79" s="14">
        <f>H79/B3</f>
        <v>0.078</v>
      </c>
      <c r="J79" s="2">
        <v>0.0</v>
      </c>
      <c r="K79" s="2">
        <v>0.0</v>
      </c>
      <c r="L79" s="2">
        <v>0.0</v>
      </c>
    </row>
    <row r="80">
      <c r="A80" s="12">
        <v>45331.0</v>
      </c>
      <c r="B80" s="6" t="s">
        <v>19</v>
      </c>
      <c r="C80" s="2">
        <v>0.56</v>
      </c>
      <c r="D80" s="16">
        <f t="shared" si="3"/>
        <v>0</v>
      </c>
      <c r="E80" s="17">
        <f>D80/B1</f>
        <v>0</v>
      </c>
      <c r="F80" s="16">
        <f t="shared" si="4"/>
        <v>0.78</v>
      </c>
      <c r="G80" s="17">
        <f>F80/B2</f>
        <v>0.052</v>
      </c>
      <c r="H80" s="15">
        <f t="shared" si="5"/>
        <v>0.61</v>
      </c>
      <c r="I80" s="14">
        <f>H80/B3</f>
        <v>0.04066666667</v>
      </c>
      <c r="J80" s="2">
        <v>0.0</v>
      </c>
      <c r="K80" s="2">
        <v>0.0</v>
      </c>
      <c r="L80" s="2">
        <v>0.0</v>
      </c>
    </row>
    <row r="81">
      <c r="A81" s="12">
        <v>45332.0</v>
      </c>
      <c r="B81" s="6" t="s">
        <v>17</v>
      </c>
      <c r="C81" s="2">
        <v>0.0</v>
      </c>
      <c r="D81" s="16">
        <f t="shared" si="3"/>
        <v>0</v>
      </c>
      <c r="E81" s="17">
        <f>D81/B1</f>
        <v>0</v>
      </c>
      <c r="F81" s="16">
        <f t="shared" si="4"/>
        <v>0.78</v>
      </c>
      <c r="G81" s="17">
        <f>F81/B2</f>
        <v>0.052</v>
      </c>
      <c r="H81" s="15">
        <f t="shared" si="5"/>
        <v>0.61</v>
      </c>
      <c r="I81" s="14">
        <f>H81/B3</f>
        <v>0.04066666667</v>
      </c>
      <c r="J81" s="2">
        <v>0.0</v>
      </c>
      <c r="K81" s="2">
        <v>0.0</v>
      </c>
      <c r="L81" s="2">
        <v>0.0</v>
      </c>
    </row>
    <row r="82">
      <c r="A82" s="12">
        <v>45332.0</v>
      </c>
      <c r="B82" s="6" t="s">
        <v>18</v>
      </c>
      <c r="C82" s="2">
        <v>0.78</v>
      </c>
      <c r="D82" s="16">
        <f t="shared" si="3"/>
        <v>0</v>
      </c>
      <c r="E82" s="17">
        <f>D82/B1</f>
        <v>0</v>
      </c>
      <c r="F82" s="16">
        <f t="shared" si="4"/>
        <v>0</v>
      </c>
      <c r="G82" s="17">
        <f>F82/B2</f>
        <v>0</v>
      </c>
      <c r="H82" s="15">
        <f t="shared" si="5"/>
        <v>0.61</v>
      </c>
      <c r="I82" s="14">
        <f>H82/B3</f>
        <v>0.04066666667</v>
      </c>
      <c r="J82" s="2">
        <v>0.0</v>
      </c>
      <c r="K82" s="2">
        <v>0.0</v>
      </c>
      <c r="L82" s="2">
        <v>0.0</v>
      </c>
    </row>
    <row r="83">
      <c r="A83" s="12">
        <v>45332.0</v>
      </c>
      <c r="B83" s="6" t="s">
        <v>19</v>
      </c>
      <c r="C83" s="2">
        <v>0.61</v>
      </c>
      <c r="D83" s="16">
        <f t="shared" si="3"/>
        <v>0</v>
      </c>
      <c r="E83" s="17">
        <f>D83/B1</f>
        <v>0</v>
      </c>
      <c r="F83" s="16">
        <f t="shared" si="4"/>
        <v>0</v>
      </c>
      <c r="G83" s="17">
        <f>F83/B2</f>
        <v>0</v>
      </c>
      <c r="H83" s="15">
        <f t="shared" si="5"/>
        <v>0</v>
      </c>
      <c r="I83" s="14">
        <f>H83/B3</f>
        <v>0</v>
      </c>
      <c r="J83" s="2">
        <v>0.0</v>
      </c>
      <c r="K83" s="2">
        <v>0.0</v>
      </c>
      <c r="L83" s="2">
        <v>0.0</v>
      </c>
    </row>
  </sheetData>
  <dataValidations>
    <dataValidation type="list" allowBlank="1" showErrorMessage="1" sqref="B6:B83">
      <formula1>"Hindu Kush,Gorilla Glue #4,Blueberry Haze"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3.75"/>
    <col customWidth="1" min="2" max="2" width="22.63"/>
    <col customWidth="1" min="3" max="3" width="10.25"/>
    <col customWidth="1" min="4" max="4" width="17.0"/>
    <col customWidth="1" min="5" max="5" width="15.0"/>
    <col customWidth="1" min="6" max="6" width="17.0"/>
    <col customWidth="1" min="7" max="7" width="16.13"/>
    <col customWidth="1" min="8" max="9" width="16.38"/>
    <col customWidth="1" min="10" max="10" width="12.63"/>
    <col customWidth="1" min="11" max="11" width="14.88"/>
    <col customWidth="1" min="12" max="12" width="13.0"/>
  </cols>
  <sheetData>
    <row r="1">
      <c r="A1" s="1" t="s">
        <v>20</v>
      </c>
      <c r="B1" s="2">
        <v>15.0</v>
      </c>
      <c r="C1" s="4">
        <f>D116</f>
        <v>0</v>
      </c>
      <c r="D1" s="5">
        <f t="shared" ref="D1:D4" si="1">C1/B1</f>
        <v>0</v>
      </c>
      <c r="G1" s="1" t="s">
        <v>1</v>
      </c>
      <c r="H1" s="3">
        <f>IFERROR(__xludf.DUMMYFUNCTION("COUNTUNIQUE(A6:A77)"),24.0)</f>
        <v>24</v>
      </c>
      <c r="I1" s="3"/>
      <c r="J1" s="6"/>
      <c r="K1" s="3"/>
      <c r="L1" s="3"/>
      <c r="M1" s="7"/>
      <c r="N1" s="7"/>
    </row>
    <row r="2">
      <c r="A2" s="1" t="s">
        <v>21</v>
      </c>
      <c r="B2" s="2">
        <v>15.0</v>
      </c>
      <c r="C2" s="4">
        <f>F116</f>
        <v>0</v>
      </c>
      <c r="D2" s="5">
        <f t="shared" si="1"/>
        <v>0</v>
      </c>
      <c r="G2" s="1" t="s">
        <v>5</v>
      </c>
      <c r="H2" s="3">
        <f>(B1+B2+B3)/F4</f>
        <v>24</v>
      </c>
      <c r="I2" s="3"/>
      <c r="J2" s="3"/>
      <c r="K2" s="3"/>
      <c r="L2" s="3"/>
      <c r="M2" s="7"/>
      <c r="N2" s="7"/>
    </row>
    <row r="3">
      <c r="A3" s="1" t="s">
        <v>22</v>
      </c>
      <c r="B3" s="2">
        <v>15.0</v>
      </c>
      <c r="C3" s="4">
        <f>H116</f>
        <v>0</v>
      </c>
      <c r="D3" s="8">
        <f t="shared" si="1"/>
        <v>0</v>
      </c>
      <c r="E3" s="3"/>
      <c r="F3" s="6"/>
      <c r="G3" s="3"/>
      <c r="H3" s="3"/>
      <c r="I3" s="3"/>
      <c r="J3" s="3"/>
      <c r="K3" s="3"/>
      <c r="L3" s="3"/>
      <c r="M3" s="7"/>
      <c r="N3" s="7"/>
    </row>
    <row r="4">
      <c r="A4" s="3"/>
      <c r="B4" s="9">
        <f t="shared" ref="B4:C4" si="2">SUM(B1:B3)</f>
        <v>45</v>
      </c>
      <c r="C4" s="9">
        <f t="shared" si="2"/>
        <v>0</v>
      </c>
      <c r="D4" s="5">
        <f t="shared" si="1"/>
        <v>0</v>
      </c>
      <c r="E4" s="1" t="s">
        <v>7</v>
      </c>
      <c r="F4" s="3">
        <f>SUM(C6:C77)/H1</f>
        <v>1.875</v>
      </c>
      <c r="G4" s="3"/>
      <c r="H4" s="3"/>
      <c r="I4" s="3"/>
      <c r="J4" s="3"/>
      <c r="K4" s="3"/>
      <c r="L4" s="3"/>
      <c r="M4" s="7"/>
      <c r="N4" s="7"/>
    </row>
    <row r="5">
      <c r="A5" s="10" t="s">
        <v>8</v>
      </c>
      <c r="B5" s="10" t="s">
        <v>9</v>
      </c>
      <c r="C5" s="10" t="s">
        <v>10</v>
      </c>
      <c r="D5" s="10" t="s">
        <v>11</v>
      </c>
      <c r="E5" s="10" t="s">
        <v>11</v>
      </c>
      <c r="F5" s="10" t="s">
        <v>23</v>
      </c>
      <c r="G5" s="10" t="s">
        <v>23</v>
      </c>
      <c r="H5" s="10" t="s">
        <v>24</v>
      </c>
      <c r="I5" s="10" t="s">
        <v>24</v>
      </c>
      <c r="J5" s="10" t="s">
        <v>14</v>
      </c>
      <c r="K5" s="10" t="s">
        <v>25</v>
      </c>
      <c r="L5" s="10" t="s">
        <v>26</v>
      </c>
      <c r="M5" s="7"/>
      <c r="N5" s="7"/>
    </row>
    <row r="6">
      <c r="A6" s="12">
        <v>45336.0</v>
      </c>
      <c r="B6" s="6" t="s">
        <v>17</v>
      </c>
      <c r="C6" s="2">
        <v>0.55</v>
      </c>
      <c r="D6" s="4">
        <f>IF(B6="Hindu Kush",B1-C6,B1)</f>
        <v>14.45</v>
      </c>
      <c r="E6" s="13">
        <f>D6/B1</f>
        <v>0.9633333333</v>
      </c>
      <c r="F6" s="2">
        <f>IF(B6="Ghost Train Haze",B2-C6,B2)</f>
        <v>15</v>
      </c>
      <c r="G6" s="14">
        <f>F6/B2</f>
        <v>1</v>
      </c>
      <c r="H6" s="15">
        <f>IF(B6="Frozen Lemon Mints",B3-C6,B3)</f>
        <v>15</v>
      </c>
      <c r="I6" s="14">
        <f>H6/B3</f>
        <v>1</v>
      </c>
      <c r="J6" s="2">
        <v>0.0</v>
      </c>
      <c r="K6" s="2">
        <v>0.0</v>
      </c>
      <c r="L6" s="2">
        <v>0.0</v>
      </c>
      <c r="M6" s="7"/>
      <c r="N6" s="7"/>
    </row>
    <row r="7">
      <c r="A7" s="12">
        <v>45336.0</v>
      </c>
      <c r="B7" s="6" t="s">
        <v>27</v>
      </c>
      <c r="C7" s="2">
        <v>1.44</v>
      </c>
      <c r="D7" s="16">
        <f t="shared" ref="D7:D116" si="3">IF(B7="Hindu Kush",D6-C7,D6)</f>
        <v>14.45</v>
      </c>
      <c r="E7" s="17">
        <f>D7/B1</f>
        <v>0.9633333333</v>
      </c>
      <c r="F7" s="16">
        <f t="shared" ref="F7:F116" si="4">IF(B7="Ghost Train Haze",F6-C7,F6)</f>
        <v>13.56</v>
      </c>
      <c r="G7" s="17">
        <f>F7/B2</f>
        <v>0.904</v>
      </c>
      <c r="H7" s="15">
        <f t="shared" ref="H7:H116" si="5">IF(B7="Frozen Lemon Mints",H6-C7,H6)</f>
        <v>15</v>
      </c>
      <c r="I7" s="14">
        <f>H7/B3</f>
        <v>1</v>
      </c>
      <c r="J7" s="2">
        <v>0.0</v>
      </c>
      <c r="K7" s="2">
        <v>0.0</v>
      </c>
      <c r="L7" s="2">
        <v>0.0</v>
      </c>
      <c r="M7" s="7"/>
      <c r="N7" s="7"/>
    </row>
    <row r="8">
      <c r="A8" s="12">
        <v>45336.0</v>
      </c>
      <c r="B8" s="6" t="s">
        <v>28</v>
      </c>
      <c r="C8" s="2">
        <v>0.54</v>
      </c>
      <c r="D8" s="16">
        <f t="shared" si="3"/>
        <v>14.45</v>
      </c>
      <c r="E8" s="17">
        <f>D8/B1</f>
        <v>0.9633333333</v>
      </c>
      <c r="F8" s="16">
        <f t="shared" si="4"/>
        <v>13.56</v>
      </c>
      <c r="G8" s="17">
        <f>F8/B2</f>
        <v>0.904</v>
      </c>
      <c r="H8" s="15">
        <f t="shared" si="5"/>
        <v>14.46</v>
      </c>
      <c r="I8" s="14">
        <f>H8/B3</f>
        <v>0.964</v>
      </c>
      <c r="J8" s="2">
        <v>0.0</v>
      </c>
      <c r="K8" s="2">
        <v>0.0</v>
      </c>
      <c r="L8" s="2">
        <v>0.0</v>
      </c>
      <c r="M8" s="7"/>
      <c r="N8" s="7"/>
    </row>
    <row r="9">
      <c r="A9" s="12">
        <v>45337.0</v>
      </c>
      <c r="B9" s="6" t="s">
        <v>17</v>
      </c>
      <c r="C9" s="2">
        <v>0.53</v>
      </c>
      <c r="D9" s="16">
        <f t="shared" si="3"/>
        <v>13.92</v>
      </c>
      <c r="E9" s="17">
        <f>D9/B1</f>
        <v>0.928</v>
      </c>
      <c r="F9" s="16">
        <f t="shared" si="4"/>
        <v>13.56</v>
      </c>
      <c r="G9" s="17">
        <f>F9/B2</f>
        <v>0.904</v>
      </c>
      <c r="H9" s="15">
        <f t="shared" si="5"/>
        <v>14.46</v>
      </c>
      <c r="I9" s="14">
        <f>H9/B3</f>
        <v>0.964</v>
      </c>
      <c r="J9" s="2">
        <v>0.0</v>
      </c>
      <c r="K9" s="2">
        <v>0.0</v>
      </c>
      <c r="L9" s="2">
        <v>0.0</v>
      </c>
      <c r="M9" s="7"/>
      <c r="N9" s="7"/>
    </row>
    <row r="10">
      <c r="A10" s="12">
        <v>45337.0</v>
      </c>
      <c r="B10" s="6" t="s">
        <v>27</v>
      </c>
      <c r="C10" s="2">
        <v>0.56</v>
      </c>
      <c r="D10" s="16">
        <f t="shared" si="3"/>
        <v>13.92</v>
      </c>
      <c r="E10" s="17">
        <f>D10/B1</f>
        <v>0.928</v>
      </c>
      <c r="F10" s="16">
        <f t="shared" si="4"/>
        <v>13</v>
      </c>
      <c r="G10" s="17">
        <f>F10/B2</f>
        <v>0.8666666667</v>
      </c>
      <c r="H10" s="15">
        <f t="shared" si="5"/>
        <v>14.46</v>
      </c>
      <c r="I10" s="14">
        <f>H10/B3</f>
        <v>0.964</v>
      </c>
      <c r="J10" s="2">
        <v>0.0</v>
      </c>
      <c r="K10" s="2">
        <v>0.0</v>
      </c>
      <c r="L10" s="2">
        <v>0.0</v>
      </c>
      <c r="M10" s="7"/>
      <c r="N10" s="7"/>
    </row>
    <row r="11">
      <c r="A11" s="12">
        <v>45337.0</v>
      </c>
      <c r="B11" s="6" t="s">
        <v>28</v>
      </c>
      <c r="C11" s="2">
        <v>0.56</v>
      </c>
      <c r="D11" s="16">
        <f t="shared" si="3"/>
        <v>13.92</v>
      </c>
      <c r="E11" s="17">
        <f>D11/B1</f>
        <v>0.928</v>
      </c>
      <c r="F11" s="16">
        <f t="shared" si="4"/>
        <v>13</v>
      </c>
      <c r="G11" s="17">
        <f>F11/B2</f>
        <v>0.8666666667</v>
      </c>
      <c r="H11" s="15">
        <f t="shared" si="5"/>
        <v>13.9</v>
      </c>
      <c r="I11" s="14">
        <f>H11/B3</f>
        <v>0.9266666667</v>
      </c>
      <c r="J11" s="2">
        <v>0.0</v>
      </c>
      <c r="K11" s="2">
        <v>0.0</v>
      </c>
      <c r="L11" s="2">
        <v>0.0</v>
      </c>
      <c r="M11" s="7"/>
      <c r="N11" s="7"/>
    </row>
    <row r="12">
      <c r="A12" s="12">
        <v>45338.0</v>
      </c>
      <c r="B12" s="6" t="s">
        <v>17</v>
      </c>
      <c r="C12" s="2">
        <v>0.63</v>
      </c>
      <c r="D12" s="16">
        <f t="shared" si="3"/>
        <v>13.29</v>
      </c>
      <c r="E12" s="17">
        <f>D12/B1</f>
        <v>0.886</v>
      </c>
      <c r="F12" s="16">
        <f t="shared" si="4"/>
        <v>13</v>
      </c>
      <c r="G12" s="17">
        <f>F12/B2</f>
        <v>0.8666666667</v>
      </c>
      <c r="H12" s="15">
        <f t="shared" si="5"/>
        <v>13.9</v>
      </c>
      <c r="I12" s="14">
        <f>H12/B3</f>
        <v>0.9266666667</v>
      </c>
      <c r="J12" s="2">
        <v>0.0</v>
      </c>
      <c r="K12" s="2">
        <v>0.0</v>
      </c>
      <c r="L12" s="2">
        <v>0.0</v>
      </c>
      <c r="M12" s="7"/>
      <c r="N12" s="7"/>
    </row>
    <row r="13">
      <c r="A13" s="12">
        <v>45338.0</v>
      </c>
      <c r="B13" s="6" t="s">
        <v>27</v>
      </c>
      <c r="C13" s="2">
        <v>0.68</v>
      </c>
      <c r="D13" s="16">
        <f t="shared" si="3"/>
        <v>13.29</v>
      </c>
      <c r="E13" s="17">
        <f>D13/B1</f>
        <v>0.886</v>
      </c>
      <c r="F13" s="16">
        <f t="shared" si="4"/>
        <v>12.32</v>
      </c>
      <c r="G13" s="17">
        <f>F13/B2</f>
        <v>0.8213333333</v>
      </c>
      <c r="H13" s="15">
        <f t="shared" si="5"/>
        <v>13.9</v>
      </c>
      <c r="I13" s="14">
        <f>H13/B3</f>
        <v>0.9266666667</v>
      </c>
      <c r="J13" s="2">
        <v>0.0</v>
      </c>
      <c r="K13" s="2">
        <v>0.0</v>
      </c>
      <c r="L13" s="2">
        <v>0.0</v>
      </c>
      <c r="M13" s="7"/>
      <c r="N13" s="7"/>
    </row>
    <row r="14">
      <c r="A14" s="12">
        <v>45338.0</v>
      </c>
      <c r="B14" s="6" t="s">
        <v>28</v>
      </c>
      <c r="C14" s="2">
        <v>0.63</v>
      </c>
      <c r="D14" s="16">
        <f t="shared" si="3"/>
        <v>13.29</v>
      </c>
      <c r="E14" s="17">
        <f>D14/B1</f>
        <v>0.886</v>
      </c>
      <c r="F14" s="16">
        <f t="shared" si="4"/>
        <v>12.32</v>
      </c>
      <c r="G14" s="17">
        <f>F14/B2</f>
        <v>0.8213333333</v>
      </c>
      <c r="H14" s="15">
        <f t="shared" si="5"/>
        <v>13.27</v>
      </c>
      <c r="I14" s="14">
        <f>H14/B3</f>
        <v>0.8846666667</v>
      </c>
      <c r="J14" s="2">
        <v>0.0</v>
      </c>
      <c r="K14" s="2">
        <v>0.0</v>
      </c>
      <c r="L14" s="2">
        <v>0.0</v>
      </c>
      <c r="M14" s="7"/>
      <c r="N14" s="7"/>
    </row>
    <row r="15">
      <c r="A15" s="12">
        <v>45339.0</v>
      </c>
      <c r="B15" s="6" t="s">
        <v>17</v>
      </c>
      <c r="C15" s="2">
        <v>0.48</v>
      </c>
      <c r="D15" s="16">
        <f t="shared" si="3"/>
        <v>12.81</v>
      </c>
      <c r="E15" s="17">
        <f>D15/B1</f>
        <v>0.854</v>
      </c>
      <c r="F15" s="16">
        <f t="shared" si="4"/>
        <v>12.32</v>
      </c>
      <c r="G15" s="17">
        <f>F15/B2</f>
        <v>0.8213333333</v>
      </c>
      <c r="H15" s="15">
        <f t="shared" si="5"/>
        <v>13.27</v>
      </c>
      <c r="I15" s="14">
        <f>H15/B3</f>
        <v>0.8846666667</v>
      </c>
      <c r="J15" s="2">
        <v>0.0</v>
      </c>
      <c r="K15" s="2">
        <v>0.0</v>
      </c>
      <c r="L15" s="2">
        <v>0.0</v>
      </c>
      <c r="M15" s="7"/>
      <c r="N15" s="7"/>
    </row>
    <row r="16">
      <c r="A16" s="12">
        <v>45339.0</v>
      </c>
      <c r="B16" s="6" t="s">
        <v>27</v>
      </c>
      <c r="C16" s="2">
        <v>1.1</v>
      </c>
      <c r="D16" s="16">
        <f t="shared" si="3"/>
        <v>12.81</v>
      </c>
      <c r="E16" s="17">
        <f>D16/B1</f>
        <v>0.854</v>
      </c>
      <c r="F16" s="16">
        <f t="shared" si="4"/>
        <v>11.22</v>
      </c>
      <c r="G16" s="17">
        <f>F16/B2</f>
        <v>0.748</v>
      </c>
      <c r="H16" s="15">
        <f t="shared" si="5"/>
        <v>13.27</v>
      </c>
      <c r="I16" s="14">
        <f>H16/B3</f>
        <v>0.8846666667</v>
      </c>
      <c r="J16" s="2">
        <v>0.0</v>
      </c>
      <c r="K16" s="2">
        <v>0.0</v>
      </c>
      <c r="L16" s="2">
        <v>0.0</v>
      </c>
      <c r="M16" s="7"/>
      <c r="N16" s="7"/>
    </row>
    <row r="17">
      <c r="A17" s="12">
        <v>45339.0</v>
      </c>
      <c r="B17" s="6" t="s">
        <v>28</v>
      </c>
      <c r="C17" s="2">
        <v>0.99</v>
      </c>
      <c r="D17" s="16">
        <f t="shared" si="3"/>
        <v>12.81</v>
      </c>
      <c r="E17" s="17">
        <f>D17/B1</f>
        <v>0.854</v>
      </c>
      <c r="F17" s="16">
        <f t="shared" si="4"/>
        <v>11.22</v>
      </c>
      <c r="G17" s="17">
        <f>F17/B2</f>
        <v>0.748</v>
      </c>
      <c r="H17" s="15">
        <f t="shared" si="5"/>
        <v>12.28</v>
      </c>
      <c r="I17" s="14">
        <f>H17/B3</f>
        <v>0.8186666667</v>
      </c>
      <c r="J17" s="2">
        <v>0.0</v>
      </c>
      <c r="K17" s="2">
        <v>0.0</v>
      </c>
      <c r="L17" s="2">
        <v>0.0</v>
      </c>
      <c r="M17" s="7"/>
      <c r="N17" s="7"/>
    </row>
    <row r="18">
      <c r="A18" s="12">
        <v>45340.0</v>
      </c>
      <c r="B18" s="6" t="s">
        <v>17</v>
      </c>
      <c r="C18" s="2">
        <v>0.54</v>
      </c>
      <c r="D18" s="16">
        <f t="shared" si="3"/>
        <v>12.27</v>
      </c>
      <c r="E18" s="17">
        <f>D18/B1</f>
        <v>0.818</v>
      </c>
      <c r="F18" s="16">
        <f t="shared" si="4"/>
        <v>11.22</v>
      </c>
      <c r="G18" s="17">
        <f>F18/B2</f>
        <v>0.748</v>
      </c>
      <c r="H18" s="15">
        <f t="shared" si="5"/>
        <v>12.28</v>
      </c>
      <c r="I18" s="14">
        <f>H18/B3</f>
        <v>0.8186666667</v>
      </c>
      <c r="J18" s="2">
        <v>0.0</v>
      </c>
      <c r="K18" s="2">
        <v>0.0</v>
      </c>
      <c r="L18" s="2">
        <v>0.0</v>
      </c>
      <c r="M18" s="7"/>
      <c r="N18" s="7"/>
    </row>
    <row r="19">
      <c r="A19" s="12">
        <v>45340.0</v>
      </c>
      <c r="B19" s="6" t="s">
        <v>27</v>
      </c>
      <c r="C19" s="2">
        <v>0.55</v>
      </c>
      <c r="D19" s="16">
        <f t="shared" si="3"/>
        <v>12.27</v>
      </c>
      <c r="E19" s="17">
        <f>D19/B1</f>
        <v>0.818</v>
      </c>
      <c r="F19" s="16">
        <f t="shared" si="4"/>
        <v>10.67</v>
      </c>
      <c r="G19" s="17">
        <f>F19/B2</f>
        <v>0.7113333333</v>
      </c>
      <c r="H19" s="15">
        <f t="shared" si="5"/>
        <v>12.28</v>
      </c>
      <c r="I19" s="14">
        <f>H19/B3</f>
        <v>0.8186666667</v>
      </c>
      <c r="J19" s="2">
        <v>0.0</v>
      </c>
      <c r="K19" s="2">
        <v>0.0</v>
      </c>
      <c r="L19" s="2">
        <v>0.0</v>
      </c>
      <c r="M19" s="7"/>
      <c r="N19" s="7"/>
    </row>
    <row r="20">
      <c r="A20" s="12">
        <v>45340.0</v>
      </c>
      <c r="B20" s="6" t="s">
        <v>28</v>
      </c>
      <c r="C20" s="2">
        <v>0.53</v>
      </c>
      <c r="D20" s="16">
        <f t="shared" si="3"/>
        <v>12.27</v>
      </c>
      <c r="E20" s="17">
        <f>D20/B1</f>
        <v>0.818</v>
      </c>
      <c r="F20" s="16">
        <f t="shared" si="4"/>
        <v>10.67</v>
      </c>
      <c r="G20" s="17">
        <f>F20/B2</f>
        <v>0.7113333333</v>
      </c>
      <c r="H20" s="15">
        <f t="shared" si="5"/>
        <v>11.75</v>
      </c>
      <c r="I20" s="14">
        <f>H20/B3</f>
        <v>0.7833333333</v>
      </c>
      <c r="J20" s="2">
        <v>0.0</v>
      </c>
      <c r="K20" s="2">
        <v>0.0</v>
      </c>
      <c r="L20" s="2">
        <v>0.0</v>
      </c>
      <c r="M20" s="7"/>
      <c r="N20" s="7"/>
    </row>
    <row r="21">
      <c r="A21" s="12">
        <v>45341.0</v>
      </c>
      <c r="B21" s="6" t="s">
        <v>17</v>
      </c>
      <c r="C21" s="2">
        <v>0.45</v>
      </c>
      <c r="D21" s="16">
        <f t="shared" si="3"/>
        <v>11.82</v>
      </c>
      <c r="E21" s="17">
        <f>D21/B1</f>
        <v>0.788</v>
      </c>
      <c r="F21" s="16">
        <f t="shared" si="4"/>
        <v>10.67</v>
      </c>
      <c r="G21" s="17">
        <f>F21/B2</f>
        <v>0.7113333333</v>
      </c>
      <c r="H21" s="15">
        <f t="shared" si="5"/>
        <v>11.75</v>
      </c>
      <c r="I21" s="14">
        <f>H21/B3</f>
        <v>0.7833333333</v>
      </c>
      <c r="J21" s="2">
        <v>0.0</v>
      </c>
      <c r="K21" s="2">
        <v>0.0</v>
      </c>
      <c r="L21" s="2">
        <v>0.0</v>
      </c>
      <c r="M21" s="7"/>
      <c r="N21" s="7"/>
    </row>
    <row r="22">
      <c r="A22" s="12">
        <v>45341.0</v>
      </c>
      <c r="B22" s="6" t="s">
        <v>27</v>
      </c>
      <c r="C22" s="2">
        <v>0.51</v>
      </c>
      <c r="D22" s="16">
        <f t="shared" si="3"/>
        <v>11.82</v>
      </c>
      <c r="E22" s="17">
        <f>D22/B1</f>
        <v>0.788</v>
      </c>
      <c r="F22" s="16">
        <f t="shared" si="4"/>
        <v>10.16</v>
      </c>
      <c r="G22" s="17">
        <f>F22/B2</f>
        <v>0.6773333333</v>
      </c>
      <c r="H22" s="15">
        <f t="shared" si="5"/>
        <v>11.75</v>
      </c>
      <c r="I22" s="14">
        <f>H22/B3</f>
        <v>0.7833333333</v>
      </c>
      <c r="J22" s="2">
        <v>0.0</v>
      </c>
      <c r="K22" s="2">
        <v>0.0</v>
      </c>
      <c r="L22" s="2">
        <v>0.0</v>
      </c>
      <c r="M22" s="7"/>
      <c r="N22" s="7"/>
    </row>
    <row r="23">
      <c r="A23" s="12">
        <v>45341.0</v>
      </c>
      <c r="B23" s="6" t="s">
        <v>28</v>
      </c>
      <c r="C23" s="2">
        <v>0.54</v>
      </c>
      <c r="D23" s="16">
        <f t="shared" si="3"/>
        <v>11.82</v>
      </c>
      <c r="E23" s="17">
        <f>D23/B1</f>
        <v>0.788</v>
      </c>
      <c r="F23" s="16">
        <f t="shared" si="4"/>
        <v>10.16</v>
      </c>
      <c r="G23" s="17">
        <f>F23/B2</f>
        <v>0.6773333333</v>
      </c>
      <c r="H23" s="15">
        <f t="shared" si="5"/>
        <v>11.21</v>
      </c>
      <c r="I23" s="14">
        <f>H23/B3</f>
        <v>0.7473333333</v>
      </c>
      <c r="J23" s="2">
        <v>0.0</v>
      </c>
      <c r="K23" s="2">
        <v>0.0</v>
      </c>
      <c r="L23" s="2">
        <v>0.0</v>
      </c>
      <c r="M23" s="7"/>
      <c r="N23" s="7"/>
    </row>
    <row r="24">
      <c r="A24" s="12">
        <v>45342.0</v>
      </c>
      <c r="B24" s="6" t="s">
        <v>17</v>
      </c>
      <c r="C24" s="2">
        <v>0.57</v>
      </c>
      <c r="D24" s="16">
        <f t="shared" si="3"/>
        <v>11.25</v>
      </c>
      <c r="E24" s="17">
        <f>D24/B1</f>
        <v>0.75</v>
      </c>
      <c r="F24" s="16">
        <f t="shared" si="4"/>
        <v>10.16</v>
      </c>
      <c r="G24" s="17">
        <f>F24/B2</f>
        <v>0.6773333333</v>
      </c>
      <c r="H24" s="15">
        <f t="shared" si="5"/>
        <v>11.21</v>
      </c>
      <c r="I24" s="14">
        <f>H24/B3</f>
        <v>0.7473333333</v>
      </c>
      <c r="J24" s="2">
        <v>0.0</v>
      </c>
      <c r="K24" s="2">
        <v>0.0</v>
      </c>
      <c r="L24" s="2">
        <v>0.0</v>
      </c>
      <c r="M24" s="7"/>
      <c r="N24" s="7"/>
    </row>
    <row r="25">
      <c r="A25" s="12">
        <v>45342.0</v>
      </c>
      <c r="B25" s="6" t="s">
        <v>27</v>
      </c>
      <c r="C25" s="2">
        <v>0.51</v>
      </c>
      <c r="D25" s="16">
        <f t="shared" si="3"/>
        <v>11.25</v>
      </c>
      <c r="E25" s="17">
        <f>D25/B1</f>
        <v>0.75</v>
      </c>
      <c r="F25" s="16">
        <f t="shared" si="4"/>
        <v>9.65</v>
      </c>
      <c r="G25" s="17">
        <f>F25/B2</f>
        <v>0.6433333333</v>
      </c>
      <c r="H25" s="15">
        <f t="shared" si="5"/>
        <v>11.21</v>
      </c>
      <c r="I25" s="14">
        <f>H25/B3</f>
        <v>0.7473333333</v>
      </c>
      <c r="J25" s="2">
        <v>0.0</v>
      </c>
      <c r="K25" s="2">
        <v>0.0</v>
      </c>
      <c r="L25" s="2">
        <v>0.0</v>
      </c>
      <c r="M25" s="7"/>
      <c r="N25" s="7"/>
    </row>
    <row r="26">
      <c r="A26" s="12">
        <v>45342.0</v>
      </c>
      <c r="B26" s="6" t="s">
        <v>28</v>
      </c>
      <c r="C26" s="2">
        <v>0.57</v>
      </c>
      <c r="D26" s="16">
        <f t="shared" si="3"/>
        <v>11.25</v>
      </c>
      <c r="E26" s="17">
        <f>D26/B1</f>
        <v>0.75</v>
      </c>
      <c r="F26" s="16">
        <f t="shared" si="4"/>
        <v>9.65</v>
      </c>
      <c r="G26" s="17">
        <f>F26/B2</f>
        <v>0.6433333333</v>
      </c>
      <c r="H26" s="15">
        <f t="shared" si="5"/>
        <v>10.64</v>
      </c>
      <c r="I26" s="14">
        <f>H26/B3</f>
        <v>0.7093333333</v>
      </c>
      <c r="J26" s="2">
        <v>0.0</v>
      </c>
      <c r="K26" s="2">
        <v>0.0</v>
      </c>
      <c r="L26" s="2">
        <v>0.0</v>
      </c>
      <c r="M26" s="7"/>
      <c r="N26" s="7"/>
    </row>
    <row r="27">
      <c r="A27" s="12">
        <v>45343.0</v>
      </c>
      <c r="B27" s="6" t="s">
        <v>17</v>
      </c>
      <c r="C27" s="2">
        <v>1.0</v>
      </c>
      <c r="D27" s="16">
        <f t="shared" si="3"/>
        <v>10.25</v>
      </c>
      <c r="E27" s="17">
        <f>D27/B1</f>
        <v>0.6833333333</v>
      </c>
      <c r="F27" s="16">
        <f t="shared" si="4"/>
        <v>9.65</v>
      </c>
      <c r="G27" s="17">
        <f>F27/B2</f>
        <v>0.6433333333</v>
      </c>
      <c r="H27" s="15">
        <f t="shared" si="5"/>
        <v>10.64</v>
      </c>
      <c r="I27" s="14">
        <f>H27/B3</f>
        <v>0.7093333333</v>
      </c>
      <c r="J27" s="2">
        <v>0.0</v>
      </c>
      <c r="K27" s="2">
        <v>0.0</v>
      </c>
      <c r="L27" s="2">
        <v>0.0</v>
      </c>
      <c r="M27" s="7"/>
      <c r="N27" s="7"/>
    </row>
    <row r="28">
      <c r="A28" s="12">
        <v>45343.0</v>
      </c>
      <c r="B28" s="6" t="s">
        <v>27</v>
      </c>
      <c r="C28" s="2">
        <v>1.0</v>
      </c>
      <c r="D28" s="16">
        <f t="shared" si="3"/>
        <v>10.25</v>
      </c>
      <c r="E28" s="17">
        <f>D28/B1</f>
        <v>0.6833333333</v>
      </c>
      <c r="F28" s="16">
        <f t="shared" si="4"/>
        <v>8.65</v>
      </c>
      <c r="G28" s="17">
        <f>F28/B2</f>
        <v>0.5766666667</v>
      </c>
      <c r="H28" s="15">
        <f t="shared" si="5"/>
        <v>10.64</v>
      </c>
      <c r="I28" s="14">
        <f>H28/B3</f>
        <v>0.7093333333</v>
      </c>
      <c r="J28" s="2">
        <v>0.0</v>
      </c>
      <c r="K28" s="2">
        <v>0.0</v>
      </c>
      <c r="L28" s="2">
        <v>0.0</v>
      </c>
      <c r="M28" s="7"/>
      <c r="N28" s="7"/>
    </row>
    <row r="29">
      <c r="A29" s="12">
        <v>45343.0</v>
      </c>
      <c r="B29" s="6" t="s">
        <v>28</v>
      </c>
      <c r="C29" s="2">
        <v>1.0</v>
      </c>
      <c r="D29" s="16">
        <f t="shared" si="3"/>
        <v>10.25</v>
      </c>
      <c r="E29" s="17">
        <f>D29/B1</f>
        <v>0.6833333333</v>
      </c>
      <c r="F29" s="16">
        <f t="shared" si="4"/>
        <v>8.65</v>
      </c>
      <c r="G29" s="17">
        <f>F29/B2</f>
        <v>0.5766666667</v>
      </c>
      <c r="H29" s="15">
        <f t="shared" si="5"/>
        <v>9.64</v>
      </c>
      <c r="I29" s="14">
        <f>H29/B3</f>
        <v>0.6426666667</v>
      </c>
      <c r="J29" s="2">
        <v>0.0</v>
      </c>
      <c r="K29" s="2">
        <v>0.0</v>
      </c>
      <c r="L29" s="2">
        <v>0.0</v>
      </c>
      <c r="M29" s="7"/>
      <c r="N29" s="7"/>
    </row>
    <row r="30">
      <c r="A30" s="12">
        <v>45344.0</v>
      </c>
      <c r="B30" s="6" t="s">
        <v>17</v>
      </c>
      <c r="C30" s="2">
        <v>0.99</v>
      </c>
      <c r="D30" s="16">
        <f t="shared" si="3"/>
        <v>9.26</v>
      </c>
      <c r="E30" s="17">
        <f>D30/B1</f>
        <v>0.6173333333</v>
      </c>
      <c r="F30" s="16">
        <f t="shared" si="4"/>
        <v>8.65</v>
      </c>
      <c r="G30" s="17">
        <f>F30/B2</f>
        <v>0.5766666667</v>
      </c>
      <c r="H30" s="15">
        <f t="shared" si="5"/>
        <v>9.64</v>
      </c>
      <c r="I30" s="14">
        <f>H30/B3</f>
        <v>0.6426666667</v>
      </c>
      <c r="J30" s="2">
        <v>0.0</v>
      </c>
      <c r="K30" s="2">
        <v>0.0</v>
      </c>
      <c r="L30" s="2">
        <v>0.0</v>
      </c>
      <c r="M30" s="7"/>
      <c r="N30" s="7"/>
    </row>
    <row r="31">
      <c r="A31" s="12">
        <v>45344.0</v>
      </c>
      <c r="B31" s="6" t="s">
        <v>27</v>
      </c>
      <c r="C31" s="2">
        <v>0.46</v>
      </c>
      <c r="D31" s="16">
        <f t="shared" si="3"/>
        <v>9.26</v>
      </c>
      <c r="E31" s="17">
        <f>D31/B1</f>
        <v>0.6173333333</v>
      </c>
      <c r="F31" s="16">
        <f t="shared" si="4"/>
        <v>8.19</v>
      </c>
      <c r="G31" s="17">
        <f>F31/B2</f>
        <v>0.546</v>
      </c>
      <c r="H31" s="15">
        <f t="shared" si="5"/>
        <v>9.64</v>
      </c>
      <c r="I31" s="14">
        <f>H31/B3</f>
        <v>0.6426666667</v>
      </c>
      <c r="J31" s="2">
        <v>0.0</v>
      </c>
      <c r="K31" s="2">
        <v>0.0</v>
      </c>
      <c r="L31" s="2">
        <v>0.0</v>
      </c>
      <c r="M31" s="7"/>
      <c r="N31" s="7"/>
    </row>
    <row r="32">
      <c r="A32" s="12">
        <v>45344.0</v>
      </c>
      <c r="B32" s="6" t="s">
        <v>28</v>
      </c>
      <c r="C32" s="2">
        <v>0.5</v>
      </c>
      <c r="D32" s="16">
        <f t="shared" si="3"/>
        <v>9.26</v>
      </c>
      <c r="E32" s="17">
        <f>D32/B1</f>
        <v>0.6173333333</v>
      </c>
      <c r="F32" s="16">
        <f t="shared" si="4"/>
        <v>8.19</v>
      </c>
      <c r="G32" s="17">
        <f>F32/B2</f>
        <v>0.546</v>
      </c>
      <c r="H32" s="15">
        <f t="shared" si="5"/>
        <v>9.14</v>
      </c>
      <c r="I32" s="14">
        <f>H32/B3</f>
        <v>0.6093333333</v>
      </c>
      <c r="J32" s="2">
        <v>0.0</v>
      </c>
      <c r="K32" s="2">
        <v>0.0</v>
      </c>
      <c r="L32" s="2">
        <v>0.0</v>
      </c>
      <c r="M32" s="7"/>
      <c r="N32" s="7"/>
    </row>
    <row r="33">
      <c r="A33" s="12">
        <v>45345.0</v>
      </c>
      <c r="B33" s="6" t="s">
        <v>17</v>
      </c>
      <c r="C33" s="2">
        <v>0.4</v>
      </c>
      <c r="D33" s="16">
        <f t="shared" si="3"/>
        <v>8.86</v>
      </c>
      <c r="E33" s="17">
        <f>D33/B1</f>
        <v>0.5906666667</v>
      </c>
      <c r="F33" s="16">
        <f t="shared" si="4"/>
        <v>8.19</v>
      </c>
      <c r="G33" s="17">
        <f>F33/B2</f>
        <v>0.546</v>
      </c>
      <c r="H33" s="15">
        <f t="shared" si="5"/>
        <v>9.14</v>
      </c>
      <c r="I33" s="14">
        <f>H33/B3</f>
        <v>0.6093333333</v>
      </c>
      <c r="J33" s="2">
        <v>0.0</v>
      </c>
      <c r="K33" s="2">
        <v>0.0</v>
      </c>
      <c r="L33" s="2">
        <v>0.0</v>
      </c>
      <c r="M33" s="7"/>
      <c r="N33" s="7"/>
    </row>
    <row r="34">
      <c r="A34" s="12">
        <v>45345.0</v>
      </c>
      <c r="B34" s="6" t="s">
        <v>27</v>
      </c>
      <c r="C34" s="2">
        <v>0.0</v>
      </c>
      <c r="D34" s="16">
        <f t="shared" si="3"/>
        <v>8.86</v>
      </c>
      <c r="E34" s="17">
        <f>D34/B1</f>
        <v>0.5906666667</v>
      </c>
      <c r="F34" s="16">
        <f t="shared" si="4"/>
        <v>8.19</v>
      </c>
      <c r="G34" s="17">
        <f>F34/B2</f>
        <v>0.546</v>
      </c>
      <c r="H34" s="15">
        <f t="shared" si="5"/>
        <v>9.14</v>
      </c>
      <c r="I34" s="14">
        <f>H34/B3</f>
        <v>0.6093333333</v>
      </c>
      <c r="J34" s="2">
        <v>0.0</v>
      </c>
      <c r="K34" s="2">
        <v>0.0</v>
      </c>
      <c r="L34" s="2">
        <v>0.0</v>
      </c>
      <c r="M34" s="7"/>
      <c r="N34" s="7"/>
    </row>
    <row r="35">
      <c r="A35" s="12">
        <v>45345.0</v>
      </c>
      <c r="B35" s="6" t="s">
        <v>28</v>
      </c>
      <c r="C35" s="2">
        <v>0.0</v>
      </c>
      <c r="D35" s="16">
        <f t="shared" si="3"/>
        <v>8.86</v>
      </c>
      <c r="E35" s="17">
        <f>D35/B1</f>
        <v>0.5906666667</v>
      </c>
      <c r="F35" s="16">
        <f t="shared" si="4"/>
        <v>8.19</v>
      </c>
      <c r="G35" s="17">
        <f>F35/B2</f>
        <v>0.546</v>
      </c>
      <c r="H35" s="15">
        <f t="shared" si="5"/>
        <v>9.14</v>
      </c>
      <c r="I35" s="14">
        <f>H35/B3</f>
        <v>0.6093333333</v>
      </c>
      <c r="J35" s="2">
        <v>0.0</v>
      </c>
      <c r="K35" s="2">
        <v>0.0</v>
      </c>
      <c r="L35" s="2">
        <v>0.0</v>
      </c>
      <c r="M35" s="7"/>
      <c r="N35" s="7"/>
    </row>
    <row r="36">
      <c r="A36" s="12">
        <v>45346.0</v>
      </c>
      <c r="B36" s="6" t="s">
        <v>17</v>
      </c>
      <c r="C36" s="2">
        <v>0.52</v>
      </c>
      <c r="D36" s="16">
        <f t="shared" si="3"/>
        <v>8.34</v>
      </c>
      <c r="E36" s="17">
        <f>D36/B1</f>
        <v>0.556</v>
      </c>
      <c r="F36" s="16">
        <f t="shared" si="4"/>
        <v>8.19</v>
      </c>
      <c r="G36" s="17">
        <f>F36/B2</f>
        <v>0.546</v>
      </c>
      <c r="H36" s="15">
        <f t="shared" si="5"/>
        <v>9.14</v>
      </c>
      <c r="I36" s="14">
        <f>H36/B3</f>
        <v>0.6093333333</v>
      </c>
      <c r="J36" s="2">
        <v>0.0</v>
      </c>
      <c r="K36" s="2">
        <v>0.0</v>
      </c>
      <c r="L36" s="2">
        <v>0.0</v>
      </c>
      <c r="M36" s="7"/>
      <c r="N36" s="7"/>
    </row>
    <row r="37">
      <c r="A37" s="12">
        <v>45346.0</v>
      </c>
      <c r="B37" s="6" t="s">
        <v>27</v>
      </c>
      <c r="C37" s="2">
        <v>1.0</v>
      </c>
      <c r="D37" s="16">
        <f t="shared" si="3"/>
        <v>8.34</v>
      </c>
      <c r="E37" s="17">
        <f>D37/B1</f>
        <v>0.556</v>
      </c>
      <c r="F37" s="16">
        <f t="shared" si="4"/>
        <v>7.19</v>
      </c>
      <c r="G37" s="17">
        <f>F37/B2</f>
        <v>0.4793333333</v>
      </c>
      <c r="H37" s="15">
        <f t="shared" si="5"/>
        <v>9.14</v>
      </c>
      <c r="I37" s="14">
        <f>H37/B3</f>
        <v>0.6093333333</v>
      </c>
      <c r="J37" s="2">
        <v>0.0</v>
      </c>
      <c r="K37" s="2">
        <v>0.0</v>
      </c>
      <c r="L37" s="2">
        <v>0.0</v>
      </c>
      <c r="M37" s="7"/>
      <c r="N37" s="7"/>
    </row>
    <row r="38">
      <c r="A38" s="12">
        <v>45346.0</v>
      </c>
      <c r="B38" s="6" t="s">
        <v>28</v>
      </c>
      <c r="C38" s="2">
        <v>1.0</v>
      </c>
      <c r="D38" s="16">
        <f t="shared" si="3"/>
        <v>8.34</v>
      </c>
      <c r="E38" s="17">
        <f>D38/B1</f>
        <v>0.556</v>
      </c>
      <c r="F38" s="16">
        <f t="shared" si="4"/>
        <v>7.19</v>
      </c>
      <c r="G38" s="17">
        <f>F38/B2</f>
        <v>0.4793333333</v>
      </c>
      <c r="H38" s="15">
        <f t="shared" si="5"/>
        <v>8.14</v>
      </c>
      <c r="I38" s="14">
        <f>H38/B3</f>
        <v>0.5426666667</v>
      </c>
      <c r="J38" s="2">
        <v>0.0</v>
      </c>
      <c r="K38" s="2">
        <v>0.0</v>
      </c>
      <c r="L38" s="2">
        <v>0.0</v>
      </c>
      <c r="M38" s="7"/>
      <c r="N38" s="7"/>
    </row>
    <row r="39">
      <c r="A39" s="12">
        <v>45347.0</v>
      </c>
      <c r="B39" s="6" t="s">
        <v>17</v>
      </c>
      <c r="C39" s="2">
        <v>0.73</v>
      </c>
      <c r="D39" s="16">
        <f t="shared" si="3"/>
        <v>7.61</v>
      </c>
      <c r="E39" s="17">
        <f>D39/B1</f>
        <v>0.5073333333</v>
      </c>
      <c r="F39" s="16">
        <f t="shared" si="4"/>
        <v>7.19</v>
      </c>
      <c r="G39" s="17">
        <f>F39/B2</f>
        <v>0.4793333333</v>
      </c>
      <c r="H39" s="15">
        <f t="shared" si="5"/>
        <v>8.14</v>
      </c>
      <c r="I39" s="14">
        <f>H39/B3</f>
        <v>0.5426666667</v>
      </c>
      <c r="J39" s="2">
        <v>0.0</v>
      </c>
      <c r="K39" s="2">
        <v>0.0</v>
      </c>
      <c r="L39" s="2">
        <v>0.0</v>
      </c>
      <c r="M39" s="7"/>
      <c r="N39" s="7"/>
    </row>
    <row r="40">
      <c r="A40" s="12">
        <v>45347.0</v>
      </c>
      <c r="B40" s="6" t="s">
        <v>27</v>
      </c>
      <c r="C40" s="2">
        <v>0.75</v>
      </c>
      <c r="D40" s="16">
        <f t="shared" si="3"/>
        <v>7.61</v>
      </c>
      <c r="E40" s="17">
        <f>D40/B1</f>
        <v>0.5073333333</v>
      </c>
      <c r="F40" s="16">
        <f t="shared" si="4"/>
        <v>6.44</v>
      </c>
      <c r="G40" s="17">
        <f>F40/B2</f>
        <v>0.4293333333</v>
      </c>
      <c r="H40" s="15">
        <f t="shared" si="5"/>
        <v>8.14</v>
      </c>
      <c r="I40" s="14">
        <f>H40/B3</f>
        <v>0.5426666667</v>
      </c>
      <c r="J40" s="2">
        <v>0.0</v>
      </c>
      <c r="K40" s="2">
        <v>0.0</v>
      </c>
      <c r="L40" s="2">
        <v>0.0</v>
      </c>
      <c r="M40" s="7"/>
      <c r="N40" s="7"/>
    </row>
    <row r="41">
      <c r="A41" s="12">
        <v>45347.0</v>
      </c>
      <c r="B41" s="6" t="s">
        <v>28</v>
      </c>
      <c r="C41" s="2">
        <v>0.74</v>
      </c>
      <c r="D41" s="16">
        <f t="shared" si="3"/>
        <v>7.61</v>
      </c>
      <c r="E41" s="17">
        <f>D41/B1</f>
        <v>0.5073333333</v>
      </c>
      <c r="F41" s="16">
        <f t="shared" si="4"/>
        <v>6.44</v>
      </c>
      <c r="G41" s="17">
        <f>F41/B2</f>
        <v>0.4293333333</v>
      </c>
      <c r="H41" s="15">
        <f t="shared" si="5"/>
        <v>7.4</v>
      </c>
      <c r="I41" s="14">
        <f>H41/B3</f>
        <v>0.4933333333</v>
      </c>
      <c r="J41" s="2">
        <v>0.0</v>
      </c>
      <c r="K41" s="2">
        <v>0.0</v>
      </c>
      <c r="L41" s="2">
        <v>0.0</v>
      </c>
      <c r="M41" s="7"/>
      <c r="N41" s="7"/>
    </row>
    <row r="42">
      <c r="A42" s="12">
        <v>45348.0</v>
      </c>
      <c r="B42" s="6" t="s">
        <v>17</v>
      </c>
      <c r="C42" s="2">
        <v>0.68</v>
      </c>
      <c r="D42" s="16">
        <f t="shared" si="3"/>
        <v>6.93</v>
      </c>
      <c r="E42" s="17">
        <f>D42/B1</f>
        <v>0.462</v>
      </c>
      <c r="F42" s="16">
        <f t="shared" si="4"/>
        <v>6.44</v>
      </c>
      <c r="G42" s="17">
        <f>F42/B2</f>
        <v>0.4293333333</v>
      </c>
      <c r="H42" s="15">
        <f t="shared" si="5"/>
        <v>7.4</v>
      </c>
      <c r="I42" s="14">
        <f>H42/B3</f>
        <v>0.4933333333</v>
      </c>
      <c r="J42" s="2">
        <v>0.0</v>
      </c>
      <c r="K42" s="2">
        <v>0.0</v>
      </c>
      <c r="L42" s="2">
        <v>0.0</v>
      </c>
      <c r="M42" s="7"/>
      <c r="N42" s="7"/>
    </row>
    <row r="43">
      <c r="A43" s="12">
        <v>45348.0</v>
      </c>
      <c r="B43" s="6" t="s">
        <v>27</v>
      </c>
      <c r="C43" s="2">
        <v>0.0</v>
      </c>
      <c r="D43" s="16">
        <f t="shared" si="3"/>
        <v>6.93</v>
      </c>
      <c r="E43" s="17">
        <f>D43/B1</f>
        <v>0.462</v>
      </c>
      <c r="F43" s="16">
        <f t="shared" si="4"/>
        <v>6.44</v>
      </c>
      <c r="G43" s="17">
        <f>F43/B2</f>
        <v>0.4293333333</v>
      </c>
      <c r="H43" s="15">
        <f t="shared" si="5"/>
        <v>7.4</v>
      </c>
      <c r="I43" s="14">
        <f>H43/B3</f>
        <v>0.4933333333</v>
      </c>
      <c r="J43" s="2">
        <v>0.0</v>
      </c>
      <c r="K43" s="2">
        <v>0.0</v>
      </c>
      <c r="L43" s="2">
        <v>0.0</v>
      </c>
      <c r="M43" s="7"/>
      <c r="N43" s="7"/>
    </row>
    <row r="44">
      <c r="A44" s="12">
        <v>45348.0</v>
      </c>
      <c r="B44" s="6" t="s">
        <v>28</v>
      </c>
      <c r="C44" s="2">
        <v>0.59</v>
      </c>
      <c r="D44" s="16">
        <f t="shared" si="3"/>
        <v>6.93</v>
      </c>
      <c r="E44" s="17">
        <f>D44/B1</f>
        <v>0.462</v>
      </c>
      <c r="F44" s="16">
        <f t="shared" si="4"/>
        <v>6.44</v>
      </c>
      <c r="G44" s="17">
        <f>F44/B2</f>
        <v>0.4293333333</v>
      </c>
      <c r="H44" s="15">
        <f t="shared" si="5"/>
        <v>6.81</v>
      </c>
      <c r="I44" s="14">
        <f>H44/B3</f>
        <v>0.454</v>
      </c>
      <c r="J44" s="2">
        <v>0.0</v>
      </c>
      <c r="K44" s="2">
        <v>0.0</v>
      </c>
      <c r="L44" s="2">
        <v>0.0</v>
      </c>
      <c r="M44" s="7"/>
      <c r="N44" s="7"/>
    </row>
    <row r="45">
      <c r="A45" s="12">
        <v>45349.0</v>
      </c>
      <c r="B45" s="6" t="s">
        <v>17</v>
      </c>
      <c r="C45" s="2">
        <v>0.6</v>
      </c>
      <c r="D45" s="16">
        <f t="shared" si="3"/>
        <v>6.33</v>
      </c>
      <c r="E45" s="17">
        <f>D45/B1</f>
        <v>0.422</v>
      </c>
      <c r="F45" s="16">
        <f t="shared" si="4"/>
        <v>6.44</v>
      </c>
      <c r="G45" s="17">
        <f>F45/B2</f>
        <v>0.4293333333</v>
      </c>
      <c r="H45" s="15">
        <f t="shared" si="5"/>
        <v>6.81</v>
      </c>
      <c r="I45" s="14">
        <f>H45/B3</f>
        <v>0.454</v>
      </c>
      <c r="J45" s="2">
        <v>0.0</v>
      </c>
      <c r="K45" s="2">
        <v>0.0</v>
      </c>
      <c r="L45" s="2">
        <v>0.0</v>
      </c>
      <c r="M45" s="7"/>
      <c r="N45" s="7"/>
    </row>
    <row r="46">
      <c r="A46" s="12">
        <v>45349.0</v>
      </c>
      <c r="B46" s="6" t="s">
        <v>27</v>
      </c>
      <c r="C46" s="2">
        <v>0.48</v>
      </c>
      <c r="D46" s="16">
        <f t="shared" si="3"/>
        <v>6.33</v>
      </c>
      <c r="E46" s="17">
        <f>D46/B1</f>
        <v>0.422</v>
      </c>
      <c r="F46" s="16">
        <f t="shared" si="4"/>
        <v>5.96</v>
      </c>
      <c r="G46" s="17">
        <f>F46/B2</f>
        <v>0.3973333333</v>
      </c>
      <c r="H46" s="15">
        <f t="shared" si="5"/>
        <v>6.81</v>
      </c>
      <c r="I46" s="14">
        <f>H46/B3</f>
        <v>0.454</v>
      </c>
      <c r="J46" s="2">
        <v>0.0</v>
      </c>
      <c r="K46" s="2">
        <v>0.0</v>
      </c>
      <c r="L46" s="2">
        <v>0.0</v>
      </c>
      <c r="M46" s="7"/>
      <c r="N46" s="7"/>
    </row>
    <row r="47">
      <c r="A47" s="12">
        <v>45349.0</v>
      </c>
      <c r="B47" s="6" t="s">
        <v>28</v>
      </c>
      <c r="C47" s="2">
        <v>0.57</v>
      </c>
      <c r="D47" s="16">
        <f t="shared" si="3"/>
        <v>6.33</v>
      </c>
      <c r="E47" s="17">
        <f>D47/B1</f>
        <v>0.422</v>
      </c>
      <c r="F47" s="16">
        <f t="shared" si="4"/>
        <v>5.96</v>
      </c>
      <c r="G47" s="17">
        <f>F47/B2</f>
        <v>0.3973333333</v>
      </c>
      <c r="H47" s="15">
        <f t="shared" si="5"/>
        <v>6.24</v>
      </c>
      <c r="I47" s="14">
        <f>H47/B3</f>
        <v>0.416</v>
      </c>
      <c r="J47" s="2">
        <v>0.0</v>
      </c>
      <c r="K47" s="2">
        <v>0.0</v>
      </c>
      <c r="L47" s="2">
        <v>0.0</v>
      </c>
      <c r="M47" s="7"/>
      <c r="N47" s="7"/>
    </row>
    <row r="48">
      <c r="A48" s="12">
        <v>45350.0</v>
      </c>
      <c r="B48" s="6" t="s">
        <v>17</v>
      </c>
      <c r="C48" s="2">
        <v>0.57</v>
      </c>
      <c r="D48" s="16">
        <f t="shared" si="3"/>
        <v>5.76</v>
      </c>
      <c r="E48" s="17">
        <f>D48/B1</f>
        <v>0.384</v>
      </c>
      <c r="F48" s="16">
        <f t="shared" si="4"/>
        <v>5.96</v>
      </c>
      <c r="G48" s="17">
        <f>F48/B2</f>
        <v>0.3973333333</v>
      </c>
      <c r="H48" s="15">
        <f t="shared" si="5"/>
        <v>6.24</v>
      </c>
      <c r="I48" s="14">
        <f>H48/B3</f>
        <v>0.416</v>
      </c>
      <c r="J48" s="2">
        <v>0.0</v>
      </c>
      <c r="K48" s="2">
        <v>0.0</v>
      </c>
      <c r="L48" s="2">
        <v>0.0</v>
      </c>
      <c r="M48" s="7"/>
      <c r="N48" s="7"/>
    </row>
    <row r="49">
      <c r="A49" s="12">
        <v>45350.0</v>
      </c>
      <c r="B49" s="6" t="s">
        <v>27</v>
      </c>
      <c r="C49" s="2">
        <v>0.0</v>
      </c>
      <c r="D49" s="16">
        <f t="shared" si="3"/>
        <v>5.76</v>
      </c>
      <c r="E49" s="17">
        <f>D49/B1</f>
        <v>0.384</v>
      </c>
      <c r="F49" s="16">
        <f t="shared" si="4"/>
        <v>5.96</v>
      </c>
      <c r="G49" s="17">
        <f>F49/B2</f>
        <v>0.3973333333</v>
      </c>
      <c r="H49" s="15">
        <f t="shared" si="5"/>
        <v>6.24</v>
      </c>
      <c r="I49" s="14">
        <f>H49/B3</f>
        <v>0.416</v>
      </c>
      <c r="J49" s="2">
        <v>0.0</v>
      </c>
      <c r="K49" s="2">
        <v>0.0</v>
      </c>
      <c r="L49" s="2">
        <v>0.0</v>
      </c>
      <c r="M49" s="7"/>
      <c r="N49" s="7"/>
    </row>
    <row r="50">
      <c r="A50" s="12">
        <v>45350.0</v>
      </c>
      <c r="B50" s="6" t="s">
        <v>28</v>
      </c>
      <c r="C50" s="2">
        <v>0.0</v>
      </c>
      <c r="D50" s="16">
        <f t="shared" si="3"/>
        <v>5.76</v>
      </c>
      <c r="E50" s="17">
        <f>D50/B1</f>
        <v>0.384</v>
      </c>
      <c r="F50" s="16">
        <f t="shared" si="4"/>
        <v>5.96</v>
      </c>
      <c r="G50" s="17">
        <f>F50/B2</f>
        <v>0.3973333333</v>
      </c>
      <c r="H50" s="15">
        <f t="shared" si="5"/>
        <v>6.24</v>
      </c>
      <c r="I50" s="14">
        <f>H50/B3</f>
        <v>0.416</v>
      </c>
      <c r="J50" s="2">
        <v>0.0</v>
      </c>
      <c r="K50" s="2">
        <v>0.0</v>
      </c>
      <c r="L50" s="2">
        <v>0.0</v>
      </c>
      <c r="M50" s="7"/>
      <c r="N50" s="7"/>
    </row>
    <row r="51">
      <c r="A51" s="12">
        <v>45351.0</v>
      </c>
      <c r="B51" s="6" t="s">
        <v>17</v>
      </c>
      <c r="C51" s="2">
        <v>1.25</v>
      </c>
      <c r="D51" s="16">
        <f t="shared" si="3"/>
        <v>4.51</v>
      </c>
      <c r="E51" s="17">
        <f>D51/B1</f>
        <v>0.3006666667</v>
      </c>
      <c r="F51" s="16">
        <f t="shared" si="4"/>
        <v>5.96</v>
      </c>
      <c r="G51" s="17">
        <f>F51/B2</f>
        <v>0.3973333333</v>
      </c>
      <c r="H51" s="15">
        <f t="shared" si="5"/>
        <v>6.24</v>
      </c>
      <c r="I51" s="14">
        <f>H51/B3</f>
        <v>0.416</v>
      </c>
      <c r="J51" s="2">
        <v>0.0</v>
      </c>
      <c r="K51" s="2">
        <v>0.0</v>
      </c>
      <c r="L51" s="2">
        <v>0.0</v>
      </c>
      <c r="M51" s="7"/>
      <c r="N51" s="7"/>
    </row>
    <row r="52">
      <c r="A52" s="12">
        <v>45351.0</v>
      </c>
      <c r="B52" s="6" t="s">
        <v>27</v>
      </c>
      <c r="C52" s="2">
        <v>0.6</v>
      </c>
      <c r="D52" s="16">
        <f t="shared" si="3"/>
        <v>4.51</v>
      </c>
      <c r="E52" s="17">
        <f>D52/B1</f>
        <v>0.3006666667</v>
      </c>
      <c r="F52" s="16">
        <f t="shared" si="4"/>
        <v>5.36</v>
      </c>
      <c r="G52" s="17">
        <f>F52/B2</f>
        <v>0.3573333333</v>
      </c>
      <c r="H52" s="15">
        <f t="shared" si="5"/>
        <v>6.24</v>
      </c>
      <c r="I52" s="14">
        <f>H52/B3</f>
        <v>0.416</v>
      </c>
      <c r="J52" s="2">
        <v>0.0</v>
      </c>
      <c r="K52" s="2">
        <v>0.0</v>
      </c>
      <c r="L52" s="2">
        <v>0.0</v>
      </c>
      <c r="M52" s="7"/>
      <c r="N52" s="7"/>
    </row>
    <row r="53">
      <c r="A53" s="12">
        <v>45351.0</v>
      </c>
      <c r="B53" s="6" t="s">
        <v>28</v>
      </c>
      <c r="C53" s="2">
        <v>1.11</v>
      </c>
      <c r="D53" s="16">
        <f t="shared" si="3"/>
        <v>4.51</v>
      </c>
      <c r="E53" s="17">
        <f>D53/B1</f>
        <v>0.3006666667</v>
      </c>
      <c r="F53" s="16">
        <f t="shared" si="4"/>
        <v>5.36</v>
      </c>
      <c r="G53" s="17">
        <f>F53/B2</f>
        <v>0.3573333333</v>
      </c>
      <c r="H53" s="15">
        <f t="shared" si="5"/>
        <v>5.13</v>
      </c>
      <c r="I53" s="14">
        <f>H53/B3</f>
        <v>0.342</v>
      </c>
      <c r="J53" s="2">
        <v>0.0</v>
      </c>
      <c r="K53" s="2">
        <v>0.0</v>
      </c>
      <c r="L53" s="2">
        <v>0.0</v>
      </c>
      <c r="M53" s="7"/>
      <c r="N53" s="7"/>
    </row>
    <row r="54">
      <c r="A54" s="12">
        <v>45352.0</v>
      </c>
      <c r="B54" s="6" t="s">
        <v>17</v>
      </c>
      <c r="C54" s="2">
        <v>0.65</v>
      </c>
      <c r="D54" s="16">
        <f t="shared" si="3"/>
        <v>3.86</v>
      </c>
      <c r="E54" s="17">
        <f>D54/B1</f>
        <v>0.2573333333</v>
      </c>
      <c r="F54" s="16">
        <f t="shared" si="4"/>
        <v>5.36</v>
      </c>
      <c r="G54" s="17">
        <f>F54/B2</f>
        <v>0.3573333333</v>
      </c>
      <c r="H54" s="15">
        <f t="shared" si="5"/>
        <v>5.13</v>
      </c>
      <c r="I54" s="14">
        <f>H54/B3</f>
        <v>0.342</v>
      </c>
      <c r="J54" s="2">
        <v>0.0</v>
      </c>
      <c r="K54" s="2">
        <v>0.0</v>
      </c>
      <c r="L54" s="2">
        <v>0.0</v>
      </c>
      <c r="M54" s="7"/>
      <c r="N54" s="7"/>
    </row>
    <row r="55">
      <c r="A55" s="12">
        <v>45352.0</v>
      </c>
      <c r="B55" s="6" t="s">
        <v>27</v>
      </c>
      <c r="C55" s="2">
        <v>0.7</v>
      </c>
      <c r="D55" s="16">
        <f t="shared" si="3"/>
        <v>3.86</v>
      </c>
      <c r="E55" s="17">
        <f>D55/B1</f>
        <v>0.2573333333</v>
      </c>
      <c r="F55" s="16">
        <f t="shared" si="4"/>
        <v>4.66</v>
      </c>
      <c r="G55" s="17">
        <f>F55/B2</f>
        <v>0.3106666667</v>
      </c>
      <c r="H55" s="15">
        <f t="shared" si="5"/>
        <v>5.13</v>
      </c>
      <c r="I55" s="14">
        <f>H55/B3</f>
        <v>0.342</v>
      </c>
      <c r="J55" s="2">
        <v>0.0</v>
      </c>
      <c r="K55" s="2">
        <v>0.0</v>
      </c>
      <c r="L55" s="2">
        <v>0.0</v>
      </c>
      <c r="M55" s="7"/>
      <c r="N55" s="7"/>
    </row>
    <row r="56">
      <c r="A56" s="12">
        <v>45352.0</v>
      </c>
      <c r="B56" s="6" t="s">
        <v>28</v>
      </c>
      <c r="C56" s="2">
        <v>0.71</v>
      </c>
      <c r="D56" s="16">
        <f t="shared" si="3"/>
        <v>3.86</v>
      </c>
      <c r="E56" s="17">
        <f>D56/B1</f>
        <v>0.2573333333</v>
      </c>
      <c r="F56" s="16">
        <f t="shared" si="4"/>
        <v>4.66</v>
      </c>
      <c r="G56" s="17">
        <f>F56/B2</f>
        <v>0.3106666667</v>
      </c>
      <c r="H56" s="15">
        <f t="shared" si="5"/>
        <v>4.42</v>
      </c>
      <c r="I56" s="14">
        <f>H56/B3</f>
        <v>0.2946666667</v>
      </c>
      <c r="J56" s="2">
        <v>0.0</v>
      </c>
      <c r="K56" s="2">
        <v>0.0</v>
      </c>
      <c r="L56" s="2">
        <v>0.0</v>
      </c>
      <c r="M56" s="7"/>
      <c r="N56" s="7"/>
    </row>
    <row r="57">
      <c r="A57" s="12">
        <v>45353.0</v>
      </c>
      <c r="B57" s="6" t="s">
        <v>17</v>
      </c>
      <c r="C57" s="2">
        <v>0.52</v>
      </c>
      <c r="D57" s="16">
        <f t="shared" si="3"/>
        <v>3.34</v>
      </c>
      <c r="E57" s="17">
        <f>D57/B1</f>
        <v>0.2226666667</v>
      </c>
      <c r="F57" s="16">
        <f t="shared" si="4"/>
        <v>4.66</v>
      </c>
      <c r="G57" s="17">
        <f>F57/B2</f>
        <v>0.3106666667</v>
      </c>
      <c r="H57" s="15">
        <f t="shared" si="5"/>
        <v>4.42</v>
      </c>
      <c r="I57" s="14">
        <f>H57/B3</f>
        <v>0.2946666667</v>
      </c>
      <c r="J57" s="2">
        <v>0.0</v>
      </c>
      <c r="K57" s="2">
        <v>0.0</v>
      </c>
      <c r="L57" s="2">
        <v>0.0</v>
      </c>
      <c r="M57" s="7"/>
      <c r="N57" s="7"/>
    </row>
    <row r="58">
      <c r="A58" s="12">
        <v>45353.0</v>
      </c>
      <c r="B58" s="6" t="s">
        <v>27</v>
      </c>
      <c r="C58" s="2">
        <v>0.57</v>
      </c>
      <c r="D58" s="16">
        <f t="shared" si="3"/>
        <v>3.34</v>
      </c>
      <c r="E58" s="17">
        <f>D58/B1</f>
        <v>0.2226666667</v>
      </c>
      <c r="F58" s="16">
        <f t="shared" si="4"/>
        <v>4.09</v>
      </c>
      <c r="G58" s="17">
        <f>F58/B2</f>
        <v>0.2726666667</v>
      </c>
      <c r="H58" s="15">
        <f t="shared" si="5"/>
        <v>4.42</v>
      </c>
      <c r="I58" s="14">
        <f>H58/B3</f>
        <v>0.2946666667</v>
      </c>
      <c r="J58" s="2">
        <v>0.0</v>
      </c>
      <c r="K58" s="2">
        <v>0.0</v>
      </c>
      <c r="L58" s="2">
        <v>0.0</v>
      </c>
      <c r="M58" s="7"/>
      <c r="N58" s="7"/>
    </row>
    <row r="59">
      <c r="A59" s="12">
        <v>45353.0</v>
      </c>
      <c r="B59" s="6" t="s">
        <v>28</v>
      </c>
      <c r="C59" s="2">
        <v>0.52</v>
      </c>
      <c r="D59" s="16">
        <f t="shared" si="3"/>
        <v>3.34</v>
      </c>
      <c r="E59" s="17">
        <f>D59/B1</f>
        <v>0.2226666667</v>
      </c>
      <c r="F59" s="16">
        <f t="shared" si="4"/>
        <v>4.09</v>
      </c>
      <c r="G59" s="17">
        <f>F59/B2</f>
        <v>0.2726666667</v>
      </c>
      <c r="H59" s="15">
        <f t="shared" si="5"/>
        <v>3.9</v>
      </c>
      <c r="I59" s="14">
        <f>H59/B3</f>
        <v>0.26</v>
      </c>
      <c r="J59" s="2">
        <v>0.0</v>
      </c>
      <c r="K59" s="2">
        <v>0.0</v>
      </c>
      <c r="L59" s="2">
        <v>0.0</v>
      </c>
    </row>
    <row r="60">
      <c r="A60" s="12">
        <v>45354.0</v>
      </c>
      <c r="B60" s="6" t="s">
        <v>17</v>
      </c>
      <c r="C60" s="2">
        <v>0.78</v>
      </c>
      <c r="D60" s="16">
        <f t="shared" si="3"/>
        <v>2.56</v>
      </c>
      <c r="E60" s="17">
        <f>D60/B1</f>
        <v>0.1706666667</v>
      </c>
      <c r="F60" s="16">
        <f t="shared" si="4"/>
        <v>4.09</v>
      </c>
      <c r="G60" s="17">
        <f>F60/B2</f>
        <v>0.2726666667</v>
      </c>
      <c r="H60" s="15">
        <f t="shared" si="5"/>
        <v>3.9</v>
      </c>
      <c r="I60" s="14">
        <f>H60/B3</f>
        <v>0.26</v>
      </c>
      <c r="J60" s="2">
        <v>0.0</v>
      </c>
      <c r="K60" s="2">
        <v>0.0</v>
      </c>
      <c r="L60" s="2">
        <v>0.0</v>
      </c>
    </row>
    <row r="61">
      <c r="A61" s="12">
        <v>45354.0</v>
      </c>
      <c r="B61" s="6" t="s">
        <v>27</v>
      </c>
      <c r="C61" s="2">
        <v>0.8</v>
      </c>
      <c r="D61" s="16">
        <f t="shared" si="3"/>
        <v>2.56</v>
      </c>
      <c r="E61" s="17">
        <f>D61/B1</f>
        <v>0.1706666667</v>
      </c>
      <c r="F61" s="16">
        <f t="shared" si="4"/>
        <v>3.29</v>
      </c>
      <c r="G61" s="17">
        <f>F61/B2</f>
        <v>0.2193333333</v>
      </c>
      <c r="H61" s="15">
        <f t="shared" si="5"/>
        <v>3.9</v>
      </c>
      <c r="I61" s="14">
        <f>H61/B3</f>
        <v>0.26</v>
      </c>
      <c r="J61" s="2">
        <v>0.0</v>
      </c>
      <c r="K61" s="2">
        <v>0.0</v>
      </c>
      <c r="L61" s="2">
        <v>0.0</v>
      </c>
    </row>
    <row r="62">
      <c r="A62" s="12">
        <v>45354.0</v>
      </c>
      <c r="B62" s="6" t="s">
        <v>28</v>
      </c>
      <c r="C62" s="2">
        <v>0.83</v>
      </c>
      <c r="D62" s="16">
        <f t="shared" si="3"/>
        <v>2.56</v>
      </c>
      <c r="E62" s="17">
        <f>D62/B1</f>
        <v>0.1706666667</v>
      </c>
      <c r="F62" s="16">
        <f t="shared" si="4"/>
        <v>3.29</v>
      </c>
      <c r="G62" s="17">
        <f>F62/B2</f>
        <v>0.2193333333</v>
      </c>
      <c r="H62" s="15">
        <f t="shared" si="5"/>
        <v>3.07</v>
      </c>
      <c r="I62" s="14">
        <f>H62/B3</f>
        <v>0.2046666667</v>
      </c>
      <c r="J62" s="2">
        <v>0.0</v>
      </c>
      <c r="K62" s="2">
        <v>0.0</v>
      </c>
      <c r="L62" s="2">
        <v>0.0</v>
      </c>
    </row>
    <row r="63">
      <c r="A63" s="12">
        <v>45355.0</v>
      </c>
      <c r="B63" s="6" t="s">
        <v>17</v>
      </c>
      <c r="C63" s="2">
        <v>0.6</v>
      </c>
      <c r="D63" s="16">
        <f t="shared" si="3"/>
        <v>1.96</v>
      </c>
      <c r="E63" s="17">
        <f>D63/B1</f>
        <v>0.1306666667</v>
      </c>
      <c r="F63" s="16">
        <f t="shared" si="4"/>
        <v>3.29</v>
      </c>
      <c r="G63" s="17">
        <f>F63/B2</f>
        <v>0.2193333333</v>
      </c>
      <c r="H63" s="15">
        <f t="shared" si="5"/>
        <v>3.07</v>
      </c>
      <c r="I63" s="14">
        <f>H63/B3</f>
        <v>0.2046666667</v>
      </c>
      <c r="J63" s="2">
        <v>0.0</v>
      </c>
      <c r="K63" s="2">
        <v>0.0</v>
      </c>
      <c r="L63" s="2">
        <v>0.0</v>
      </c>
    </row>
    <row r="64">
      <c r="A64" s="12">
        <v>45355.0</v>
      </c>
      <c r="B64" s="6" t="s">
        <v>27</v>
      </c>
      <c r="C64" s="2">
        <v>0.7</v>
      </c>
      <c r="D64" s="16">
        <f t="shared" si="3"/>
        <v>1.96</v>
      </c>
      <c r="E64" s="17">
        <f>D64/B1</f>
        <v>0.1306666667</v>
      </c>
      <c r="F64" s="16">
        <f t="shared" si="4"/>
        <v>2.59</v>
      </c>
      <c r="G64" s="17">
        <f>F64/B2</f>
        <v>0.1726666667</v>
      </c>
      <c r="H64" s="15">
        <f t="shared" si="5"/>
        <v>3.07</v>
      </c>
      <c r="I64" s="14">
        <f>H64/B3</f>
        <v>0.2046666667</v>
      </c>
      <c r="J64" s="2">
        <v>0.0</v>
      </c>
      <c r="K64" s="2">
        <v>0.0</v>
      </c>
      <c r="L64" s="2">
        <v>0.0</v>
      </c>
    </row>
    <row r="65">
      <c r="A65" s="12">
        <v>45355.0</v>
      </c>
      <c r="B65" s="6" t="s">
        <v>28</v>
      </c>
      <c r="C65" s="2">
        <v>0.76</v>
      </c>
      <c r="D65" s="16">
        <f t="shared" si="3"/>
        <v>1.96</v>
      </c>
      <c r="E65" s="17">
        <f>D65/B1</f>
        <v>0.1306666667</v>
      </c>
      <c r="F65" s="16">
        <f t="shared" si="4"/>
        <v>2.59</v>
      </c>
      <c r="G65" s="17">
        <f>F65/B2</f>
        <v>0.1726666667</v>
      </c>
      <c r="H65" s="15">
        <f t="shared" si="5"/>
        <v>2.31</v>
      </c>
      <c r="I65" s="14">
        <f>H65/B3</f>
        <v>0.154</v>
      </c>
      <c r="J65" s="2">
        <v>0.0</v>
      </c>
      <c r="K65" s="2">
        <v>0.0</v>
      </c>
      <c r="L65" s="2">
        <v>0.0</v>
      </c>
    </row>
    <row r="66">
      <c r="A66" s="12">
        <v>45356.0</v>
      </c>
      <c r="B66" s="6" t="s">
        <v>17</v>
      </c>
      <c r="C66" s="2">
        <v>0.0</v>
      </c>
      <c r="D66" s="16">
        <f t="shared" si="3"/>
        <v>1.96</v>
      </c>
      <c r="E66" s="17">
        <f>D66/B1</f>
        <v>0.1306666667</v>
      </c>
      <c r="F66" s="16">
        <f t="shared" si="4"/>
        <v>2.59</v>
      </c>
      <c r="G66" s="17">
        <f>F66/B2</f>
        <v>0.1726666667</v>
      </c>
      <c r="H66" s="15">
        <f t="shared" si="5"/>
        <v>2.31</v>
      </c>
      <c r="I66" s="14">
        <f>H66/B3</f>
        <v>0.154</v>
      </c>
      <c r="J66" s="2">
        <v>0.0</v>
      </c>
      <c r="K66" s="2">
        <v>0.0</v>
      </c>
      <c r="L66" s="2">
        <v>0.0</v>
      </c>
    </row>
    <row r="67">
      <c r="A67" s="12">
        <v>45356.0</v>
      </c>
      <c r="B67" s="6" t="s">
        <v>27</v>
      </c>
      <c r="C67" s="2">
        <v>0.62</v>
      </c>
      <c r="D67" s="16">
        <f t="shared" si="3"/>
        <v>1.96</v>
      </c>
      <c r="E67" s="17">
        <f>D67/B1</f>
        <v>0.1306666667</v>
      </c>
      <c r="F67" s="16">
        <f t="shared" si="4"/>
        <v>1.97</v>
      </c>
      <c r="G67" s="17">
        <f>F67/B2</f>
        <v>0.1313333333</v>
      </c>
      <c r="H67" s="15">
        <f t="shared" si="5"/>
        <v>2.31</v>
      </c>
      <c r="I67" s="14">
        <f>H67/B3</f>
        <v>0.154</v>
      </c>
      <c r="J67" s="2">
        <v>0.0</v>
      </c>
      <c r="K67" s="2">
        <v>0.0</v>
      </c>
      <c r="L67" s="2">
        <v>0.0</v>
      </c>
    </row>
    <row r="68">
      <c r="A68" s="12">
        <v>45356.0</v>
      </c>
      <c r="B68" s="6" t="s">
        <v>28</v>
      </c>
      <c r="C68" s="2">
        <v>0.69</v>
      </c>
      <c r="D68" s="16">
        <f t="shared" si="3"/>
        <v>1.96</v>
      </c>
      <c r="E68" s="17">
        <f>D68/B1</f>
        <v>0.1306666667</v>
      </c>
      <c r="F68" s="16">
        <f t="shared" si="4"/>
        <v>1.97</v>
      </c>
      <c r="G68" s="17">
        <f>F68/B2</f>
        <v>0.1313333333</v>
      </c>
      <c r="H68" s="15">
        <f t="shared" si="5"/>
        <v>1.62</v>
      </c>
      <c r="I68" s="14">
        <f>H68/B3</f>
        <v>0.108</v>
      </c>
      <c r="J68" s="2">
        <v>0.0</v>
      </c>
      <c r="K68" s="2">
        <v>0.0</v>
      </c>
      <c r="L68" s="2">
        <v>0.0</v>
      </c>
    </row>
    <row r="69">
      <c r="A69" s="12">
        <v>45357.0</v>
      </c>
      <c r="B69" s="6" t="s">
        <v>17</v>
      </c>
      <c r="C69" s="2">
        <v>0.65</v>
      </c>
      <c r="D69" s="16">
        <f t="shared" si="3"/>
        <v>1.31</v>
      </c>
      <c r="E69" s="17">
        <f>D69/B1</f>
        <v>0.08733333333</v>
      </c>
      <c r="F69" s="16">
        <f t="shared" si="4"/>
        <v>1.97</v>
      </c>
      <c r="G69" s="17">
        <f>F69/B2</f>
        <v>0.1313333333</v>
      </c>
      <c r="H69" s="15">
        <f t="shared" si="5"/>
        <v>1.62</v>
      </c>
      <c r="I69" s="14">
        <f>H69/B3</f>
        <v>0.108</v>
      </c>
      <c r="J69" s="2">
        <v>0.0</v>
      </c>
      <c r="K69" s="2">
        <v>0.0</v>
      </c>
      <c r="L69" s="2">
        <v>0.0</v>
      </c>
    </row>
    <row r="70">
      <c r="A70" s="12">
        <v>45357.0</v>
      </c>
      <c r="B70" s="6" t="s">
        <v>27</v>
      </c>
      <c r="C70" s="2">
        <v>0.66</v>
      </c>
      <c r="D70" s="16">
        <f t="shared" si="3"/>
        <v>1.31</v>
      </c>
      <c r="E70" s="17">
        <f>D70/B1</f>
        <v>0.08733333333</v>
      </c>
      <c r="F70" s="16">
        <f t="shared" si="4"/>
        <v>1.31</v>
      </c>
      <c r="G70" s="17">
        <f>F70/B2</f>
        <v>0.08733333333</v>
      </c>
      <c r="H70" s="15">
        <f t="shared" si="5"/>
        <v>1.62</v>
      </c>
      <c r="I70" s="14">
        <f>H70/B3</f>
        <v>0.108</v>
      </c>
      <c r="J70" s="2">
        <v>0.0</v>
      </c>
      <c r="K70" s="2">
        <v>0.0</v>
      </c>
      <c r="L70" s="2">
        <v>0.0</v>
      </c>
    </row>
    <row r="71">
      <c r="A71" s="12">
        <v>45357.0</v>
      </c>
      <c r="B71" s="6" t="s">
        <v>28</v>
      </c>
      <c r="C71" s="2">
        <v>0.6</v>
      </c>
      <c r="D71" s="16">
        <f t="shared" si="3"/>
        <v>1.31</v>
      </c>
      <c r="E71" s="17">
        <f>D71/B1</f>
        <v>0.08733333333</v>
      </c>
      <c r="F71" s="16">
        <f t="shared" si="4"/>
        <v>1.31</v>
      </c>
      <c r="G71" s="17">
        <f>F71/B2</f>
        <v>0.08733333333</v>
      </c>
      <c r="H71" s="15">
        <f t="shared" si="5"/>
        <v>1.02</v>
      </c>
      <c r="I71" s="14">
        <f>H71/B3</f>
        <v>0.068</v>
      </c>
      <c r="J71" s="2">
        <v>0.0</v>
      </c>
      <c r="K71" s="2">
        <v>0.0</v>
      </c>
      <c r="L71" s="2">
        <v>0.0</v>
      </c>
    </row>
    <row r="72">
      <c r="A72" s="12">
        <v>45358.0</v>
      </c>
      <c r="B72" s="6" t="s">
        <v>17</v>
      </c>
      <c r="C72" s="2">
        <v>0.63</v>
      </c>
      <c r="D72" s="16">
        <f t="shared" si="3"/>
        <v>0.68</v>
      </c>
      <c r="E72" s="17">
        <f>D72/B1</f>
        <v>0.04533333333</v>
      </c>
      <c r="F72" s="16">
        <f t="shared" si="4"/>
        <v>1.31</v>
      </c>
      <c r="G72" s="17">
        <f>F72/B2</f>
        <v>0.08733333333</v>
      </c>
      <c r="H72" s="15">
        <f t="shared" si="5"/>
        <v>1.02</v>
      </c>
      <c r="I72" s="14">
        <f>H72/B3</f>
        <v>0.068</v>
      </c>
      <c r="J72" s="2">
        <v>0.0</v>
      </c>
      <c r="K72" s="2">
        <v>0.0</v>
      </c>
      <c r="L72" s="2">
        <v>0.0</v>
      </c>
    </row>
    <row r="73">
      <c r="A73" s="12">
        <v>45358.0</v>
      </c>
      <c r="B73" s="6" t="s">
        <v>27</v>
      </c>
      <c r="C73" s="2">
        <v>0.63</v>
      </c>
      <c r="D73" s="16">
        <f t="shared" si="3"/>
        <v>0.68</v>
      </c>
      <c r="E73" s="17">
        <f>D73/B1</f>
        <v>0.04533333333</v>
      </c>
      <c r="F73" s="16">
        <f t="shared" si="4"/>
        <v>0.68</v>
      </c>
      <c r="G73" s="17">
        <f>F73/B2</f>
        <v>0.04533333333</v>
      </c>
      <c r="H73" s="15">
        <f t="shared" si="5"/>
        <v>1.02</v>
      </c>
      <c r="I73" s="14">
        <f>H73/B3</f>
        <v>0.068</v>
      </c>
      <c r="J73" s="2">
        <v>0.0</v>
      </c>
      <c r="K73" s="2">
        <v>0.0</v>
      </c>
      <c r="L73" s="2">
        <v>0.0</v>
      </c>
    </row>
    <row r="74">
      <c r="A74" s="12">
        <v>45358.0</v>
      </c>
      <c r="B74" s="6" t="s">
        <v>28</v>
      </c>
      <c r="C74" s="2">
        <v>1.02</v>
      </c>
      <c r="D74" s="16">
        <f t="shared" si="3"/>
        <v>0.68</v>
      </c>
      <c r="E74" s="17">
        <f>D74/B1</f>
        <v>0.04533333333</v>
      </c>
      <c r="F74" s="16">
        <f t="shared" si="4"/>
        <v>0.68</v>
      </c>
      <c r="G74" s="17">
        <f>F74/B2</f>
        <v>0.04533333333</v>
      </c>
      <c r="H74" s="15">
        <f t="shared" si="5"/>
        <v>0</v>
      </c>
      <c r="I74" s="14">
        <f>H74/B3</f>
        <v>0</v>
      </c>
      <c r="J74" s="2">
        <v>0.0</v>
      </c>
      <c r="K74" s="2">
        <v>0.0</v>
      </c>
      <c r="L74" s="2">
        <v>0.0</v>
      </c>
    </row>
    <row r="75">
      <c r="A75" s="12">
        <v>45359.0</v>
      </c>
      <c r="B75" s="6" t="s">
        <v>17</v>
      </c>
      <c r="C75" s="2">
        <v>0.68</v>
      </c>
      <c r="D75" s="16">
        <f t="shared" si="3"/>
        <v>0</v>
      </c>
      <c r="E75" s="17">
        <f>D75/B1</f>
        <v>0</v>
      </c>
      <c r="F75" s="16">
        <f t="shared" si="4"/>
        <v>0.68</v>
      </c>
      <c r="G75" s="17">
        <f>F75/B2</f>
        <v>0.04533333333</v>
      </c>
      <c r="H75" s="15">
        <f t="shared" si="5"/>
        <v>0</v>
      </c>
      <c r="I75" s="14">
        <f>H75/B3</f>
        <v>0</v>
      </c>
      <c r="J75" s="2">
        <v>0.0</v>
      </c>
      <c r="K75" s="2">
        <v>0.0</v>
      </c>
      <c r="L75" s="2">
        <v>0.0</v>
      </c>
    </row>
    <row r="76">
      <c r="A76" s="12">
        <v>45359.0</v>
      </c>
      <c r="B76" s="6" t="s">
        <v>27</v>
      </c>
      <c r="C76" s="2">
        <v>0.68</v>
      </c>
      <c r="D76" s="16">
        <f t="shared" si="3"/>
        <v>0</v>
      </c>
      <c r="E76" s="17">
        <f>D76/B1</f>
        <v>0</v>
      </c>
      <c r="F76" s="16">
        <f t="shared" si="4"/>
        <v>0</v>
      </c>
      <c r="G76" s="17">
        <f>F76/B2</f>
        <v>0</v>
      </c>
      <c r="H76" s="15">
        <f t="shared" si="5"/>
        <v>0</v>
      </c>
      <c r="I76" s="14">
        <f>H76/B3</f>
        <v>0</v>
      </c>
      <c r="J76" s="2">
        <v>0.0</v>
      </c>
      <c r="K76" s="2">
        <v>0.0</v>
      </c>
      <c r="L76" s="2">
        <v>0.0</v>
      </c>
    </row>
    <row r="77">
      <c r="A77" s="12">
        <v>45359.0</v>
      </c>
      <c r="B77" s="6" t="s">
        <v>28</v>
      </c>
      <c r="C77" s="2">
        <v>0.0</v>
      </c>
      <c r="D77" s="16">
        <f t="shared" si="3"/>
        <v>0</v>
      </c>
      <c r="E77" s="17">
        <f>D77/B1</f>
        <v>0</v>
      </c>
      <c r="F77" s="16">
        <f t="shared" si="4"/>
        <v>0</v>
      </c>
      <c r="G77" s="17">
        <f>F77/B2</f>
        <v>0</v>
      </c>
      <c r="H77" s="15">
        <f t="shared" si="5"/>
        <v>0</v>
      </c>
      <c r="I77" s="14">
        <f>H77/B3</f>
        <v>0</v>
      </c>
      <c r="J77" s="2">
        <v>0.0</v>
      </c>
      <c r="K77" s="2">
        <v>0.0</v>
      </c>
      <c r="L77" s="2">
        <v>0.0</v>
      </c>
    </row>
    <row r="78">
      <c r="A78" s="12">
        <v>45360.0</v>
      </c>
      <c r="B78" s="6" t="s">
        <v>17</v>
      </c>
      <c r="C78" s="2">
        <v>0.0</v>
      </c>
      <c r="D78" s="16">
        <f t="shared" si="3"/>
        <v>0</v>
      </c>
      <c r="E78" s="17">
        <f>D78/B1</f>
        <v>0</v>
      </c>
      <c r="F78" s="16">
        <f t="shared" si="4"/>
        <v>0</v>
      </c>
      <c r="G78" s="17">
        <f>F78/B2</f>
        <v>0</v>
      </c>
      <c r="H78" s="15">
        <f t="shared" si="5"/>
        <v>0</v>
      </c>
      <c r="I78" s="14">
        <f>H78/B3</f>
        <v>0</v>
      </c>
      <c r="J78" s="2">
        <v>0.0</v>
      </c>
      <c r="K78" s="2">
        <v>0.0</v>
      </c>
      <c r="L78" s="2">
        <v>0.0</v>
      </c>
    </row>
    <row r="79">
      <c r="A79" s="12">
        <v>45360.0</v>
      </c>
      <c r="B79" s="6" t="s">
        <v>27</v>
      </c>
      <c r="C79" s="2">
        <v>0.0</v>
      </c>
      <c r="D79" s="16">
        <f t="shared" si="3"/>
        <v>0</v>
      </c>
      <c r="E79" s="17">
        <f>D79/B1</f>
        <v>0</v>
      </c>
      <c r="F79" s="16">
        <f t="shared" si="4"/>
        <v>0</v>
      </c>
      <c r="G79" s="17">
        <f>F79/B2</f>
        <v>0</v>
      </c>
      <c r="H79" s="15">
        <f t="shared" si="5"/>
        <v>0</v>
      </c>
      <c r="I79" s="14">
        <f>H79/B3</f>
        <v>0</v>
      </c>
      <c r="J79" s="2">
        <v>0.0</v>
      </c>
      <c r="K79" s="2">
        <v>0.0</v>
      </c>
      <c r="L79" s="2">
        <v>0.0</v>
      </c>
    </row>
    <row r="80">
      <c r="A80" s="12">
        <v>45360.0</v>
      </c>
      <c r="B80" s="6" t="s">
        <v>28</v>
      </c>
      <c r="C80" s="2">
        <v>0.0</v>
      </c>
      <c r="D80" s="16">
        <f t="shared" si="3"/>
        <v>0</v>
      </c>
      <c r="E80" s="17">
        <f>D80/B1</f>
        <v>0</v>
      </c>
      <c r="F80" s="16">
        <f t="shared" si="4"/>
        <v>0</v>
      </c>
      <c r="G80" s="17">
        <f>F80/B2</f>
        <v>0</v>
      </c>
      <c r="H80" s="15">
        <f t="shared" si="5"/>
        <v>0</v>
      </c>
      <c r="I80" s="14">
        <f>H80/B3</f>
        <v>0</v>
      </c>
      <c r="J80" s="2">
        <v>0.0</v>
      </c>
      <c r="K80" s="2">
        <v>0.0</v>
      </c>
      <c r="L80" s="2">
        <v>0.0</v>
      </c>
    </row>
    <row r="81">
      <c r="A81" s="12">
        <v>45361.0</v>
      </c>
      <c r="B81" s="6" t="s">
        <v>17</v>
      </c>
      <c r="C81" s="2">
        <v>0.0</v>
      </c>
      <c r="D81" s="16">
        <f t="shared" si="3"/>
        <v>0</v>
      </c>
      <c r="E81" s="17">
        <f>D81/B1</f>
        <v>0</v>
      </c>
      <c r="F81" s="16">
        <f t="shared" si="4"/>
        <v>0</v>
      </c>
      <c r="G81" s="17">
        <f>F81/B2</f>
        <v>0</v>
      </c>
      <c r="H81" s="15">
        <f t="shared" si="5"/>
        <v>0</v>
      </c>
      <c r="I81" s="14">
        <f>H81/B3</f>
        <v>0</v>
      </c>
      <c r="J81" s="2">
        <v>0.0</v>
      </c>
      <c r="K81" s="2">
        <v>0.0</v>
      </c>
      <c r="L81" s="2">
        <v>0.0</v>
      </c>
    </row>
    <row r="82">
      <c r="A82" s="12">
        <v>45361.0</v>
      </c>
      <c r="B82" s="6" t="s">
        <v>27</v>
      </c>
      <c r="C82" s="2">
        <v>0.0</v>
      </c>
      <c r="D82" s="16">
        <f t="shared" si="3"/>
        <v>0</v>
      </c>
      <c r="E82" s="17">
        <f>D82/B1</f>
        <v>0</v>
      </c>
      <c r="F82" s="16">
        <f t="shared" si="4"/>
        <v>0</v>
      </c>
      <c r="G82" s="17">
        <f>F82/B2</f>
        <v>0</v>
      </c>
      <c r="H82" s="15">
        <f t="shared" si="5"/>
        <v>0</v>
      </c>
      <c r="I82" s="14">
        <f>H82/B3</f>
        <v>0</v>
      </c>
      <c r="J82" s="2">
        <v>0.0</v>
      </c>
      <c r="K82" s="2">
        <v>0.0</v>
      </c>
      <c r="L82" s="2">
        <v>0.0</v>
      </c>
    </row>
    <row r="83">
      <c r="A83" s="12">
        <v>45361.0</v>
      </c>
      <c r="B83" s="6" t="s">
        <v>28</v>
      </c>
      <c r="C83" s="2">
        <v>0.0</v>
      </c>
      <c r="D83" s="16">
        <f t="shared" si="3"/>
        <v>0</v>
      </c>
      <c r="E83" s="17">
        <f>D83/B1</f>
        <v>0</v>
      </c>
      <c r="F83" s="16">
        <f t="shared" si="4"/>
        <v>0</v>
      </c>
      <c r="G83" s="17">
        <f>F83/B2</f>
        <v>0</v>
      </c>
      <c r="H83" s="15">
        <f t="shared" si="5"/>
        <v>0</v>
      </c>
      <c r="I83" s="14">
        <f>H83/B3</f>
        <v>0</v>
      </c>
      <c r="J83" s="2">
        <v>0.0</v>
      </c>
      <c r="K83" s="2">
        <v>0.0</v>
      </c>
      <c r="L83" s="2">
        <v>0.0</v>
      </c>
    </row>
    <row r="84">
      <c r="A84" s="12">
        <v>45362.0</v>
      </c>
      <c r="B84" s="6" t="s">
        <v>17</v>
      </c>
      <c r="C84" s="2">
        <v>0.0</v>
      </c>
      <c r="D84" s="16">
        <f t="shared" si="3"/>
        <v>0</v>
      </c>
      <c r="E84" s="17">
        <f>D84/B1</f>
        <v>0</v>
      </c>
      <c r="F84" s="16">
        <f t="shared" si="4"/>
        <v>0</v>
      </c>
      <c r="G84" s="17">
        <f>F84/B2</f>
        <v>0</v>
      </c>
      <c r="H84" s="15">
        <f t="shared" si="5"/>
        <v>0</v>
      </c>
      <c r="I84" s="14">
        <f>H84/B3</f>
        <v>0</v>
      </c>
      <c r="J84" s="2">
        <v>0.0</v>
      </c>
      <c r="K84" s="2">
        <v>0.0</v>
      </c>
      <c r="L84" s="2">
        <v>0.0</v>
      </c>
    </row>
    <row r="85">
      <c r="A85" s="12">
        <v>45362.0</v>
      </c>
      <c r="B85" s="6" t="s">
        <v>27</v>
      </c>
      <c r="C85" s="2">
        <v>0.0</v>
      </c>
      <c r="D85" s="16">
        <f t="shared" si="3"/>
        <v>0</v>
      </c>
      <c r="E85" s="17">
        <f>D85/B1</f>
        <v>0</v>
      </c>
      <c r="F85" s="16">
        <f t="shared" si="4"/>
        <v>0</v>
      </c>
      <c r="G85" s="17">
        <f>F85/B2</f>
        <v>0</v>
      </c>
      <c r="H85" s="15">
        <f t="shared" si="5"/>
        <v>0</v>
      </c>
      <c r="I85" s="14">
        <f>H85/B3</f>
        <v>0</v>
      </c>
      <c r="J85" s="2">
        <v>0.0</v>
      </c>
      <c r="K85" s="2">
        <v>0.0</v>
      </c>
      <c r="L85" s="2">
        <v>0.0</v>
      </c>
    </row>
    <row r="86">
      <c r="A86" s="12">
        <v>45362.0</v>
      </c>
      <c r="B86" s="6" t="s">
        <v>28</v>
      </c>
      <c r="C86" s="2">
        <v>0.0</v>
      </c>
      <c r="D86" s="16">
        <f t="shared" si="3"/>
        <v>0</v>
      </c>
      <c r="E86" s="17">
        <f>D86/B1</f>
        <v>0</v>
      </c>
      <c r="F86" s="16">
        <f t="shared" si="4"/>
        <v>0</v>
      </c>
      <c r="G86" s="17">
        <f>F86/B2</f>
        <v>0</v>
      </c>
      <c r="H86" s="15">
        <f t="shared" si="5"/>
        <v>0</v>
      </c>
      <c r="I86" s="14">
        <f>H86/B3</f>
        <v>0</v>
      </c>
      <c r="J86" s="2">
        <v>0.0</v>
      </c>
      <c r="K86" s="2">
        <v>0.0</v>
      </c>
      <c r="L86" s="2">
        <v>0.0</v>
      </c>
    </row>
    <row r="87">
      <c r="A87" s="12">
        <v>45363.0</v>
      </c>
      <c r="B87" s="6" t="s">
        <v>17</v>
      </c>
      <c r="C87" s="2">
        <v>0.0</v>
      </c>
      <c r="D87" s="16">
        <f t="shared" si="3"/>
        <v>0</v>
      </c>
      <c r="E87" s="17">
        <f>D87/B1</f>
        <v>0</v>
      </c>
      <c r="F87" s="16">
        <f t="shared" si="4"/>
        <v>0</v>
      </c>
      <c r="G87" s="17">
        <f>F87/B2</f>
        <v>0</v>
      </c>
      <c r="H87" s="15">
        <f t="shared" si="5"/>
        <v>0</v>
      </c>
      <c r="I87" s="14">
        <f>H87/B3</f>
        <v>0</v>
      </c>
      <c r="J87" s="2">
        <v>0.0</v>
      </c>
      <c r="K87" s="2">
        <v>0.0</v>
      </c>
      <c r="L87" s="2">
        <v>0.0</v>
      </c>
    </row>
    <row r="88">
      <c r="A88" s="12">
        <v>45363.0</v>
      </c>
      <c r="B88" s="6" t="s">
        <v>27</v>
      </c>
      <c r="C88" s="2">
        <v>0.0</v>
      </c>
      <c r="D88" s="16">
        <f t="shared" si="3"/>
        <v>0</v>
      </c>
      <c r="E88" s="17">
        <f>D88/B1</f>
        <v>0</v>
      </c>
      <c r="F88" s="16">
        <f t="shared" si="4"/>
        <v>0</v>
      </c>
      <c r="G88" s="17">
        <f>F88/B2</f>
        <v>0</v>
      </c>
      <c r="H88" s="15">
        <f t="shared" si="5"/>
        <v>0</v>
      </c>
      <c r="I88" s="14">
        <f>H88/B3</f>
        <v>0</v>
      </c>
      <c r="J88" s="2">
        <v>0.0</v>
      </c>
      <c r="K88" s="2">
        <v>0.0</v>
      </c>
      <c r="L88" s="2">
        <v>0.0</v>
      </c>
    </row>
    <row r="89">
      <c r="A89" s="12">
        <v>45363.0</v>
      </c>
      <c r="B89" s="6" t="s">
        <v>28</v>
      </c>
      <c r="C89" s="2">
        <v>0.0</v>
      </c>
      <c r="D89" s="16">
        <f t="shared" si="3"/>
        <v>0</v>
      </c>
      <c r="E89" s="17">
        <f>D89/B1</f>
        <v>0</v>
      </c>
      <c r="F89" s="16">
        <f t="shared" si="4"/>
        <v>0</v>
      </c>
      <c r="G89" s="17">
        <f>F89/B2</f>
        <v>0</v>
      </c>
      <c r="H89" s="15">
        <f t="shared" si="5"/>
        <v>0</v>
      </c>
      <c r="I89" s="14">
        <f>H89/B3</f>
        <v>0</v>
      </c>
      <c r="J89" s="2">
        <v>0.0</v>
      </c>
      <c r="K89" s="2">
        <v>0.0</v>
      </c>
      <c r="L89" s="2">
        <v>0.0</v>
      </c>
    </row>
    <row r="90">
      <c r="A90" s="12">
        <v>45364.0</v>
      </c>
      <c r="B90" s="6" t="s">
        <v>17</v>
      </c>
      <c r="C90" s="2">
        <v>0.0</v>
      </c>
      <c r="D90" s="16">
        <f t="shared" si="3"/>
        <v>0</v>
      </c>
      <c r="E90" s="17">
        <f>D90/B1</f>
        <v>0</v>
      </c>
      <c r="F90" s="16">
        <f t="shared" si="4"/>
        <v>0</v>
      </c>
      <c r="G90" s="17">
        <f>F90/B2</f>
        <v>0</v>
      </c>
      <c r="H90" s="15">
        <f t="shared" si="5"/>
        <v>0</v>
      </c>
      <c r="I90" s="14">
        <f>H90/B3</f>
        <v>0</v>
      </c>
      <c r="J90" s="2">
        <v>0.0</v>
      </c>
      <c r="K90" s="2">
        <v>0.0</v>
      </c>
      <c r="L90" s="2">
        <v>0.0</v>
      </c>
    </row>
    <row r="91">
      <c r="A91" s="12">
        <v>45364.0</v>
      </c>
      <c r="B91" s="6" t="s">
        <v>27</v>
      </c>
      <c r="C91" s="2">
        <v>0.0</v>
      </c>
      <c r="D91" s="16">
        <f t="shared" si="3"/>
        <v>0</v>
      </c>
      <c r="E91" s="17">
        <f>D91/B1</f>
        <v>0</v>
      </c>
      <c r="F91" s="16">
        <f t="shared" si="4"/>
        <v>0</v>
      </c>
      <c r="G91" s="17">
        <f>F91/B2</f>
        <v>0</v>
      </c>
      <c r="H91" s="15">
        <f t="shared" si="5"/>
        <v>0</v>
      </c>
      <c r="I91" s="14">
        <f>H91/B3</f>
        <v>0</v>
      </c>
      <c r="J91" s="2">
        <v>0.0</v>
      </c>
      <c r="K91" s="2">
        <v>0.0</v>
      </c>
      <c r="L91" s="2">
        <v>0.0</v>
      </c>
    </row>
    <row r="92">
      <c r="A92" s="12">
        <v>45364.0</v>
      </c>
      <c r="B92" s="6" t="s">
        <v>28</v>
      </c>
      <c r="C92" s="2">
        <v>0.0</v>
      </c>
      <c r="D92" s="16">
        <f t="shared" si="3"/>
        <v>0</v>
      </c>
      <c r="E92" s="17">
        <f>D92/B1</f>
        <v>0</v>
      </c>
      <c r="F92" s="16">
        <f t="shared" si="4"/>
        <v>0</v>
      </c>
      <c r="G92" s="17">
        <f>F92/B2</f>
        <v>0</v>
      </c>
      <c r="H92" s="15">
        <f t="shared" si="5"/>
        <v>0</v>
      </c>
      <c r="I92" s="14">
        <f>H92/B3</f>
        <v>0</v>
      </c>
      <c r="J92" s="2">
        <v>0.0</v>
      </c>
      <c r="K92" s="2">
        <v>0.0</v>
      </c>
      <c r="L92" s="2">
        <v>0.0</v>
      </c>
    </row>
    <row r="93">
      <c r="A93" s="12">
        <v>45365.0</v>
      </c>
      <c r="B93" s="6" t="s">
        <v>17</v>
      </c>
      <c r="C93" s="2">
        <v>0.0</v>
      </c>
      <c r="D93" s="16">
        <f t="shared" si="3"/>
        <v>0</v>
      </c>
      <c r="E93" s="17">
        <f>D93/B1</f>
        <v>0</v>
      </c>
      <c r="F93" s="16">
        <f t="shared" si="4"/>
        <v>0</v>
      </c>
      <c r="G93" s="17">
        <f>F93/B2</f>
        <v>0</v>
      </c>
      <c r="H93" s="15">
        <f t="shared" si="5"/>
        <v>0</v>
      </c>
      <c r="I93" s="14">
        <f>H93/B3</f>
        <v>0</v>
      </c>
      <c r="J93" s="2">
        <v>0.0</v>
      </c>
      <c r="K93" s="2">
        <v>0.0</v>
      </c>
      <c r="L93" s="2">
        <v>0.0</v>
      </c>
    </row>
    <row r="94">
      <c r="A94" s="12">
        <v>45365.0</v>
      </c>
      <c r="B94" s="6" t="s">
        <v>27</v>
      </c>
      <c r="C94" s="2">
        <v>0.0</v>
      </c>
      <c r="D94" s="16">
        <f t="shared" si="3"/>
        <v>0</v>
      </c>
      <c r="E94" s="17">
        <f>D94/B1</f>
        <v>0</v>
      </c>
      <c r="F94" s="16">
        <f t="shared" si="4"/>
        <v>0</v>
      </c>
      <c r="G94" s="17">
        <f>F94/B2</f>
        <v>0</v>
      </c>
      <c r="H94" s="15">
        <f t="shared" si="5"/>
        <v>0</v>
      </c>
      <c r="I94" s="14">
        <f>H94/B3</f>
        <v>0</v>
      </c>
      <c r="J94" s="2">
        <v>0.0</v>
      </c>
      <c r="K94" s="2">
        <v>0.0</v>
      </c>
      <c r="L94" s="2">
        <v>0.0</v>
      </c>
    </row>
    <row r="95">
      <c r="A95" s="12">
        <v>45365.0</v>
      </c>
      <c r="B95" s="6" t="s">
        <v>28</v>
      </c>
      <c r="C95" s="2">
        <v>0.0</v>
      </c>
      <c r="D95" s="16">
        <f t="shared" si="3"/>
        <v>0</v>
      </c>
      <c r="E95" s="17">
        <f>D95/B1</f>
        <v>0</v>
      </c>
      <c r="F95" s="16">
        <f t="shared" si="4"/>
        <v>0</v>
      </c>
      <c r="G95" s="17">
        <f>F95/B2</f>
        <v>0</v>
      </c>
      <c r="H95" s="15">
        <f t="shared" si="5"/>
        <v>0</v>
      </c>
      <c r="I95" s="14">
        <f>H95/B3</f>
        <v>0</v>
      </c>
      <c r="J95" s="2">
        <v>0.0</v>
      </c>
      <c r="K95" s="2">
        <v>0.0</v>
      </c>
      <c r="L95" s="2">
        <v>0.0</v>
      </c>
    </row>
    <row r="96">
      <c r="A96" s="12">
        <v>45366.0</v>
      </c>
      <c r="B96" s="6" t="s">
        <v>17</v>
      </c>
      <c r="C96" s="2">
        <v>0.0</v>
      </c>
      <c r="D96" s="16">
        <f t="shared" si="3"/>
        <v>0</v>
      </c>
      <c r="E96" s="17">
        <f>D96/B1</f>
        <v>0</v>
      </c>
      <c r="F96" s="16">
        <f t="shared" si="4"/>
        <v>0</v>
      </c>
      <c r="G96" s="17">
        <f>F96/B2</f>
        <v>0</v>
      </c>
      <c r="H96" s="15">
        <f t="shared" si="5"/>
        <v>0</v>
      </c>
      <c r="I96" s="14">
        <f>H96/B3</f>
        <v>0</v>
      </c>
      <c r="J96" s="2">
        <v>0.0</v>
      </c>
      <c r="K96" s="2">
        <v>0.0</v>
      </c>
      <c r="L96" s="2">
        <v>0.0</v>
      </c>
    </row>
    <row r="97">
      <c r="A97" s="12">
        <v>45366.0</v>
      </c>
      <c r="B97" s="6" t="s">
        <v>27</v>
      </c>
      <c r="C97" s="2">
        <v>0.0</v>
      </c>
      <c r="D97" s="16">
        <f t="shared" si="3"/>
        <v>0</v>
      </c>
      <c r="E97" s="17">
        <f>D97/B1</f>
        <v>0</v>
      </c>
      <c r="F97" s="16">
        <f t="shared" si="4"/>
        <v>0</v>
      </c>
      <c r="G97" s="17">
        <f>F97/B2</f>
        <v>0</v>
      </c>
      <c r="H97" s="15">
        <f t="shared" si="5"/>
        <v>0</v>
      </c>
      <c r="I97" s="14">
        <f>H97/B3</f>
        <v>0</v>
      </c>
      <c r="J97" s="2">
        <v>0.0</v>
      </c>
      <c r="K97" s="2">
        <v>0.0</v>
      </c>
      <c r="L97" s="2">
        <v>0.0</v>
      </c>
    </row>
    <row r="98">
      <c r="A98" s="12">
        <v>45366.0</v>
      </c>
      <c r="B98" s="6" t="s">
        <v>28</v>
      </c>
      <c r="C98" s="2">
        <v>0.0</v>
      </c>
      <c r="D98" s="16">
        <f t="shared" si="3"/>
        <v>0</v>
      </c>
      <c r="E98" s="17">
        <f>D98/B1</f>
        <v>0</v>
      </c>
      <c r="F98" s="16">
        <f t="shared" si="4"/>
        <v>0</v>
      </c>
      <c r="G98" s="17">
        <f>F98/B2</f>
        <v>0</v>
      </c>
      <c r="H98" s="15">
        <f t="shared" si="5"/>
        <v>0</v>
      </c>
      <c r="I98" s="14">
        <f>H98/B3</f>
        <v>0</v>
      </c>
      <c r="J98" s="2">
        <v>0.0</v>
      </c>
      <c r="K98" s="2">
        <v>0.0</v>
      </c>
      <c r="L98" s="2">
        <v>0.0</v>
      </c>
    </row>
    <row r="99">
      <c r="A99" s="12">
        <v>45367.0</v>
      </c>
      <c r="B99" s="6" t="s">
        <v>17</v>
      </c>
      <c r="C99" s="2">
        <v>0.0</v>
      </c>
      <c r="D99" s="16">
        <f t="shared" si="3"/>
        <v>0</v>
      </c>
      <c r="E99" s="17">
        <f>D99/B1</f>
        <v>0</v>
      </c>
      <c r="F99" s="16">
        <f t="shared" si="4"/>
        <v>0</v>
      </c>
      <c r="G99" s="17">
        <f>F99/B2</f>
        <v>0</v>
      </c>
      <c r="H99" s="15">
        <f t="shared" si="5"/>
        <v>0</v>
      </c>
      <c r="I99" s="14">
        <f>H99/B3</f>
        <v>0</v>
      </c>
      <c r="J99" s="2">
        <v>0.0</v>
      </c>
      <c r="K99" s="2">
        <v>0.0</v>
      </c>
      <c r="L99" s="2">
        <v>0.0</v>
      </c>
    </row>
    <row r="100">
      <c r="A100" s="12">
        <v>45367.0</v>
      </c>
      <c r="B100" s="6" t="s">
        <v>27</v>
      </c>
      <c r="C100" s="2">
        <v>0.0</v>
      </c>
      <c r="D100" s="16">
        <f t="shared" si="3"/>
        <v>0</v>
      </c>
      <c r="E100" s="17">
        <f>D100/B1</f>
        <v>0</v>
      </c>
      <c r="F100" s="16">
        <f t="shared" si="4"/>
        <v>0</v>
      </c>
      <c r="G100" s="17">
        <f>F100/B2</f>
        <v>0</v>
      </c>
      <c r="H100" s="15">
        <f t="shared" si="5"/>
        <v>0</v>
      </c>
      <c r="I100" s="14">
        <f>H100/B3</f>
        <v>0</v>
      </c>
      <c r="J100" s="2">
        <v>0.0</v>
      </c>
      <c r="K100" s="2">
        <v>0.0</v>
      </c>
      <c r="L100" s="2">
        <v>0.0</v>
      </c>
    </row>
    <row r="101">
      <c r="A101" s="12">
        <v>45367.0</v>
      </c>
      <c r="B101" s="6" t="s">
        <v>28</v>
      </c>
      <c r="C101" s="2">
        <v>0.0</v>
      </c>
      <c r="D101" s="16">
        <f t="shared" si="3"/>
        <v>0</v>
      </c>
      <c r="E101" s="17">
        <f>D101/B1</f>
        <v>0</v>
      </c>
      <c r="F101" s="16">
        <f t="shared" si="4"/>
        <v>0</v>
      </c>
      <c r="G101" s="17">
        <f>F101/B2</f>
        <v>0</v>
      </c>
      <c r="H101" s="15">
        <f t="shared" si="5"/>
        <v>0</v>
      </c>
      <c r="I101" s="14">
        <f>H101/B3</f>
        <v>0</v>
      </c>
      <c r="J101" s="2">
        <v>0.0</v>
      </c>
      <c r="K101" s="2">
        <v>0.0</v>
      </c>
      <c r="L101" s="2">
        <v>0.0</v>
      </c>
    </row>
    <row r="102">
      <c r="A102" s="12">
        <v>45368.0</v>
      </c>
      <c r="B102" s="6" t="s">
        <v>17</v>
      </c>
      <c r="C102" s="2">
        <v>0.0</v>
      </c>
      <c r="D102" s="16">
        <f t="shared" si="3"/>
        <v>0</v>
      </c>
      <c r="E102" s="17">
        <f>D102/B1</f>
        <v>0</v>
      </c>
      <c r="F102" s="16">
        <f t="shared" si="4"/>
        <v>0</v>
      </c>
      <c r="G102" s="17">
        <f>F102/B2</f>
        <v>0</v>
      </c>
      <c r="H102" s="15">
        <f t="shared" si="5"/>
        <v>0</v>
      </c>
      <c r="I102" s="14">
        <f>H102/B3</f>
        <v>0</v>
      </c>
      <c r="J102" s="2">
        <v>0.0</v>
      </c>
      <c r="K102" s="2">
        <v>0.0</v>
      </c>
      <c r="L102" s="2">
        <v>0.0</v>
      </c>
    </row>
    <row r="103">
      <c r="A103" s="12">
        <v>45368.0</v>
      </c>
      <c r="B103" s="6" t="s">
        <v>27</v>
      </c>
      <c r="C103" s="2">
        <v>0.0</v>
      </c>
      <c r="D103" s="16">
        <f t="shared" si="3"/>
        <v>0</v>
      </c>
      <c r="E103" s="17">
        <f>D103/B1</f>
        <v>0</v>
      </c>
      <c r="F103" s="16">
        <f t="shared" si="4"/>
        <v>0</v>
      </c>
      <c r="G103" s="17">
        <f>F103/B2</f>
        <v>0</v>
      </c>
      <c r="H103" s="15">
        <f t="shared" si="5"/>
        <v>0</v>
      </c>
      <c r="I103" s="14">
        <f>H103/B3</f>
        <v>0</v>
      </c>
      <c r="J103" s="2">
        <v>0.0</v>
      </c>
      <c r="K103" s="2">
        <v>0.0</v>
      </c>
      <c r="L103" s="2">
        <v>0.0</v>
      </c>
    </row>
    <row r="104">
      <c r="A104" s="12">
        <v>45368.0</v>
      </c>
      <c r="B104" s="6" t="s">
        <v>28</v>
      </c>
      <c r="C104" s="2">
        <v>0.0</v>
      </c>
      <c r="D104" s="16">
        <f t="shared" si="3"/>
        <v>0</v>
      </c>
      <c r="E104" s="17">
        <f>D104/B1</f>
        <v>0</v>
      </c>
      <c r="F104" s="16">
        <f t="shared" si="4"/>
        <v>0</v>
      </c>
      <c r="G104" s="17">
        <f>F104/B2</f>
        <v>0</v>
      </c>
      <c r="H104" s="15">
        <f t="shared" si="5"/>
        <v>0</v>
      </c>
      <c r="I104" s="14">
        <f>H104/B3</f>
        <v>0</v>
      </c>
      <c r="J104" s="2">
        <v>0.0</v>
      </c>
      <c r="K104" s="2">
        <v>0.0</v>
      </c>
      <c r="L104" s="2">
        <v>0.0</v>
      </c>
    </row>
    <row r="105">
      <c r="A105" s="12">
        <v>45369.0</v>
      </c>
      <c r="B105" s="6" t="s">
        <v>17</v>
      </c>
      <c r="C105" s="2">
        <v>0.0</v>
      </c>
      <c r="D105" s="16">
        <f t="shared" si="3"/>
        <v>0</v>
      </c>
      <c r="E105" s="17">
        <f>D105/B1</f>
        <v>0</v>
      </c>
      <c r="F105" s="16">
        <f t="shared" si="4"/>
        <v>0</v>
      </c>
      <c r="G105" s="17">
        <f>F105/B2</f>
        <v>0</v>
      </c>
      <c r="H105" s="15">
        <f t="shared" si="5"/>
        <v>0</v>
      </c>
      <c r="I105" s="14">
        <f>H105/B3</f>
        <v>0</v>
      </c>
      <c r="J105" s="2">
        <v>0.0</v>
      </c>
      <c r="K105" s="2">
        <v>0.0</v>
      </c>
      <c r="L105" s="2">
        <v>0.0</v>
      </c>
    </row>
    <row r="106">
      <c r="A106" s="12">
        <v>45369.0</v>
      </c>
      <c r="B106" s="6" t="s">
        <v>27</v>
      </c>
      <c r="C106" s="2">
        <v>0.0</v>
      </c>
      <c r="D106" s="16">
        <f t="shared" si="3"/>
        <v>0</v>
      </c>
      <c r="E106" s="17">
        <f>D106/B1</f>
        <v>0</v>
      </c>
      <c r="F106" s="16">
        <f t="shared" si="4"/>
        <v>0</v>
      </c>
      <c r="G106" s="17">
        <f>F106/B2</f>
        <v>0</v>
      </c>
      <c r="H106" s="15">
        <f t="shared" si="5"/>
        <v>0</v>
      </c>
      <c r="I106" s="14">
        <f>H106/B3</f>
        <v>0</v>
      </c>
      <c r="J106" s="2">
        <v>0.0</v>
      </c>
      <c r="K106" s="2">
        <v>0.0</v>
      </c>
      <c r="L106" s="2">
        <v>0.0</v>
      </c>
    </row>
    <row r="107">
      <c r="A107" s="12">
        <v>45369.0</v>
      </c>
      <c r="B107" s="6" t="s">
        <v>28</v>
      </c>
      <c r="C107" s="2">
        <v>0.0</v>
      </c>
      <c r="D107" s="16">
        <f t="shared" si="3"/>
        <v>0</v>
      </c>
      <c r="E107" s="17">
        <f>D107/B1</f>
        <v>0</v>
      </c>
      <c r="F107" s="16">
        <f t="shared" si="4"/>
        <v>0</v>
      </c>
      <c r="G107" s="17">
        <f>F107/B2</f>
        <v>0</v>
      </c>
      <c r="H107" s="15">
        <f t="shared" si="5"/>
        <v>0</v>
      </c>
      <c r="I107" s="14">
        <f>H107/B3</f>
        <v>0</v>
      </c>
      <c r="J107" s="2">
        <v>0.0</v>
      </c>
      <c r="K107" s="2">
        <v>0.0</v>
      </c>
      <c r="L107" s="2">
        <v>0.0</v>
      </c>
    </row>
    <row r="108">
      <c r="A108" s="12">
        <v>45370.0</v>
      </c>
      <c r="B108" s="6" t="s">
        <v>17</v>
      </c>
      <c r="C108" s="2">
        <v>0.0</v>
      </c>
      <c r="D108" s="16">
        <f t="shared" si="3"/>
        <v>0</v>
      </c>
      <c r="E108" s="17">
        <f>D108/B1</f>
        <v>0</v>
      </c>
      <c r="F108" s="16">
        <f t="shared" si="4"/>
        <v>0</v>
      </c>
      <c r="G108" s="17">
        <f>F108/B2</f>
        <v>0</v>
      </c>
      <c r="H108" s="15">
        <f t="shared" si="5"/>
        <v>0</v>
      </c>
      <c r="I108" s="14">
        <f>H108/B3</f>
        <v>0</v>
      </c>
      <c r="J108" s="2">
        <v>0.0</v>
      </c>
      <c r="K108" s="2">
        <v>0.0</v>
      </c>
      <c r="L108" s="2">
        <v>0.0</v>
      </c>
    </row>
    <row r="109">
      <c r="A109" s="12">
        <v>45370.0</v>
      </c>
      <c r="B109" s="6" t="s">
        <v>27</v>
      </c>
      <c r="C109" s="2">
        <v>0.0</v>
      </c>
      <c r="D109" s="16">
        <f t="shared" si="3"/>
        <v>0</v>
      </c>
      <c r="E109" s="17">
        <f>D109/B1</f>
        <v>0</v>
      </c>
      <c r="F109" s="16">
        <f t="shared" si="4"/>
        <v>0</v>
      </c>
      <c r="G109" s="17">
        <f>F109/B2</f>
        <v>0</v>
      </c>
      <c r="H109" s="15">
        <f t="shared" si="5"/>
        <v>0</v>
      </c>
      <c r="I109" s="14">
        <f>H109/B3</f>
        <v>0</v>
      </c>
      <c r="J109" s="2">
        <v>0.0</v>
      </c>
      <c r="K109" s="2">
        <v>0.0</v>
      </c>
      <c r="L109" s="2">
        <v>0.0</v>
      </c>
    </row>
    <row r="110">
      <c r="A110" s="12">
        <v>45370.0</v>
      </c>
      <c r="B110" s="6" t="s">
        <v>28</v>
      </c>
      <c r="C110" s="2">
        <v>0.0</v>
      </c>
      <c r="D110" s="16">
        <f t="shared" si="3"/>
        <v>0</v>
      </c>
      <c r="E110" s="17">
        <f>D110/B1</f>
        <v>0</v>
      </c>
      <c r="F110" s="16">
        <f t="shared" si="4"/>
        <v>0</v>
      </c>
      <c r="G110" s="17">
        <f>F110/B2</f>
        <v>0</v>
      </c>
      <c r="H110" s="15">
        <f t="shared" si="5"/>
        <v>0</v>
      </c>
      <c r="I110" s="14">
        <f>H110/B3</f>
        <v>0</v>
      </c>
      <c r="J110" s="2">
        <v>0.0</v>
      </c>
      <c r="K110" s="2">
        <v>0.0</v>
      </c>
      <c r="L110" s="2">
        <v>0.0</v>
      </c>
    </row>
    <row r="111">
      <c r="A111" s="12">
        <v>45371.0</v>
      </c>
      <c r="B111" s="6" t="s">
        <v>17</v>
      </c>
      <c r="C111" s="2">
        <v>0.0</v>
      </c>
      <c r="D111" s="16">
        <f t="shared" si="3"/>
        <v>0</v>
      </c>
      <c r="E111" s="17">
        <f>D111/B1</f>
        <v>0</v>
      </c>
      <c r="F111" s="16">
        <f t="shared" si="4"/>
        <v>0</v>
      </c>
      <c r="G111" s="17">
        <f>F111/B2</f>
        <v>0</v>
      </c>
      <c r="H111" s="15">
        <f t="shared" si="5"/>
        <v>0</v>
      </c>
      <c r="I111" s="14">
        <f>H111/B3</f>
        <v>0</v>
      </c>
      <c r="J111" s="2">
        <v>0.0</v>
      </c>
      <c r="K111" s="2">
        <v>0.0</v>
      </c>
      <c r="L111" s="2">
        <v>0.0</v>
      </c>
    </row>
    <row r="112">
      <c r="A112" s="12">
        <v>45371.0</v>
      </c>
      <c r="B112" s="6" t="s">
        <v>27</v>
      </c>
      <c r="C112" s="2">
        <v>0.0</v>
      </c>
      <c r="D112" s="16">
        <f t="shared" si="3"/>
        <v>0</v>
      </c>
      <c r="E112" s="17">
        <f>D112/B1</f>
        <v>0</v>
      </c>
      <c r="F112" s="16">
        <f t="shared" si="4"/>
        <v>0</v>
      </c>
      <c r="G112" s="17">
        <f>F112/B2</f>
        <v>0</v>
      </c>
      <c r="H112" s="15">
        <f t="shared" si="5"/>
        <v>0</v>
      </c>
      <c r="I112" s="14">
        <f>H112/B3</f>
        <v>0</v>
      </c>
      <c r="J112" s="2">
        <v>0.0</v>
      </c>
      <c r="K112" s="2">
        <v>0.0</v>
      </c>
      <c r="L112" s="2">
        <v>0.0</v>
      </c>
    </row>
    <row r="113">
      <c r="A113" s="12">
        <v>45371.0</v>
      </c>
      <c r="B113" s="6" t="s">
        <v>28</v>
      </c>
      <c r="C113" s="2">
        <v>0.0</v>
      </c>
      <c r="D113" s="16">
        <f t="shared" si="3"/>
        <v>0</v>
      </c>
      <c r="E113" s="17">
        <f>D113/B1</f>
        <v>0</v>
      </c>
      <c r="F113" s="16">
        <f t="shared" si="4"/>
        <v>0</v>
      </c>
      <c r="G113" s="17">
        <f>F113/B2</f>
        <v>0</v>
      </c>
      <c r="H113" s="15">
        <f t="shared" si="5"/>
        <v>0</v>
      </c>
      <c r="I113" s="14">
        <f>H113/B3</f>
        <v>0</v>
      </c>
      <c r="J113" s="2">
        <v>0.0</v>
      </c>
      <c r="K113" s="2">
        <v>0.0</v>
      </c>
      <c r="L113" s="2">
        <v>0.0</v>
      </c>
    </row>
    <row r="114">
      <c r="A114" s="12">
        <v>45372.0</v>
      </c>
      <c r="B114" s="6" t="s">
        <v>17</v>
      </c>
      <c r="C114" s="2">
        <v>0.0</v>
      </c>
      <c r="D114" s="16">
        <f t="shared" si="3"/>
        <v>0</v>
      </c>
      <c r="E114" s="17">
        <f>D114/B1</f>
        <v>0</v>
      </c>
      <c r="F114" s="16">
        <f t="shared" si="4"/>
        <v>0</v>
      </c>
      <c r="G114" s="17">
        <f>F114/B2</f>
        <v>0</v>
      </c>
      <c r="H114" s="15">
        <f t="shared" si="5"/>
        <v>0</v>
      </c>
      <c r="I114" s="14">
        <f>H114/B3</f>
        <v>0</v>
      </c>
      <c r="J114" s="2">
        <v>0.0</v>
      </c>
      <c r="K114" s="2">
        <v>0.0</v>
      </c>
      <c r="L114" s="2">
        <v>0.0</v>
      </c>
    </row>
    <row r="115">
      <c r="A115" s="12">
        <v>45372.0</v>
      </c>
      <c r="B115" s="6" t="s">
        <v>27</v>
      </c>
      <c r="C115" s="2">
        <v>0.0</v>
      </c>
      <c r="D115" s="16">
        <f t="shared" si="3"/>
        <v>0</v>
      </c>
      <c r="E115" s="17">
        <f>D115/B1</f>
        <v>0</v>
      </c>
      <c r="F115" s="16">
        <f t="shared" si="4"/>
        <v>0</v>
      </c>
      <c r="G115" s="17">
        <f>F115/B2</f>
        <v>0</v>
      </c>
      <c r="H115" s="15">
        <f t="shared" si="5"/>
        <v>0</v>
      </c>
      <c r="I115" s="14">
        <f>H115/B3</f>
        <v>0</v>
      </c>
      <c r="J115" s="2">
        <v>0.0</v>
      </c>
      <c r="K115" s="2">
        <v>0.0</v>
      </c>
      <c r="L115" s="2">
        <v>0.0</v>
      </c>
    </row>
    <row r="116">
      <c r="A116" s="12">
        <v>45372.0</v>
      </c>
      <c r="B116" s="6" t="s">
        <v>28</v>
      </c>
      <c r="C116" s="2">
        <v>0.0</v>
      </c>
      <c r="D116" s="16">
        <f t="shared" si="3"/>
        <v>0</v>
      </c>
      <c r="E116" s="17">
        <f>D116/B1</f>
        <v>0</v>
      </c>
      <c r="F116" s="16">
        <f t="shared" si="4"/>
        <v>0</v>
      </c>
      <c r="G116" s="17">
        <f>F116/B2</f>
        <v>0</v>
      </c>
      <c r="H116" s="15">
        <f t="shared" si="5"/>
        <v>0</v>
      </c>
      <c r="I116" s="14">
        <f>H116/B3</f>
        <v>0</v>
      </c>
      <c r="J116" s="2">
        <v>0.0</v>
      </c>
      <c r="K116" s="2">
        <v>0.0</v>
      </c>
      <c r="L116" s="2">
        <v>0.0</v>
      </c>
    </row>
  </sheetData>
  <dataValidations>
    <dataValidation type="list" allowBlank="1" showErrorMessage="1" sqref="B6:B116">
      <formula1>"Hindu Kush,Ghost Train Haze,Frozen Lemon Mints"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3.75"/>
    <col customWidth="1" min="2" max="2" width="22.63"/>
    <col customWidth="1" min="3" max="3" width="10.25"/>
    <col customWidth="1" min="4" max="4" width="17.0"/>
    <col customWidth="1" min="5" max="5" width="15.0"/>
    <col customWidth="1" min="6" max="6" width="17.0"/>
    <col customWidth="1" min="7" max="7" width="16.13"/>
    <col customWidth="1" min="8" max="9" width="16.38"/>
    <col customWidth="1" min="10" max="10" width="12.63"/>
    <col customWidth="1" min="11" max="11" width="14.88"/>
    <col customWidth="1" min="12" max="12" width="13.0"/>
  </cols>
  <sheetData>
    <row r="1">
      <c r="A1" s="1" t="s">
        <v>20</v>
      </c>
      <c r="B1" s="2">
        <v>15.0</v>
      </c>
      <c r="C1" s="4">
        <f>D116</f>
        <v>0</v>
      </c>
      <c r="D1" s="5">
        <f t="shared" ref="D1:D4" si="1">C1/B1</f>
        <v>0</v>
      </c>
      <c r="G1" s="1" t="s">
        <v>1</v>
      </c>
      <c r="H1" s="3">
        <f>IFERROR(__xludf.DUMMYFUNCTION("COUNTUNIQUE(A9:A80)"),24.0)</f>
        <v>24</v>
      </c>
      <c r="I1" s="3"/>
      <c r="J1" s="6"/>
      <c r="K1" s="3"/>
      <c r="L1" s="3"/>
      <c r="M1" s="7"/>
      <c r="N1" s="7"/>
    </row>
    <row r="2">
      <c r="A2" s="1" t="s">
        <v>21</v>
      </c>
      <c r="B2" s="2">
        <v>15.0</v>
      </c>
      <c r="C2" s="4">
        <f>F116</f>
        <v>0</v>
      </c>
      <c r="D2" s="5">
        <f t="shared" si="1"/>
        <v>0</v>
      </c>
      <c r="G2" s="1" t="s">
        <v>5</v>
      </c>
      <c r="H2" s="3">
        <f>(B1+B2+B3)/F4</f>
        <v>24</v>
      </c>
      <c r="I2" s="3"/>
      <c r="J2" s="3"/>
      <c r="K2" s="3"/>
      <c r="L2" s="3"/>
      <c r="M2" s="7"/>
      <c r="N2" s="7"/>
    </row>
    <row r="3">
      <c r="A3" s="1" t="s">
        <v>22</v>
      </c>
      <c r="B3" s="2">
        <v>15.0</v>
      </c>
      <c r="C3" s="4">
        <f>H116</f>
        <v>0</v>
      </c>
      <c r="D3" s="8">
        <f t="shared" si="1"/>
        <v>0</v>
      </c>
      <c r="E3" s="3"/>
      <c r="F3" s="6"/>
      <c r="G3" s="3"/>
      <c r="H3" s="3"/>
      <c r="I3" s="3"/>
      <c r="J3" s="3"/>
      <c r="K3" s="3"/>
      <c r="L3" s="3"/>
      <c r="M3" s="7"/>
      <c r="N3" s="7"/>
    </row>
    <row r="4">
      <c r="A4" s="3"/>
      <c r="B4" s="9">
        <f t="shared" ref="B4:C4" si="2">SUM(B1:B3)</f>
        <v>45</v>
      </c>
      <c r="C4" s="9">
        <f t="shared" si="2"/>
        <v>0</v>
      </c>
      <c r="D4" s="5">
        <f t="shared" si="1"/>
        <v>0</v>
      </c>
      <c r="E4" s="1" t="s">
        <v>7</v>
      </c>
      <c r="F4" s="3">
        <f>SUM(C9:C80)/H1</f>
        <v>1.875</v>
      </c>
      <c r="G4" s="3"/>
      <c r="H4" s="3"/>
      <c r="I4" s="3"/>
      <c r="J4" s="3"/>
      <c r="K4" s="3"/>
      <c r="L4" s="3"/>
      <c r="M4" s="7"/>
      <c r="N4" s="7"/>
    </row>
    <row r="5">
      <c r="A5" s="10" t="s">
        <v>8</v>
      </c>
      <c r="B5" s="10" t="s">
        <v>9</v>
      </c>
      <c r="C5" s="10" t="s">
        <v>10</v>
      </c>
      <c r="D5" s="10" t="s">
        <v>11</v>
      </c>
      <c r="E5" s="10" t="s">
        <v>11</v>
      </c>
      <c r="F5" s="10" t="s">
        <v>23</v>
      </c>
      <c r="G5" s="10" t="s">
        <v>23</v>
      </c>
      <c r="H5" s="10" t="s">
        <v>24</v>
      </c>
      <c r="I5" s="10" t="s">
        <v>24</v>
      </c>
      <c r="J5" s="10" t="s">
        <v>14</v>
      </c>
      <c r="K5" s="10" t="s">
        <v>25</v>
      </c>
      <c r="L5" s="10" t="s">
        <v>26</v>
      </c>
      <c r="M5" s="7"/>
      <c r="N5" s="7"/>
    </row>
    <row r="6">
      <c r="A6" s="12">
        <v>45359.0</v>
      </c>
      <c r="B6" s="6" t="s">
        <v>17</v>
      </c>
      <c r="C6" s="2">
        <v>0.0</v>
      </c>
      <c r="D6" s="4">
        <f>IF(B6="Hindu Kush",B1-C6,B1)</f>
        <v>15</v>
      </c>
      <c r="E6" s="13">
        <f>D6/B1</f>
        <v>1</v>
      </c>
      <c r="F6" s="2">
        <f>IF(B6="Ghost Train Haze",B2-C6,B2)</f>
        <v>15</v>
      </c>
      <c r="G6" s="14">
        <f>F6/B2</f>
        <v>1</v>
      </c>
      <c r="H6" s="15">
        <f>IF(B6="Frozen Lemon Mints",B3-C6,B3)</f>
        <v>15</v>
      </c>
      <c r="I6" s="14">
        <f>H6/B3</f>
        <v>1</v>
      </c>
      <c r="J6" s="2">
        <v>0.0</v>
      </c>
      <c r="K6" s="2">
        <v>0.0</v>
      </c>
      <c r="L6" s="2">
        <v>0.0</v>
      </c>
      <c r="M6" s="7"/>
      <c r="N6" s="7"/>
    </row>
    <row r="7">
      <c r="A7" s="12">
        <v>45359.0</v>
      </c>
      <c r="B7" s="6" t="s">
        <v>27</v>
      </c>
      <c r="C7" s="2">
        <v>0.0</v>
      </c>
      <c r="D7" s="16">
        <f t="shared" ref="D7:D116" si="3">IF(B7="Hindu Kush",D6-C7,D6)</f>
        <v>15</v>
      </c>
      <c r="E7" s="17">
        <f>D7/B1</f>
        <v>1</v>
      </c>
      <c r="F7" s="16">
        <f t="shared" ref="F7:F116" si="4">IF(B7="Ghost Train Haze",F6-C7,F6)</f>
        <v>15</v>
      </c>
      <c r="G7" s="17">
        <f>F7/B2</f>
        <v>1</v>
      </c>
      <c r="H7" s="15">
        <f t="shared" ref="H7:H116" si="5">IF(B7="Frozen Lemon Mints",H6-C7,H6)</f>
        <v>15</v>
      </c>
      <c r="I7" s="14">
        <f>H7/B3</f>
        <v>1</v>
      </c>
      <c r="J7" s="2">
        <v>0.0</v>
      </c>
      <c r="K7" s="2">
        <v>0.0</v>
      </c>
      <c r="L7" s="2">
        <v>0.0</v>
      </c>
      <c r="M7" s="7"/>
      <c r="N7" s="7"/>
    </row>
    <row r="8">
      <c r="A8" s="12">
        <v>45359.0</v>
      </c>
      <c r="B8" s="6" t="s">
        <v>28</v>
      </c>
      <c r="C8" s="2">
        <v>0.0</v>
      </c>
      <c r="D8" s="16">
        <f t="shared" si="3"/>
        <v>15</v>
      </c>
      <c r="E8" s="17">
        <f>D8/B1</f>
        <v>1</v>
      </c>
      <c r="F8" s="16">
        <f t="shared" si="4"/>
        <v>15</v>
      </c>
      <c r="G8" s="17">
        <f>F8/B2</f>
        <v>1</v>
      </c>
      <c r="H8" s="15">
        <f t="shared" si="5"/>
        <v>15</v>
      </c>
      <c r="I8" s="14">
        <f>H8/B3</f>
        <v>1</v>
      </c>
      <c r="J8" s="2">
        <v>0.0</v>
      </c>
      <c r="K8" s="2">
        <v>0.0</v>
      </c>
      <c r="L8" s="2">
        <v>0.0</v>
      </c>
      <c r="M8" s="7"/>
      <c r="N8" s="7"/>
    </row>
    <row r="9">
      <c r="A9" s="12">
        <v>45360.0</v>
      </c>
      <c r="B9" s="6" t="s">
        <v>17</v>
      </c>
      <c r="C9" s="2">
        <v>0.5</v>
      </c>
      <c r="D9" s="16">
        <f t="shared" si="3"/>
        <v>14.5</v>
      </c>
      <c r="E9" s="17">
        <f>D9/B1</f>
        <v>0.9666666667</v>
      </c>
      <c r="F9" s="16">
        <f t="shared" si="4"/>
        <v>15</v>
      </c>
      <c r="G9" s="17">
        <f>F9/B2</f>
        <v>1</v>
      </c>
      <c r="H9" s="15">
        <f t="shared" si="5"/>
        <v>15</v>
      </c>
      <c r="I9" s="14">
        <f>H9/B3</f>
        <v>1</v>
      </c>
      <c r="J9" s="2">
        <v>0.0</v>
      </c>
      <c r="K9" s="2">
        <v>0.0</v>
      </c>
      <c r="L9" s="2">
        <v>0.0</v>
      </c>
      <c r="M9" s="7"/>
      <c r="N9" s="7"/>
    </row>
    <row r="10">
      <c r="A10" s="12">
        <v>45360.0</v>
      </c>
      <c r="B10" s="6" t="s">
        <v>27</v>
      </c>
      <c r="C10" s="2">
        <v>0.54</v>
      </c>
      <c r="D10" s="16">
        <f t="shared" si="3"/>
        <v>14.5</v>
      </c>
      <c r="E10" s="17">
        <f>D10/B1</f>
        <v>0.9666666667</v>
      </c>
      <c r="F10" s="16">
        <f t="shared" si="4"/>
        <v>14.46</v>
      </c>
      <c r="G10" s="17">
        <f>F10/B2</f>
        <v>0.964</v>
      </c>
      <c r="H10" s="15">
        <f t="shared" si="5"/>
        <v>15</v>
      </c>
      <c r="I10" s="14">
        <f>H10/B3</f>
        <v>1</v>
      </c>
      <c r="J10" s="2">
        <v>0.0</v>
      </c>
      <c r="K10" s="2">
        <v>0.0</v>
      </c>
      <c r="L10" s="2">
        <v>0.0</v>
      </c>
      <c r="M10" s="7"/>
      <c r="N10" s="7"/>
    </row>
    <row r="11">
      <c r="A11" s="12">
        <v>45360.0</v>
      </c>
      <c r="B11" s="6" t="s">
        <v>28</v>
      </c>
      <c r="C11" s="2">
        <v>0.51</v>
      </c>
      <c r="D11" s="16">
        <f t="shared" si="3"/>
        <v>14.5</v>
      </c>
      <c r="E11" s="17">
        <f>D11/B1</f>
        <v>0.9666666667</v>
      </c>
      <c r="F11" s="16">
        <f t="shared" si="4"/>
        <v>14.46</v>
      </c>
      <c r="G11" s="17">
        <f>F11/B2</f>
        <v>0.964</v>
      </c>
      <c r="H11" s="15">
        <f t="shared" si="5"/>
        <v>14.49</v>
      </c>
      <c r="I11" s="14">
        <f>H11/B3</f>
        <v>0.966</v>
      </c>
      <c r="J11" s="2">
        <v>0.0</v>
      </c>
      <c r="K11" s="2">
        <v>0.0</v>
      </c>
      <c r="L11" s="2">
        <v>0.0</v>
      </c>
      <c r="M11" s="7"/>
      <c r="N11" s="7"/>
    </row>
    <row r="12">
      <c r="A12" s="12">
        <v>45361.0</v>
      </c>
      <c r="B12" s="6" t="s">
        <v>17</v>
      </c>
      <c r="C12" s="2">
        <v>1.02</v>
      </c>
      <c r="D12" s="16">
        <f t="shared" si="3"/>
        <v>13.48</v>
      </c>
      <c r="E12" s="17">
        <f>D12/B1</f>
        <v>0.8986666667</v>
      </c>
      <c r="F12" s="16">
        <f t="shared" si="4"/>
        <v>14.46</v>
      </c>
      <c r="G12" s="17">
        <f>F12/B2</f>
        <v>0.964</v>
      </c>
      <c r="H12" s="15">
        <f t="shared" si="5"/>
        <v>14.49</v>
      </c>
      <c r="I12" s="14">
        <f>H12/B3</f>
        <v>0.966</v>
      </c>
      <c r="J12" s="2">
        <v>0.0</v>
      </c>
      <c r="K12" s="2">
        <v>0.0</v>
      </c>
      <c r="L12" s="2">
        <v>0.0</v>
      </c>
      <c r="M12" s="7"/>
      <c r="N12" s="7"/>
    </row>
    <row r="13">
      <c r="A13" s="12">
        <v>45361.0</v>
      </c>
      <c r="B13" s="6" t="s">
        <v>27</v>
      </c>
      <c r="C13" s="2">
        <v>1.06</v>
      </c>
      <c r="D13" s="16">
        <f t="shared" si="3"/>
        <v>13.48</v>
      </c>
      <c r="E13" s="17">
        <f>D13/B1</f>
        <v>0.8986666667</v>
      </c>
      <c r="F13" s="16">
        <f t="shared" si="4"/>
        <v>13.4</v>
      </c>
      <c r="G13" s="17">
        <f>F13/B2</f>
        <v>0.8933333333</v>
      </c>
      <c r="H13" s="15">
        <f t="shared" si="5"/>
        <v>14.49</v>
      </c>
      <c r="I13" s="14">
        <f>H13/B3</f>
        <v>0.966</v>
      </c>
      <c r="J13" s="2">
        <v>0.0</v>
      </c>
      <c r="K13" s="2">
        <v>0.0</v>
      </c>
      <c r="L13" s="2">
        <v>0.0</v>
      </c>
      <c r="M13" s="7"/>
      <c r="N13" s="7"/>
    </row>
    <row r="14">
      <c r="A14" s="12">
        <v>45361.0</v>
      </c>
      <c r="B14" s="6" t="s">
        <v>28</v>
      </c>
      <c r="C14" s="2">
        <v>1.07</v>
      </c>
      <c r="D14" s="16">
        <f t="shared" si="3"/>
        <v>13.48</v>
      </c>
      <c r="E14" s="17">
        <f>D14/B1</f>
        <v>0.8986666667</v>
      </c>
      <c r="F14" s="16">
        <f t="shared" si="4"/>
        <v>13.4</v>
      </c>
      <c r="G14" s="17">
        <f>F14/B2</f>
        <v>0.8933333333</v>
      </c>
      <c r="H14" s="15">
        <f t="shared" si="5"/>
        <v>13.42</v>
      </c>
      <c r="I14" s="14">
        <f>H14/B3</f>
        <v>0.8946666667</v>
      </c>
      <c r="J14" s="2">
        <v>0.0</v>
      </c>
      <c r="K14" s="2">
        <v>0.0</v>
      </c>
      <c r="L14" s="2">
        <v>0.0</v>
      </c>
      <c r="M14" s="7"/>
      <c r="N14" s="7"/>
    </row>
    <row r="15">
      <c r="A15" s="12">
        <v>45362.0</v>
      </c>
      <c r="B15" s="6" t="s">
        <v>17</v>
      </c>
      <c r="C15" s="2">
        <v>0.0</v>
      </c>
      <c r="D15" s="16">
        <f t="shared" si="3"/>
        <v>13.48</v>
      </c>
      <c r="E15" s="17">
        <f>D15/B1</f>
        <v>0.8986666667</v>
      </c>
      <c r="F15" s="16">
        <f t="shared" si="4"/>
        <v>13.4</v>
      </c>
      <c r="G15" s="17">
        <f>F15/B2</f>
        <v>0.8933333333</v>
      </c>
      <c r="H15" s="15">
        <f t="shared" si="5"/>
        <v>13.42</v>
      </c>
      <c r="I15" s="14">
        <f>H15/B3</f>
        <v>0.8946666667</v>
      </c>
      <c r="J15" s="2">
        <v>0.0</v>
      </c>
      <c r="K15" s="2">
        <v>0.0</v>
      </c>
      <c r="L15" s="2">
        <v>0.0</v>
      </c>
      <c r="M15" s="7"/>
      <c r="N15" s="7"/>
    </row>
    <row r="16">
      <c r="A16" s="12">
        <v>45362.0</v>
      </c>
      <c r="B16" s="6" t="s">
        <v>27</v>
      </c>
      <c r="C16" s="2">
        <v>0.0</v>
      </c>
      <c r="D16" s="16">
        <f t="shared" si="3"/>
        <v>13.48</v>
      </c>
      <c r="E16" s="17">
        <f>D16/B1</f>
        <v>0.8986666667</v>
      </c>
      <c r="F16" s="16">
        <f t="shared" si="4"/>
        <v>13.4</v>
      </c>
      <c r="G16" s="17">
        <f>F16/B2</f>
        <v>0.8933333333</v>
      </c>
      <c r="H16" s="15">
        <f t="shared" si="5"/>
        <v>13.42</v>
      </c>
      <c r="I16" s="14">
        <f>H16/B3</f>
        <v>0.8946666667</v>
      </c>
      <c r="J16" s="2">
        <v>0.0</v>
      </c>
      <c r="K16" s="2">
        <v>0.0</v>
      </c>
      <c r="L16" s="2">
        <v>0.0</v>
      </c>
      <c r="M16" s="7"/>
      <c r="N16" s="7"/>
    </row>
    <row r="17">
      <c r="A17" s="12">
        <v>45362.0</v>
      </c>
      <c r="B17" s="6" t="s">
        <v>28</v>
      </c>
      <c r="C17" s="2">
        <v>0.0</v>
      </c>
      <c r="D17" s="16">
        <f t="shared" si="3"/>
        <v>13.48</v>
      </c>
      <c r="E17" s="17">
        <f>D17/B1</f>
        <v>0.8986666667</v>
      </c>
      <c r="F17" s="16">
        <f t="shared" si="4"/>
        <v>13.4</v>
      </c>
      <c r="G17" s="17">
        <f>F17/B2</f>
        <v>0.8933333333</v>
      </c>
      <c r="H17" s="15">
        <f t="shared" si="5"/>
        <v>13.42</v>
      </c>
      <c r="I17" s="14">
        <f>H17/B3</f>
        <v>0.8946666667</v>
      </c>
      <c r="J17" s="2">
        <v>0.0</v>
      </c>
      <c r="K17" s="2">
        <v>0.0</v>
      </c>
      <c r="L17" s="2">
        <v>0.0</v>
      </c>
      <c r="M17" s="7"/>
      <c r="N17" s="7"/>
    </row>
    <row r="18">
      <c r="A18" s="12">
        <v>45363.0</v>
      </c>
      <c r="B18" s="6" t="s">
        <v>17</v>
      </c>
      <c r="C18" s="2">
        <v>0.5</v>
      </c>
      <c r="D18" s="16">
        <f t="shared" si="3"/>
        <v>12.98</v>
      </c>
      <c r="E18" s="17">
        <f>D18/B1</f>
        <v>0.8653333333</v>
      </c>
      <c r="F18" s="16">
        <f t="shared" si="4"/>
        <v>13.4</v>
      </c>
      <c r="G18" s="17">
        <f>F18/B2</f>
        <v>0.8933333333</v>
      </c>
      <c r="H18" s="15">
        <f t="shared" si="5"/>
        <v>13.42</v>
      </c>
      <c r="I18" s="14">
        <f>H18/B3</f>
        <v>0.8946666667</v>
      </c>
      <c r="J18" s="2">
        <v>0.0</v>
      </c>
      <c r="K18" s="2">
        <v>0.0</v>
      </c>
      <c r="L18" s="2">
        <v>0.0</v>
      </c>
      <c r="M18" s="7"/>
      <c r="N18" s="7"/>
    </row>
    <row r="19">
      <c r="A19" s="12">
        <v>45363.0</v>
      </c>
      <c r="B19" s="6" t="s">
        <v>27</v>
      </c>
      <c r="C19" s="2">
        <v>0.54</v>
      </c>
      <c r="D19" s="16">
        <f t="shared" si="3"/>
        <v>12.98</v>
      </c>
      <c r="E19" s="17">
        <f>D19/B1</f>
        <v>0.8653333333</v>
      </c>
      <c r="F19" s="16">
        <f t="shared" si="4"/>
        <v>12.86</v>
      </c>
      <c r="G19" s="17">
        <f>F19/B2</f>
        <v>0.8573333333</v>
      </c>
      <c r="H19" s="15">
        <f t="shared" si="5"/>
        <v>13.42</v>
      </c>
      <c r="I19" s="14">
        <f>H19/B3</f>
        <v>0.8946666667</v>
      </c>
      <c r="J19" s="2">
        <v>0.0</v>
      </c>
      <c r="K19" s="2">
        <v>0.0</v>
      </c>
      <c r="L19" s="2">
        <v>0.0</v>
      </c>
      <c r="M19" s="7"/>
      <c r="N19" s="7"/>
    </row>
    <row r="20">
      <c r="A20" s="12">
        <v>45363.0</v>
      </c>
      <c r="B20" s="6" t="s">
        <v>28</v>
      </c>
      <c r="C20" s="2">
        <v>0.53</v>
      </c>
      <c r="D20" s="16">
        <f t="shared" si="3"/>
        <v>12.98</v>
      </c>
      <c r="E20" s="17">
        <f>D20/B1</f>
        <v>0.8653333333</v>
      </c>
      <c r="F20" s="16">
        <f t="shared" si="4"/>
        <v>12.86</v>
      </c>
      <c r="G20" s="17">
        <f>F20/B2</f>
        <v>0.8573333333</v>
      </c>
      <c r="H20" s="15">
        <f t="shared" si="5"/>
        <v>12.89</v>
      </c>
      <c r="I20" s="14">
        <f>H20/B3</f>
        <v>0.8593333333</v>
      </c>
      <c r="J20" s="2">
        <v>0.0</v>
      </c>
      <c r="K20" s="2">
        <v>0.0</v>
      </c>
      <c r="L20" s="2">
        <v>0.0</v>
      </c>
      <c r="M20" s="7"/>
      <c r="N20" s="7"/>
    </row>
    <row r="21">
      <c r="A21" s="12">
        <v>45364.0</v>
      </c>
      <c r="B21" s="6" t="s">
        <v>17</v>
      </c>
      <c r="C21" s="2">
        <v>0.53</v>
      </c>
      <c r="D21" s="16">
        <f t="shared" si="3"/>
        <v>12.45</v>
      </c>
      <c r="E21" s="17">
        <f>D21/B1</f>
        <v>0.83</v>
      </c>
      <c r="F21" s="16">
        <f t="shared" si="4"/>
        <v>12.86</v>
      </c>
      <c r="G21" s="17">
        <f>F21/B2</f>
        <v>0.8573333333</v>
      </c>
      <c r="H21" s="15">
        <f t="shared" si="5"/>
        <v>12.89</v>
      </c>
      <c r="I21" s="14">
        <f>H21/B3</f>
        <v>0.8593333333</v>
      </c>
      <c r="J21" s="2">
        <v>0.0</v>
      </c>
      <c r="K21" s="2">
        <v>0.0</v>
      </c>
      <c r="L21" s="2">
        <v>0.0</v>
      </c>
      <c r="M21" s="7"/>
      <c r="N21" s="7"/>
    </row>
    <row r="22">
      <c r="A22" s="12">
        <v>45364.0</v>
      </c>
      <c r="B22" s="6" t="s">
        <v>27</v>
      </c>
      <c r="C22" s="2">
        <v>0.56</v>
      </c>
      <c r="D22" s="16">
        <f t="shared" si="3"/>
        <v>12.45</v>
      </c>
      <c r="E22" s="17">
        <f>D22/B1</f>
        <v>0.83</v>
      </c>
      <c r="F22" s="16">
        <f t="shared" si="4"/>
        <v>12.3</v>
      </c>
      <c r="G22" s="17">
        <f>F22/B2</f>
        <v>0.82</v>
      </c>
      <c r="H22" s="15">
        <f t="shared" si="5"/>
        <v>12.89</v>
      </c>
      <c r="I22" s="14">
        <f>H22/B3</f>
        <v>0.8593333333</v>
      </c>
      <c r="J22" s="2">
        <v>0.0</v>
      </c>
      <c r="K22" s="2">
        <v>0.0</v>
      </c>
      <c r="L22" s="2">
        <v>0.0</v>
      </c>
      <c r="M22" s="7"/>
      <c r="N22" s="7"/>
    </row>
    <row r="23">
      <c r="A23" s="12">
        <v>45364.0</v>
      </c>
      <c r="B23" s="6" t="s">
        <v>28</v>
      </c>
      <c r="C23" s="2">
        <v>0.53</v>
      </c>
      <c r="D23" s="16">
        <f t="shared" si="3"/>
        <v>12.45</v>
      </c>
      <c r="E23" s="17">
        <f>D23/B1</f>
        <v>0.83</v>
      </c>
      <c r="F23" s="16">
        <f t="shared" si="4"/>
        <v>12.3</v>
      </c>
      <c r="G23" s="17">
        <f>F23/B2</f>
        <v>0.82</v>
      </c>
      <c r="H23" s="15">
        <f t="shared" si="5"/>
        <v>12.36</v>
      </c>
      <c r="I23" s="14">
        <f>H23/B3</f>
        <v>0.824</v>
      </c>
      <c r="J23" s="2">
        <v>0.0</v>
      </c>
      <c r="K23" s="2">
        <v>0.0</v>
      </c>
      <c r="L23" s="2">
        <v>0.0</v>
      </c>
      <c r="M23" s="7"/>
      <c r="N23" s="7"/>
    </row>
    <row r="24">
      <c r="A24" s="12">
        <v>45365.0</v>
      </c>
      <c r="B24" s="6" t="s">
        <v>17</v>
      </c>
      <c r="C24" s="2">
        <v>0.52</v>
      </c>
      <c r="D24" s="16">
        <f t="shared" si="3"/>
        <v>11.93</v>
      </c>
      <c r="E24" s="17">
        <f>D24/B1</f>
        <v>0.7953333333</v>
      </c>
      <c r="F24" s="16">
        <f t="shared" si="4"/>
        <v>12.3</v>
      </c>
      <c r="G24" s="17">
        <f>F24/B2</f>
        <v>0.82</v>
      </c>
      <c r="H24" s="15">
        <f t="shared" si="5"/>
        <v>12.36</v>
      </c>
      <c r="I24" s="14">
        <f>H24/B3</f>
        <v>0.824</v>
      </c>
      <c r="J24" s="2">
        <v>0.0</v>
      </c>
      <c r="K24" s="2">
        <v>0.0</v>
      </c>
      <c r="L24" s="2">
        <v>0.0</v>
      </c>
      <c r="M24" s="7"/>
      <c r="N24" s="7"/>
    </row>
    <row r="25">
      <c r="A25" s="12">
        <v>45365.0</v>
      </c>
      <c r="B25" s="6" t="s">
        <v>27</v>
      </c>
      <c r="C25" s="2">
        <v>0.55</v>
      </c>
      <c r="D25" s="16">
        <f t="shared" si="3"/>
        <v>11.93</v>
      </c>
      <c r="E25" s="17">
        <f>D25/B1</f>
        <v>0.7953333333</v>
      </c>
      <c r="F25" s="16">
        <f t="shared" si="4"/>
        <v>11.75</v>
      </c>
      <c r="G25" s="17">
        <f>F25/B2</f>
        <v>0.7833333333</v>
      </c>
      <c r="H25" s="15">
        <f t="shared" si="5"/>
        <v>12.36</v>
      </c>
      <c r="I25" s="14">
        <f>H25/B3</f>
        <v>0.824</v>
      </c>
      <c r="J25" s="2">
        <v>0.0</v>
      </c>
      <c r="K25" s="2">
        <v>0.0</v>
      </c>
      <c r="L25" s="2">
        <v>0.0</v>
      </c>
      <c r="M25" s="7"/>
      <c r="N25" s="7"/>
    </row>
    <row r="26">
      <c r="A26" s="12">
        <v>45365.0</v>
      </c>
      <c r="B26" s="6" t="s">
        <v>28</v>
      </c>
      <c r="C26" s="2">
        <v>0.55</v>
      </c>
      <c r="D26" s="16">
        <f t="shared" si="3"/>
        <v>11.93</v>
      </c>
      <c r="E26" s="17">
        <f>D26/B1</f>
        <v>0.7953333333</v>
      </c>
      <c r="F26" s="16">
        <f t="shared" si="4"/>
        <v>11.75</v>
      </c>
      <c r="G26" s="17">
        <f>F26/B2</f>
        <v>0.7833333333</v>
      </c>
      <c r="H26" s="15">
        <f t="shared" si="5"/>
        <v>11.81</v>
      </c>
      <c r="I26" s="14">
        <f>H26/B3</f>
        <v>0.7873333333</v>
      </c>
      <c r="J26" s="2">
        <v>0.0</v>
      </c>
      <c r="K26" s="2">
        <v>0.0</v>
      </c>
      <c r="L26" s="2">
        <v>0.0</v>
      </c>
      <c r="M26" s="7"/>
      <c r="N26" s="7"/>
    </row>
    <row r="27">
      <c r="A27" s="12">
        <v>45366.0</v>
      </c>
      <c r="B27" s="6" t="s">
        <v>17</v>
      </c>
      <c r="C27" s="2">
        <v>0.61</v>
      </c>
      <c r="D27" s="16">
        <f t="shared" si="3"/>
        <v>11.32</v>
      </c>
      <c r="E27" s="17">
        <f>D27/B1</f>
        <v>0.7546666667</v>
      </c>
      <c r="F27" s="16">
        <f t="shared" si="4"/>
        <v>11.75</v>
      </c>
      <c r="G27" s="17">
        <f>F27/B2</f>
        <v>0.7833333333</v>
      </c>
      <c r="H27" s="15">
        <f t="shared" si="5"/>
        <v>11.81</v>
      </c>
      <c r="I27" s="14">
        <f>H27/B3</f>
        <v>0.7873333333</v>
      </c>
      <c r="J27" s="2">
        <v>0.0</v>
      </c>
      <c r="K27" s="2">
        <v>0.0</v>
      </c>
      <c r="L27" s="2">
        <v>0.0</v>
      </c>
      <c r="M27" s="7"/>
      <c r="N27" s="7"/>
    </row>
    <row r="28">
      <c r="A28" s="12">
        <v>45366.0</v>
      </c>
      <c r="B28" s="6" t="s">
        <v>27</v>
      </c>
      <c r="C28" s="2">
        <v>1.14</v>
      </c>
      <c r="D28" s="16">
        <f t="shared" si="3"/>
        <v>11.32</v>
      </c>
      <c r="E28" s="17">
        <f>D28/B1</f>
        <v>0.7546666667</v>
      </c>
      <c r="F28" s="16">
        <f t="shared" si="4"/>
        <v>10.61</v>
      </c>
      <c r="G28" s="17">
        <f>F28/B2</f>
        <v>0.7073333333</v>
      </c>
      <c r="H28" s="15">
        <f t="shared" si="5"/>
        <v>11.81</v>
      </c>
      <c r="I28" s="14">
        <f>H28/B3</f>
        <v>0.7873333333</v>
      </c>
      <c r="J28" s="2">
        <v>0.0</v>
      </c>
      <c r="K28" s="2">
        <v>0.0</v>
      </c>
      <c r="L28" s="2">
        <v>0.0</v>
      </c>
      <c r="M28" s="7"/>
      <c r="N28" s="7"/>
    </row>
    <row r="29">
      <c r="A29" s="12">
        <v>45366.0</v>
      </c>
      <c r="B29" s="6" t="s">
        <v>28</v>
      </c>
      <c r="C29" s="2">
        <v>1.18</v>
      </c>
      <c r="D29" s="16">
        <f t="shared" si="3"/>
        <v>11.32</v>
      </c>
      <c r="E29" s="17">
        <f>D29/B1</f>
        <v>0.7546666667</v>
      </c>
      <c r="F29" s="16">
        <f t="shared" si="4"/>
        <v>10.61</v>
      </c>
      <c r="G29" s="17">
        <f>F29/B2</f>
        <v>0.7073333333</v>
      </c>
      <c r="H29" s="15">
        <f t="shared" si="5"/>
        <v>10.63</v>
      </c>
      <c r="I29" s="14">
        <f>H29/B3</f>
        <v>0.7086666667</v>
      </c>
      <c r="J29" s="2">
        <v>0.0</v>
      </c>
      <c r="K29" s="2">
        <v>0.0</v>
      </c>
      <c r="L29" s="2">
        <v>0.0</v>
      </c>
      <c r="M29" s="7"/>
      <c r="N29" s="7"/>
    </row>
    <row r="30">
      <c r="A30" s="12">
        <v>45367.0</v>
      </c>
      <c r="B30" s="6" t="s">
        <v>17</v>
      </c>
      <c r="C30" s="2">
        <v>1.0</v>
      </c>
      <c r="D30" s="16">
        <f t="shared" si="3"/>
        <v>10.32</v>
      </c>
      <c r="E30" s="17">
        <f>D30/B1</f>
        <v>0.688</v>
      </c>
      <c r="F30" s="16">
        <f t="shared" si="4"/>
        <v>10.61</v>
      </c>
      <c r="G30" s="17">
        <f>F30/B2</f>
        <v>0.7073333333</v>
      </c>
      <c r="H30" s="15">
        <f t="shared" si="5"/>
        <v>10.63</v>
      </c>
      <c r="I30" s="14">
        <f>H30/B3</f>
        <v>0.7086666667</v>
      </c>
      <c r="J30" s="2">
        <v>0.0</v>
      </c>
      <c r="K30" s="2">
        <v>0.0</v>
      </c>
      <c r="L30" s="2">
        <v>0.0</v>
      </c>
      <c r="M30" s="7"/>
      <c r="N30" s="7"/>
    </row>
    <row r="31">
      <c r="A31" s="12">
        <v>45367.0</v>
      </c>
      <c r="B31" s="6" t="s">
        <v>27</v>
      </c>
      <c r="C31" s="2">
        <v>1.28</v>
      </c>
      <c r="D31" s="16">
        <f t="shared" si="3"/>
        <v>10.32</v>
      </c>
      <c r="E31" s="17">
        <f>D31/B1</f>
        <v>0.688</v>
      </c>
      <c r="F31" s="16">
        <f t="shared" si="4"/>
        <v>9.33</v>
      </c>
      <c r="G31" s="17">
        <f>F31/B2</f>
        <v>0.622</v>
      </c>
      <c r="H31" s="15">
        <f t="shared" si="5"/>
        <v>10.63</v>
      </c>
      <c r="I31" s="14">
        <f>H31/B3</f>
        <v>0.7086666667</v>
      </c>
      <c r="J31" s="2">
        <v>0.0</v>
      </c>
      <c r="K31" s="2">
        <v>0.0</v>
      </c>
      <c r="L31" s="2">
        <v>0.0</v>
      </c>
      <c r="M31" s="7"/>
      <c r="N31" s="7"/>
    </row>
    <row r="32">
      <c r="A32" s="12">
        <v>45367.0</v>
      </c>
      <c r="B32" s="6" t="s">
        <v>28</v>
      </c>
      <c r="C32" s="2">
        <v>1.32</v>
      </c>
      <c r="D32" s="16">
        <f t="shared" si="3"/>
        <v>10.32</v>
      </c>
      <c r="E32" s="17">
        <f>D32/B1</f>
        <v>0.688</v>
      </c>
      <c r="F32" s="16">
        <f t="shared" si="4"/>
        <v>9.33</v>
      </c>
      <c r="G32" s="17">
        <f>F32/B2</f>
        <v>0.622</v>
      </c>
      <c r="H32" s="15">
        <f t="shared" si="5"/>
        <v>9.31</v>
      </c>
      <c r="I32" s="14">
        <f>H32/B3</f>
        <v>0.6206666667</v>
      </c>
      <c r="J32" s="2">
        <v>0.0</v>
      </c>
      <c r="K32" s="2">
        <v>0.0</v>
      </c>
      <c r="L32" s="2">
        <v>0.0</v>
      </c>
      <c r="M32" s="7"/>
      <c r="N32" s="7"/>
    </row>
    <row r="33">
      <c r="A33" s="12">
        <v>45368.0</v>
      </c>
      <c r="B33" s="6" t="s">
        <v>17</v>
      </c>
      <c r="C33" s="2">
        <v>0.55</v>
      </c>
      <c r="D33" s="16">
        <f t="shared" si="3"/>
        <v>9.77</v>
      </c>
      <c r="E33" s="17">
        <f>D33/B1</f>
        <v>0.6513333333</v>
      </c>
      <c r="F33" s="16">
        <f t="shared" si="4"/>
        <v>9.33</v>
      </c>
      <c r="G33" s="17">
        <f>F33/B2</f>
        <v>0.622</v>
      </c>
      <c r="H33" s="15">
        <f t="shared" si="5"/>
        <v>9.31</v>
      </c>
      <c r="I33" s="14">
        <f>H33/B3</f>
        <v>0.6206666667</v>
      </c>
      <c r="J33" s="2">
        <v>0.0</v>
      </c>
      <c r="K33" s="2">
        <v>0.0</v>
      </c>
      <c r="L33" s="2">
        <v>0.0</v>
      </c>
      <c r="M33" s="7"/>
      <c r="N33" s="7"/>
    </row>
    <row r="34">
      <c r="A34" s="12">
        <v>45368.0</v>
      </c>
      <c r="B34" s="6" t="s">
        <v>27</v>
      </c>
      <c r="C34" s="2">
        <v>0.64</v>
      </c>
      <c r="D34" s="16">
        <f t="shared" si="3"/>
        <v>9.77</v>
      </c>
      <c r="E34" s="17">
        <f>D34/B1</f>
        <v>0.6513333333</v>
      </c>
      <c r="F34" s="16">
        <f t="shared" si="4"/>
        <v>8.69</v>
      </c>
      <c r="G34" s="17">
        <f>F34/B2</f>
        <v>0.5793333333</v>
      </c>
      <c r="H34" s="15">
        <f t="shared" si="5"/>
        <v>9.31</v>
      </c>
      <c r="I34" s="14">
        <f>H34/B3</f>
        <v>0.6206666667</v>
      </c>
      <c r="J34" s="2">
        <v>0.0</v>
      </c>
      <c r="K34" s="2">
        <v>0.0</v>
      </c>
      <c r="L34" s="2">
        <v>0.0</v>
      </c>
      <c r="M34" s="7"/>
      <c r="N34" s="7"/>
    </row>
    <row r="35">
      <c r="A35" s="12">
        <v>45368.0</v>
      </c>
      <c r="B35" s="6" t="s">
        <v>28</v>
      </c>
      <c r="C35" s="2">
        <v>0.53</v>
      </c>
      <c r="D35" s="16">
        <f t="shared" si="3"/>
        <v>9.77</v>
      </c>
      <c r="E35" s="17">
        <f>D35/B1</f>
        <v>0.6513333333</v>
      </c>
      <c r="F35" s="16">
        <f t="shared" si="4"/>
        <v>8.69</v>
      </c>
      <c r="G35" s="17">
        <f>F35/B2</f>
        <v>0.5793333333</v>
      </c>
      <c r="H35" s="15">
        <f t="shared" si="5"/>
        <v>8.78</v>
      </c>
      <c r="I35" s="14">
        <f>H35/B3</f>
        <v>0.5853333333</v>
      </c>
      <c r="J35" s="2">
        <v>0.0</v>
      </c>
      <c r="K35" s="2">
        <v>0.0</v>
      </c>
      <c r="L35" s="2">
        <v>0.0</v>
      </c>
      <c r="M35" s="7"/>
      <c r="N35" s="7"/>
    </row>
    <row r="36">
      <c r="A36" s="12">
        <v>45369.0</v>
      </c>
      <c r="B36" s="6" t="s">
        <v>17</v>
      </c>
      <c r="C36" s="2">
        <v>0.56</v>
      </c>
      <c r="D36" s="16">
        <f t="shared" si="3"/>
        <v>9.21</v>
      </c>
      <c r="E36" s="17">
        <f>D36/B1</f>
        <v>0.614</v>
      </c>
      <c r="F36" s="16">
        <f t="shared" si="4"/>
        <v>8.69</v>
      </c>
      <c r="G36" s="17">
        <f>F36/B2</f>
        <v>0.5793333333</v>
      </c>
      <c r="H36" s="15">
        <f t="shared" si="5"/>
        <v>8.78</v>
      </c>
      <c r="I36" s="14">
        <f>H36/B3</f>
        <v>0.5853333333</v>
      </c>
      <c r="J36" s="2">
        <v>0.0</v>
      </c>
      <c r="K36" s="2">
        <v>0.0</v>
      </c>
      <c r="L36" s="2">
        <v>0.0</v>
      </c>
      <c r="M36" s="7"/>
      <c r="N36" s="7"/>
    </row>
    <row r="37">
      <c r="A37" s="12">
        <v>45369.0</v>
      </c>
      <c r="B37" s="6" t="s">
        <v>27</v>
      </c>
      <c r="C37" s="2">
        <v>0.54</v>
      </c>
      <c r="D37" s="16">
        <f t="shared" si="3"/>
        <v>9.21</v>
      </c>
      <c r="E37" s="17">
        <f>D37/B1</f>
        <v>0.614</v>
      </c>
      <c r="F37" s="16">
        <f t="shared" si="4"/>
        <v>8.15</v>
      </c>
      <c r="G37" s="17">
        <f>F37/B2</f>
        <v>0.5433333333</v>
      </c>
      <c r="H37" s="15">
        <f t="shared" si="5"/>
        <v>8.78</v>
      </c>
      <c r="I37" s="14">
        <f>H37/B3</f>
        <v>0.5853333333</v>
      </c>
      <c r="J37" s="2">
        <v>0.0</v>
      </c>
      <c r="K37" s="2">
        <v>0.0</v>
      </c>
      <c r="L37" s="2">
        <v>0.0</v>
      </c>
      <c r="M37" s="7"/>
      <c r="N37" s="7"/>
    </row>
    <row r="38">
      <c r="A38" s="12">
        <v>45369.0</v>
      </c>
      <c r="B38" s="6" t="s">
        <v>28</v>
      </c>
      <c r="C38" s="2">
        <v>0.66</v>
      </c>
      <c r="D38" s="16">
        <f t="shared" si="3"/>
        <v>9.21</v>
      </c>
      <c r="E38" s="17">
        <f>D38/B1</f>
        <v>0.614</v>
      </c>
      <c r="F38" s="16">
        <f t="shared" si="4"/>
        <v>8.15</v>
      </c>
      <c r="G38" s="17">
        <f>F38/B2</f>
        <v>0.5433333333</v>
      </c>
      <c r="H38" s="15">
        <f t="shared" si="5"/>
        <v>8.12</v>
      </c>
      <c r="I38" s="14">
        <f>H38/B3</f>
        <v>0.5413333333</v>
      </c>
      <c r="J38" s="2">
        <v>0.0</v>
      </c>
      <c r="K38" s="2">
        <v>0.0</v>
      </c>
      <c r="L38" s="2">
        <v>0.0</v>
      </c>
      <c r="M38" s="7"/>
      <c r="N38" s="7"/>
    </row>
    <row r="39">
      <c r="A39" s="12">
        <v>45370.0</v>
      </c>
      <c r="B39" s="6" t="s">
        <v>17</v>
      </c>
      <c r="C39" s="2">
        <v>0.52</v>
      </c>
      <c r="D39" s="16">
        <f t="shared" si="3"/>
        <v>8.69</v>
      </c>
      <c r="E39" s="17">
        <f>D39/B1</f>
        <v>0.5793333333</v>
      </c>
      <c r="F39" s="16">
        <f t="shared" si="4"/>
        <v>8.15</v>
      </c>
      <c r="G39" s="17">
        <f>F39/B2</f>
        <v>0.5433333333</v>
      </c>
      <c r="H39" s="15">
        <f t="shared" si="5"/>
        <v>8.12</v>
      </c>
      <c r="I39" s="14">
        <f>H39/B3</f>
        <v>0.5413333333</v>
      </c>
      <c r="J39" s="2">
        <v>0.0</v>
      </c>
      <c r="K39" s="2">
        <v>0.0</v>
      </c>
      <c r="L39" s="2">
        <v>0.0</v>
      </c>
      <c r="M39" s="7"/>
      <c r="N39" s="7"/>
    </row>
    <row r="40">
      <c r="A40" s="12">
        <v>45370.0</v>
      </c>
      <c r="B40" s="6" t="s">
        <v>27</v>
      </c>
      <c r="C40" s="2">
        <v>0.43</v>
      </c>
      <c r="D40" s="16">
        <f t="shared" si="3"/>
        <v>8.69</v>
      </c>
      <c r="E40" s="17">
        <f>D40/B1</f>
        <v>0.5793333333</v>
      </c>
      <c r="F40" s="16">
        <f t="shared" si="4"/>
        <v>7.72</v>
      </c>
      <c r="G40" s="17">
        <f>F40/B2</f>
        <v>0.5146666667</v>
      </c>
      <c r="H40" s="15">
        <f t="shared" si="5"/>
        <v>8.12</v>
      </c>
      <c r="I40" s="14">
        <f>H40/B3</f>
        <v>0.5413333333</v>
      </c>
      <c r="J40" s="2">
        <v>0.0</v>
      </c>
      <c r="K40" s="2">
        <v>0.0</v>
      </c>
      <c r="L40" s="2">
        <v>0.0</v>
      </c>
      <c r="M40" s="7"/>
      <c r="N40" s="7"/>
    </row>
    <row r="41">
      <c r="A41" s="12">
        <v>45370.0</v>
      </c>
      <c r="B41" s="6" t="s">
        <v>28</v>
      </c>
      <c r="C41" s="2">
        <v>0.55</v>
      </c>
      <c r="D41" s="16">
        <f t="shared" si="3"/>
        <v>8.69</v>
      </c>
      <c r="E41" s="17">
        <f>D41/B1</f>
        <v>0.5793333333</v>
      </c>
      <c r="F41" s="16">
        <f t="shared" si="4"/>
        <v>7.72</v>
      </c>
      <c r="G41" s="17">
        <f>F41/B2</f>
        <v>0.5146666667</v>
      </c>
      <c r="H41" s="15">
        <f t="shared" si="5"/>
        <v>7.57</v>
      </c>
      <c r="I41" s="14">
        <f>H41/B3</f>
        <v>0.5046666667</v>
      </c>
      <c r="J41" s="2">
        <v>0.0</v>
      </c>
      <c r="K41" s="2">
        <v>0.0</v>
      </c>
      <c r="L41" s="2">
        <v>0.0</v>
      </c>
      <c r="M41" s="7"/>
      <c r="N41" s="7"/>
    </row>
    <row r="42">
      <c r="A42" s="12">
        <v>45371.0</v>
      </c>
      <c r="B42" s="6" t="s">
        <v>17</v>
      </c>
      <c r="C42" s="2">
        <v>0.64</v>
      </c>
      <c r="D42" s="16">
        <f t="shared" si="3"/>
        <v>8.05</v>
      </c>
      <c r="E42" s="17">
        <f>D42/B1</f>
        <v>0.5366666667</v>
      </c>
      <c r="F42" s="16">
        <f t="shared" si="4"/>
        <v>7.72</v>
      </c>
      <c r="G42" s="17">
        <f>F42/B2</f>
        <v>0.5146666667</v>
      </c>
      <c r="H42" s="15">
        <f t="shared" si="5"/>
        <v>7.57</v>
      </c>
      <c r="I42" s="14">
        <f>H42/B3</f>
        <v>0.5046666667</v>
      </c>
      <c r="J42" s="2">
        <v>0.0</v>
      </c>
      <c r="K42" s="2">
        <v>0.0</v>
      </c>
      <c r="L42" s="2">
        <v>0.0</v>
      </c>
      <c r="M42" s="7"/>
      <c r="N42" s="7"/>
    </row>
    <row r="43">
      <c r="A43" s="12">
        <v>45371.0</v>
      </c>
      <c r="B43" s="6" t="s">
        <v>27</v>
      </c>
      <c r="C43" s="2">
        <v>0.62</v>
      </c>
      <c r="D43" s="16">
        <f t="shared" si="3"/>
        <v>8.05</v>
      </c>
      <c r="E43" s="17">
        <f>D43/B1</f>
        <v>0.5366666667</v>
      </c>
      <c r="F43" s="16">
        <f t="shared" si="4"/>
        <v>7.1</v>
      </c>
      <c r="G43" s="17">
        <f>F43/B2</f>
        <v>0.4733333333</v>
      </c>
      <c r="H43" s="15">
        <f t="shared" si="5"/>
        <v>7.57</v>
      </c>
      <c r="I43" s="14">
        <f>H43/B3</f>
        <v>0.5046666667</v>
      </c>
      <c r="J43" s="2">
        <v>0.0</v>
      </c>
      <c r="K43" s="2">
        <v>0.0</v>
      </c>
      <c r="L43" s="2">
        <v>0.0</v>
      </c>
      <c r="M43" s="7"/>
      <c r="N43" s="7"/>
    </row>
    <row r="44">
      <c r="A44" s="12">
        <v>45371.0</v>
      </c>
      <c r="B44" s="6" t="s">
        <v>28</v>
      </c>
      <c r="C44" s="2">
        <v>0.58</v>
      </c>
      <c r="D44" s="16">
        <f t="shared" si="3"/>
        <v>8.05</v>
      </c>
      <c r="E44" s="17">
        <f>D44/B1</f>
        <v>0.5366666667</v>
      </c>
      <c r="F44" s="16">
        <f t="shared" si="4"/>
        <v>7.1</v>
      </c>
      <c r="G44" s="17">
        <f>F44/B2</f>
        <v>0.4733333333</v>
      </c>
      <c r="H44" s="15">
        <f t="shared" si="5"/>
        <v>6.99</v>
      </c>
      <c r="I44" s="14">
        <f>H44/B3</f>
        <v>0.466</v>
      </c>
      <c r="J44" s="2">
        <v>0.0</v>
      </c>
      <c r="K44" s="2">
        <v>0.0</v>
      </c>
      <c r="L44" s="2">
        <v>0.0</v>
      </c>
      <c r="M44" s="7"/>
      <c r="N44" s="7"/>
    </row>
    <row r="45">
      <c r="A45" s="12">
        <v>45372.0</v>
      </c>
      <c r="B45" s="6" t="s">
        <v>17</v>
      </c>
      <c r="C45" s="2">
        <v>0.88</v>
      </c>
      <c r="D45" s="16">
        <f t="shared" si="3"/>
        <v>7.17</v>
      </c>
      <c r="E45" s="17">
        <f>D45/B1</f>
        <v>0.478</v>
      </c>
      <c r="F45" s="16">
        <f t="shared" si="4"/>
        <v>7.1</v>
      </c>
      <c r="G45" s="17">
        <f>F45/B2</f>
        <v>0.4733333333</v>
      </c>
      <c r="H45" s="15">
        <f t="shared" si="5"/>
        <v>6.99</v>
      </c>
      <c r="I45" s="14">
        <f>H45/B3</f>
        <v>0.466</v>
      </c>
      <c r="J45" s="2">
        <v>0.0</v>
      </c>
      <c r="K45" s="2">
        <v>0.0</v>
      </c>
      <c r="L45" s="2">
        <v>0.0</v>
      </c>
      <c r="M45" s="7"/>
      <c r="N45" s="7"/>
    </row>
    <row r="46">
      <c r="A46" s="12">
        <v>45372.0</v>
      </c>
      <c r="B46" s="6" t="s">
        <v>27</v>
      </c>
      <c r="C46" s="2">
        <v>1.17</v>
      </c>
      <c r="D46" s="16">
        <f t="shared" si="3"/>
        <v>7.17</v>
      </c>
      <c r="E46" s="17">
        <f>D46/B1</f>
        <v>0.478</v>
      </c>
      <c r="F46" s="16">
        <f t="shared" si="4"/>
        <v>5.93</v>
      </c>
      <c r="G46" s="17">
        <f>F46/B2</f>
        <v>0.3953333333</v>
      </c>
      <c r="H46" s="15">
        <f t="shared" si="5"/>
        <v>6.99</v>
      </c>
      <c r="I46" s="14">
        <f>H46/B3</f>
        <v>0.466</v>
      </c>
      <c r="J46" s="2">
        <v>0.0</v>
      </c>
      <c r="K46" s="2">
        <v>0.0</v>
      </c>
      <c r="L46" s="2">
        <v>0.0</v>
      </c>
      <c r="M46" s="7"/>
      <c r="N46" s="7"/>
    </row>
    <row r="47">
      <c r="A47" s="12">
        <v>45372.0</v>
      </c>
      <c r="B47" s="6" t="s">
        <v>28</v>
      </c>
      <c r="C47" s="2">
        <v>0.89</v>
      </c>
      <c r="D47" s="16">
        <f t="shared" si="3"/>
        <v>7.17</v>
      </c>
      <c r="E47" s="17">
        <f>D47/B1</f>
        <v>0.478</v>
      </c>
      <c r="F47" s="16">
        <f t="shared" si="4"/>
        <v>5.93</v>
      </c>
      <c r="G47" s="17">
        <f>F47/B2</f>
        <v>0.3953333333</v>
      </c>
      <c r="H47" s="15">
        <f t="shared" si="5"/>
        <v>6.1</v>
      </c>
      <c r="I47" s="14">
        <f>H47/B3</f>
        <v>0.4066666667</v>
      </c>
      <c r="J47" s="2">
        <v>0.0</v>
      </c>
      <c r="K47" s="2">
        <v>0.0</v>
      </c>
      <c r="L47" s="2">
        <v>0.0</v>
      </c>
      <c r="M47" s="7"/>
      <c r="N47" s="7"/>
    </row>
    <row r="48">
      <c r="A48" s="12">
        <v>45373.0</v>
      </c>
      <c r="B48" s="6" t="s">
        <v>17</v>
      </c>
      <c r="C48" s="2">
        <v>0.0</v>
      </c>
      <c r="D48" s="16">
        <f t="shared" si="3"/>
        <v>7.17</v>
      </c>
      <c r="E48" s="17">
        <f>D48/B1</f>
        <v>0.478</v>
      </c>
      <c r="F48" s="16">
        <f t="shared" si="4"/>
        <v>5.93</v>
      </c>
      <c r="G48" s="17">
        <f>F48/B2</f>
        <v>0.3953333333</v>
      </c>
      <c r="H48" s="15">
        <f t="shared" si="5"/>
        <v>6.1</v>
      </c>
      <c r="I48" s="14">
        <f>H48/B3</f>
        <v>0.4066666667</v>
      </c>
      <c r="J48" s="2">
        <v>0.0</v>
      </c>
      <c r="K48" s="2">
        <v>0.0</v>
      </c>
      <c r="L48" s="2">
        <v>0.0</v>
      </c>
      <c r="M48" s="7"/>
      <c r="N48" s="7"/>
    </row>
    <row r="49">
      <c r="A49" s="12">
        <v>45373.0</v>
      </c>
      <c r="B49" s="6" t="s">
        <v>27</v>
      </c>
      <c r="C49" s="2">
        <v>0.49</v>
      </c>
      <c r="D49" s="16">
        <f t="shared" si="3"/>
        <v>7.17</v>
      </c>
      <c r="E49" s="17">
        <f>D49/B1</f>
        <v>0.478</v>
      </c>
      <c r="F49" s="16">
        <f t="shared" si="4"/>
        <v>5.44</v>
      </c>
      <c r="G49" s="17">
        <f>F49/B2</f>
        <v>0.3626666667</v>
      </c>
      <c r="H49" s="15">
        <f t="shared" si="5"/>
        <v>6.1</v>
      </c>
      <c r="I49" s="14">
        <f>H49/B3</f>
        <v>0.4066666667</v>
      </c>
      <c r="J49" s="2">
        <v>0.0</v>
      </c>
      <c r="K49" s="2">
        <v>0.0</v>
      </c>
      <c r="L49" s="2">
        <v>0.0</v>
      </c>
      <c r="M49" s="7"/>
      <c r="N49" s="7"/>
    </row>
    <row r="50">
      <c r="A50" s="12">
        <v>45373.0</v>
      </c>
      <c r="B50" s="6" t="s">
        <v>28</v>
      </c>
      <c r="C50" s="2">
        <v>0.59</v>
      </c>
      <c r="D50" s="16">
        <f t="shared" si="3"/>
        <v>7.17</v>
      </c>
      <c r="E50" s="17">
        <f>D50/B1</f>
        <v>0.478</v>
      </c>
      <c r="F50" s="16">
        <f t="shared" si="4"/>
        <v>5.44</v>
      </c>
      <c r="G50" s="17">
        <f>F50/B2</f>
        <v>0.3626666667</v>
      </c>
      <c r="H50" s="15">
        <f t="shared" si="5"/>
        <v>5.51</v>
      </c>
      <c r="I50" s="14">
        <f>H50/B3</f>
        <v>0.3673333333</v>
      </c>
      <c r="J50" s="2">
        <v>0.0</v>
      </c>
      <c r="K50" s="2">
        <v>0.0</v>
      </c>
      <c r="L50" s="2">
        <v>0.0</v>
      </c>
      <c r="M50" s="7"/>
      <c r="N50" s="7"/>
    </row>
    <row r="51">
      <c r="A51" s="12">
        <v>45374.0</v>
      </c>
      <c r="B51" s="6" t="s">
        <v>17</v>
      </c>
      <c r="C51" s="2">
        <v>0.71</v>
      </c>
      <c r="D51" s="16">
        <f t="shared" si="3"/>
        <v>6.46</v>
      </c>
      <c r="E51" s="17">
        <f>D51/B1</f>
        <v>0.4306666667</v>
      </c>
      <c r="F51" s="16">
        <f t="shared" si="4"/>
        <v>5.44</v>
      </c>
      <c r="G51" s="17">
        <f>F51/B2</f>
        <v>0.3626666667</v>
      </c>
      <c r="H51" s="15">
        <f t="shared" si="5"/>
        <v>5.51</v>
      </c>
      <c r="I51" s="14">
        <f>H51/B3</f>
        <v>0.3673333333</v>
      </c>
      <c r="J51" s="2">
        <v>0.0</v>
      </c>
      <c r="K51" s="2">
        <v>0.0</v>
      </c>
      <c r="L51" s="2">
        <v>0.0</v>
      </c>
      <c r="M51" s="7"/>
      <c r="N51" s="7"/>
    </row>
    <row r="52">
      <c r="A52" s="12">
        <v>45374.0</v>
      </c>
      <c r="B52" s="6" t="s">
        <v>27</v>
      </c>
      <c r="C52" s="2">
        <v>0.85</v>
      </c>
      <c r="D52" s="16">
        <f t="shared" si="3"/>
        <v>6.46</v>
      </c>
      <c r="E52" s="17">
        <f>D52/B1</f>
        <v>0.4306666667</v>
      </c>
      <c r="F52" s="16">
        <f t="shared" si="4"/>
        <v>4.59</v>
      </c>
      <c r="G52" s="17">
        <f>F52/B2</f>
        <v>0.306</v>
      </c>
      <c r="H52" s="15">
        <f t="shared" si="5"/>
        <v>5.51</v>
      </c>
      <c r="I52" s="14">
        <f>H52/B3</f>
        <v>0.3673333333</v>
      </c>
      <c r="J52" s="2">
        <v>0.0</v>
      </c>
      <c r="K52" s="2">
        <v>0.0</v>
      </c>
      <c r="L52" s="2">
        <v>0.0</v>
      </c>
      <c r="M52" s="7"/>
      <c r="N52" s="7"/>
    </row>
    <row r="53">
      <c r="A53" s="12">
        <v>45374.0</v>
      </c>
      <c r="B53" s="6" t="s">
        <v>28</v>
      </c>
      <c r="C53" s="2">
        <v>1.01</v>
      </c>
      <c r="D53" s="16">
        <f t="shared" si="3"/>
        <v>6.46</v>
      </c>
      <c r="E53" s="17">
        <f>D53/B1</f>
        <v>0.4306666667</v>
      </c>
      <c r="F53" s="16">
        <f t="shared" si="4"/>
        <v>4.59</v>
      </c>
      <c r="G53" s="17">
        <f>F53/B2</f>
        <v>0.306</v>
      </c>
      <c r="H53" s="15">
        <f t="shared" si="5"/>
        <v>4.5</v>
      </c>
      <c r="I53" s="14">
        <f>H53/B3</f>
        <v>0.3</v>
      </c>
      <c r="J53" s="2">
        <v>0.0</v>
      </c>
      <c r="K53" s="2">
        <v>0.0</v>
      </c>
      <c r="L53" s="2">
        <v>0.0</v>
      </c>
      <c r="M53" s="7"/>
      <c r="N53" s="7"/>
    </row>
    <row r="54">
      <c r="A54" s="12">
        <v>45375.0</v>
      </c>
      <c r="B54" s="6" t="s">
        <v>17</v>
      </c>
      <c r="C54" s="2">
        <v>0.57</v>
      </c>
      <c r="D54" s="16">
        <f t="shared" si="3"/>
        <v>5.89</v>
      </c>
      <c r="E54" s="17">
        <f>D54/B1</f>
        <v>0.3926666667</v>
      </c>
      <c r="F54" s="16">
        <f t="shared" si="4"/>
        <v>4.59</v>
      </c>
      <c r="G54" s="17">
        <f>F54/B2</f>
        <v>0.306</v>
      </c>
      <c r="H54" s="15">
        <f t="shared" si="5"/>
        <v>4.5</v>
      </c>
      <c r="I54" s="14">
        <f>H54/B3</f>
        <v>0.3</v>
      </c>
      <c r="J54" s="2">
        <v>0.0</v>
      </c>
      <c r="K54" s="2">
        <v>0.0</v>
      </c>
      <c r="L54" s="2">
        <v>0.0</v>
      </c>
      <c r="M54" s="7"/>
      <c r="N54" s="7"/>
    </row>
    <row r="55">
      <c r="A55" s="12">
        <v>45375.0</v>
      </c>
      <c r="B55" s="6" t="s">
        <v>27</v>
      </c>
      <c r="C55" s="2">
        <v>0.72</v>
      </c>
      <c r="D55" s="16">
        <f t="shared" si="3"/>
        <v>5.89</v>
      </c>
      <c r="E55" s="17">
        <f>D55/B1</f>
        <v>0.3926666667</v>
      </c>
      <c r="F55" s="16">
        <f t="shared" si="4"/>
        <v>3.87</v>
      </c>
      <c r="G55" s="17">
        <f>F55/B2</f>
        <v>0.258</v>
      </c>
      <c r="H55" s="15">
        <f t="shared" si="5"/>
        <v>4.5</v>
      </c>
      <c r="I55" s="14">
        <f>H55/B3</f>
        <v>0.3</v>
      </c>
      <c r="J55" s="2">
        <v>0.0</v>
      </c>
      <c r="K55" s="2">
        <v>0.0</v>
      </c>
      <c r="L55" s="2">
        <v>0.0</v>
      </c>
      <c r="M55" s="7"/>
      <c r="N55" s="7"/>
    </row>
    <row r="56">
      <c r="A56" s="12">
        <v>45375.0</v>
      </c>
      <c r="B56" s="6" t="s">
        <v>28</v>
      </c>
      <c r="C56" s="2">
        <v>0.54</v>
      </c>
      <c r="D56" s="16">
        <f t="shared" si="3"/>
        <v>5.89</v>
      </c>
      <c r="E56" s="17">
        <f>D56/B1</f>
        <v>0.3926666667</v>
      </c>
      <c r="F56" s="16">
        <f t="shared" si="4"/>
        <v>3.87</v>
      </c>
      <c r="G56" s="17">
        <f>F56/B2</f>
        <v>0.258</v>
      </c>
      <c r="H56" s="15">
        <f t="shared" si="5"/>
        <v>3.96</v>
      </c>
      <c r="I56" s="14">
        <f>H56/B3</f>
        <v>0.264</v>
      </c>
      <c r="J56" s="2">
        <v>0.0</v>
      </c>
      <c r="K56" s="2">
        <v>0.0</v>
      </c>
      <c r="L56" s="2">
        <v>0.0</v>
      </c>
      <c r="M56" s="7"/>
      <c r="N56" s="7"/>
    </row>
    <row r="57">
      <c r="A57" s="12">
        <v>45376.0</v>
      </c>
      <c r="B57" s="6" t="s">
        <v>17</v>
      </c>
      <c r="C57" s="2">
        <v>0.0</v>
      </c>
      <c r="D57" s="16">
        <f t="shared" si="3"/>
        <v>5.89</v>
      </c>
      <c r="E57" s="17">
        <f>D57/B1</f>
        <v>0.3926666667</v>
      </c>
      <c r="F57" s="16">
        <f t="shared" si="4"/>
        <v>3.87</v>
      </c>
      <c r="G57" s="17">
        <f>F57/B2</f>
        <v>0.258</v>
      </c>
      <c r="H57" s="15">
        <f t="shared" si="5"/>
        <v>3.96</v>
      </c>
      <c r="I57" s="14">
        <f>H57/B3</f>
        <v>0.264</v>
      </c>
      <c r="J57" s="2">
        <v>0.0</v>
      </c>
      <c r="K57" s="2">
        <v>0.0</v>
      </c>
      <c r="L57" s="2">
        <v>0.0</v>
      </c>
      <c r="M57" s="7"/>
      <c r="N57" s="7"/>
    </row>
    <row r="58">
      <c r="A58" s="12">
        <v>45376.0</v>
      </c>
      <c r="B58" s="6" t="s">
        <v>27</v>
      </c>
      <c r="C58" s="2">
        <v>0.0</v>
      </c>
      <c r="D58" s="16">
        <f t="shared" si="3"/>
        <v>5.89</v>
      </c>
      <c r="E58" s="17">
        <f>D58/B1</f>
        <v>0.3926666667</v>
      </c>
      <c r="F58" s="16">
        <f t="shared" si="4"/>
        <v>3.87</v>
      </c>
      <c r="G58" s="17">
        <f>F58/B2</f>
        <v>0.258</v>
      </c>
      <c r="H58" s="15">
        <f t="shared" si="5"/>
        <v>3.96</v>
      </c>
      <c r="I58" s="14">
        <f>H58/B3</f>
        <v>0.264</v>
      </c>
      <c r="J58" s="2">
        <v>0.0</v>
      </c>
      <c r="K58" s="2">
        <v>0.0</v>
      </c>
      <c r="L58" s="2">
        <v>0.0</v>
      </c>
      <c r="M58" s="7"/>
      <c r="N58" s="7"/>
    </row>
    <row r="59">
      <c r="A59" s="12">
        <v>45376.0</v>
      </c>
      <c r="B59" s="6" t="s">
        <v>28</v>
      </c>
      <c r="C59" s="2">
        <v>0.0</v>
      </c>
      <c r="D59" s="16">
        <f t="shared" si="3"/>
        <v>5.89</v>
      </c>
      <c r="E59" s="17">
        <f>D59/B1</f>
        <v>0.3926666667</v>
      </c>
      <c r="F59" s="16">
        <f t="shared" si="4"/>
        <v>3.87</v>
      </c>
      <c r="G59" s="17">
        <f>F59/B2</f>
        <v>0.258</v>
      </c>
      <c r="H59" s="15">
        <f t="shared" si="5"/>
        <v>3.96</v>
      </c>
      <c r="I59" s="14">
        <f>H59/B3</f>
        <v>0.264</v>
      </c>
      <c r="J59" s="2">
        <v>0.0</v>
      </c>
      <c r="K59" s="2">
        <v>0.0</v>
      </c>
      <c r="L59" s="2">
        <v>0.0</v>
      </c>
    </row>
    <row r="60">
      <c r="A60" s="12">
        <v>45377.0</v>
      </c>
      <c r="B60" s="6" t="s">
        <v>17</v>
      </c>
      <c r="C60" s="2">
        <v>0.0</v>
      </c>
      <c r="D60" s="16">
        <f t="shared" si="3"/>
        <v>5.89</v>
      </c>
      <c r="E60" s="17">
        <f>D60/B1</f>
        <v>0.3926666667</v>
      </c>
      <c r="F60" s="16">
        <f t="shared" si="4"/>
        <v>3.87</v>
      </c>
      <c r="G60" s="17">
        <f>F60/B2</f>
        <v>0.258</v>
      </c>
      <c r="H60" s="15">
        <f t="shared" si="5"/>
        <v>3.96</v>
      </c>
      <c r="I60" s="14">
        <f>H60/B3</f>
        <v>0.264</v>
      </c>
      <c r="J60" s="2">
        <v>0.0</v>
      </c>
      <c r="K60" s="2">
        <v>0.0</v>
      </c>
      <c r="L60" s="2">
        <v>0.0</v>
      </c>
    </row>
    <row r="61">
      <c r="A61" s="12">
        <v>45377.0</v>
      </c>
      <c r="B61" s="6" t="s">
        <v>27</v>
      </c>
      <c r="C61" s="2">
        <v>0.5</v>
      </c>
      <c r="D61" s="16">
        <f t="shared" si="3"/>
        <v>5.89</v>
      </c>
      <c r="E61" s="17">
        <f>D61/B1</f>
        <v>0.3926666667</v>
      </c>
      <c r="F61" s="16">
        <f t="shared" si="4"/>
        <v>3.37</v>
      </c>
      <c r="G61" s="17">
        <f>F61/B2</f>
        <v>0.2246666667</v>
      </c>
      <c r="H61" s="15">
        <f t="shared" si="5"/>
        <v>3.96</v>
      </c>
      <c r="I61" s="14">
        <f>H61/B3</f>
        <v>0.264</v>
      </c>
      <c r="J61" s="2">
        <v>0.0</v>
      </c>
      <c r="K61" s="2">
        <v>0.0</v>
      </c>
      <c r="L61" s="2">
        <v>0.0</v>
      </c>
    </row>
    <row r="62">
      <c r="A62" s="12">
        <v>45377.0</v>
      </c>
      <c r="B62" s="6" t="s">
        <v>28</v>
      </c>
      <c r="C62" s="2">
        <v>0.58</v>
      </c>
      <c r="D62" s="16">
        <f t="shared" si="3"/>
        <v>5.89</v>
      </c>
      <c r="E62" s="17">
        <f>D62/B1</f>
        <v>0.3926666667</v>
      </c>
      <c r="F62" s="16">
        <f t="shared" si="4"/>
        <v>3.37</v>
      </c>
      <c r="G62" s="17">
        <f>F62/B2</f>
        <v>0.2246666667</v>
      </c>
      <c r="H62" s="15">
        <f t="shared" si="5"/>
        <v>3.38</v>
      </c>
      <c r="I62" s="14">
        <f>H62/B3</f>
        <v>0.2253333333</v>
      </c>
      <c r="J62" s="2">
        <v>0.0</v>
      </c>
      <c r="K62" s="2">
        <v>0.0</v>
      </c>
      <c r="L62" s="2">
        <v>0.0</v>
      </c>
    </row>
    <row r="63">
      <c r="A63" s="12">
        <v>45378.0</v>
      </c>
      <c r="B63" s="6" t="s">
        <v>17</v>
      </c>
      <c r="C63" s="2">
        <v>1.21</v>
      </c>
      <c r="D63" s="16">
        <f t="shared" si="3"/>
        <v>4.68</v>
      </c>
      <c r="E63" s="17">
        <f>D63/B1</f>
        <v>0.312</v>
      </c>
      <c r="F63" s="16">
        <f t="shared" si="4"/>
        <v>3.37</v>
      </c>
      <c r="G63" s="17">
        <f>F63/B2</f>
        <v>0.2246666667</v>
      </c>
      <c r="H63" s="15">
        <f t="shared" si="5"/>
        <v>3.38</v>
      </c>
      <c r="I63" s="14">
        <f>H63/B3</f>
        <v>0.2253333333</v>
      </c>
      <c r="J63" s="2">
        <v>0.0</v>
      </c>
      <c r="K63" s="2">
        <v>0.0</v>
      </c>
      <c r="L63" s="2">
        <v>0.0</v>
      </c>
    </row>
    <row r="64">
      <c r="A64" s="12">
        <v>45378.0</v>
      </c>
      <c r="B64" s="6" t="s">
        <v>27</v>
      </c>
      <c r="C64" s="2">
        <v>0.51</v>
      </c>
      <c r="D64" s="16">
        <f t="shared" si="3"/>
        <v>4.68</v>
      </c>
      <c r="E64" s="17">
        <f>D64/B1</f>
        <v>0.312</v>
      </c>
      <c r="F64" s="16">
        <f t="shared" si="4"/>
        <v>2.86</v>
      </c>
      <c r="G64" s="17">
        <f>F64/B2</f>
        <v>0.1906666667</v>
      </c>
      <c r="H64" s="15">
        <f t="shared" si="5"/>
        <v>3.38</v>
      </c>
      <c r="I64" s="14">
        <f>H64/B3</f>
        <v>0.2253333333</v>
      </c>
      <c r="J64" s="2">
        <v>0.0</v>
      </c>
      <c r="K64" s="2">
        <v>0.0</v>
      </c>
      <c r="L64" s="2">
        <v>0.0</v>
      </c>
    </row>
    <row r="65">
      <c r="A65" s="12">
        <v>45378.0</v>
      </c>
      <c r="B65" s="6" t="s">
        <v>28</v>
      </c>
      <c r="C65" s="2">
        <v>0.53</v>
      </c>
      <c r="D65" s="16">
        <f t="shared" si="3"/>
        <v>4.68</v>
      </c>
      <c r="E65" s="17">
        <f>D65/B1</f>
        <v>0.312</v>
      </c>
      <c r="F65" s="16">
        <f t="shared" si="4"/>
        <v>2.86</v>
      </c>
      <c r="G65" s="17">
        <f>F65/B2</f>
        <v>0.1906666667</v>
      </c>
      <c r="H65" s="15">
        <f t="shared" si="5"/>
        <v>2.85</v>
      </c>
      <c r="I65" s="14">
        <f>H65/B3</f>
        <v>0.19</v>
      </c>
      <c r="J65" s="2">
        <v>0.0</v>
      </c>
      <c r="K65" s="2">
        <v>0.0</v>
      </c>
      <c r="L65" s="2">
        <v>0.0</v>
      </c>
    </row>
    <row r="66">
      <c r="A66" s="12">
        <v>45379.0</v>
      </c>
      <c r="B66" s="6" t="s">
        <v>17</v>
      </c>
      <c r="C66" s="2">
        <v>1.02</v>
      </c>
      <c r="D66" s="16">
        <f t="shared" si="3"/>
        <v>3.66</v>
      </c>
      <c r="E66" s="17">
        <f>D66/B1</f>
        <v>0.244</v>
      </c>
      <c r="F66" s="16">
        <f t="shared" si="4"/>
        <v>2.86</v>
      </c>
      <c r="G66" s="17">
        <f>F66/B2</f>
        <v>0.1906666667</v>
      </c>
      <c r="H66" s="15">
        <f t="shared" si="5"/>
        <v>2.85</v>
      </c>
      <c r="I66" s="14">
        <f>H66/B3</f>
        <v>0.19</v>
      </c>
      <c r="J66" s="2">
        <v>0.0</v>
      </c>
      <c r="K66" s="2">
        <v>0.0</v>
      </c>
      <c r="L66" s="2">
        <v>0.0</v>
      </c>
    </row>
    <row r="67">
      <c r="A67" s="12">
        <v>45379.0</v>
      </c>
      <c r="B67" s="6" t="s">
        <v>27</v>
      </c>
      <c r="C67" s="2">
        <v>1.24</v>
      </c>
      <c r="D67" s="16">
        <f t="shared" si="3"/>
        <v>3.66</v>
      </c>
      <c r="E67" s="17">
        <f>D67/B1</f>
        <v>0.244</v>
      </c>
      <c r="F67" s="16">
        <f t="shared" si="4"/>
        <v>1.62</v>
      </c>
      <c r="G67" s="17">
        <f>F67/B2</f>
        <v>0.108</v>
      </c>
      <c r="H67" s="15">
        <f t="shared" si="5"/>
        <v>2.85</v>
      </c>
      <c r="I67" s="14">
        <f>H67/B3</f>
        <v>0.19</v>
      </c>
      <c r="J67" s="2">
        <v>0.0</v>
      </c>
      <c r="K67" s="2">
        <v>0.0</v>
      </c>
      <c r="L67" s="2">
        <v>0.0</v>
      </c>
    </row>
    <row r="68">
      <c r="A68" s="12">
        <v>45379.0</v>
      </c>
      <c r="B68" s="6" t="s">
        <v>28</v>
      </c>
      <c r="C68" s="2">
        <v>1.17</v>
      </c>
      <c r="D68" s="16">
        <f t="shared" si="3"/>
        <v>3.66</v>
      </c>
      <c r="E68" s="17">
        <f>D68/B1</f>
        <v>0.244</v>
      </c>
      <c r="F68" s="16">
        <f t="shared" si="4"/>
        <v>1.62</v>
      </c>
      <c r="G68" s="17">
        <f>F68/B2</f>
        <v>0.108</v>
      </c>
      <c r="H68" s="15">
        <f t="shared" si="5"/>
        <v>1.68</v>
      </c>
      <c r="I68" s="14">
        <f>H68/B3</f>
        <v>0.112</v>
      </c>
      <c r="J68" s="2">
        <v>0.0</v>
      </c>
      <c r="K68" s="2">
        <v>0.0</v>
      </c>
      <c r="L68" s="2">
        <v>0.0</v>
      </c>
    </row>
    <row r="69">
      <c r="A69" s="12">
        <v>45380.0</v>
      </c>
      <c r="B69" s="6" t="s">
        <v>17</v>
      </c>
      <c r="C69" s="2">
        <v>0.8</v>
      </c>
      <c r="D69" s="16">
        <f t="shared" si="3"/>
        <v>2.86</v>
      </c>
      <c r="E69" s="17">
        <f>D69/B1</f>
        <v>0.1906666667</v>
      </c>
      <c r="F69" s="16">
        <f t="shared" si="4"/>
        <v>1.62</v>
      </c>
      <c r="G69" s="17">
        <f>F69/B2</f>
        <v>0.108</v>
      </c>
      <c r="H69" s="15">
        <f t="shared" si="5"/>
        <v>1.68</v>
      </c>
      <c r="I69" s="14">
        <f>H69/B3</f>
        <v>0.112</v>
      </c>
      <c r="J69" s="2">
        <v>0.0</v>
      </c>
      <c r="K69" s="2">
        <v>0.0</v>
      </c>
      <c r="L69" s="2">
        <v>0.0</v>
      </c>
    </row>
    <row r="70">
      <c r="A70" s="12">
        <v>45380.0</v>
      </c>
      <c r="B70" s="6" t="s">
        <v>27</v>
      </c>
      <c r="C70" s="2">
        <v>0.66</v>
      </c>
      <c r="D70" s="16">
        <f t="shared" si="3"/>
        <v>2.86</v>
      </c>
      <c r="E70" s="17">
        <f>D70/B1</f>
        <v>0.1906666667</v>
      </c>
      <c r="F70" s="16">
        <f t="shared" si="4"/>
        <v>0.96</v>
      </c>
      <c r="G70" s="17">
        <f>F70/B2</f>
        <v>0.064</v>
      </c>
      <c r="H70" s="15">
        <f t="shared" si="5"/>
        <v>1.68</v>
      </c>
      <c r="I70" s="14">
        <f>H70/B3</f>
        <v>0.112</v>
      </c>
      <c r="J70" s="2">
        <v>0.0</v>
      </c>
      <c r="K70" s="2">
        <v>0.0</v>
      </c>
      <c r="L70" s="2">
        <v>0.0</v>
      </c>
    </row>
    <row r="71">
      <c r="A71" s="12">
        <v>45380.0</v>
      </c>
      <c r="B71" s="6" t="s">
        <v>28</v>
      </c>
      <c r="C71" s="2">
        <v>0.66</v>
      </c>
      <c r="D71" s="16">
        <f t="shared" si="3"/>
        <v>2.86</v>
      </c>
      <c r="E71" s="17">
        <f>D71/B1</f>
        <v>0.1906666667</v>
      </c>
      <c r="F71" s="16">
        <f t="shared" si="4"/>
        <v>0.96</v>
      </c>
      <c r="G71" s="17">
        <f>F71/B2</f>
        <v>0.064</v>
      </c>
      <c r="H71" s="15">
        <f t="shared" si="5"/>
        <v>1.02</v>
      </c>
      <c r="I71" s="14">
        <f>H71/B3</f>
        <v>0.068</v>
      </c>
      <c r="J71" s="2">
        <v>0.0</v>
      </c>
      <c r="K71" s="2">
        <v>0.0</v>
      </c>
      <c r="L71" s="2">
        <v>0.0</v>
      </c>
    </row>
    <row r="72">
      <c r="A72" s="12">
        <v>45381.0</v>
      </c>
      <c r="B72" s="6" t="s">
        <v>17</v>
      </c>
      <c r="C72" s="2">
        <v>0.0</v>
      </c>
      <c r="D72" s="16">
        <f t="shared" si="3"/>
        <v>2.86</v>
      </c>
      <c r="E72" s="17">
        <f>D72/B1</f>
        <v>0.1906666667</v>
      </c>
      <c r="F72" s="16">
        <f t="shared" si="4"/>
        <v>0.96</v>
      </c>
      <c r="G72" s="17">
        <f>F72/B2</f>
        <v>0.064</v>
      </c>
      <c r="H72" s="15">
        <f t="shared" si="5"/>
        <v>1.02</v>
      </c>
      <c r="I72" s="14">
        <f>H72/B3</f>
        <v>0.068</v>
      </c>
      <c r="J72" s="2">
        <v>0.0</v>
      </c>
      <c r="K72" s="2">
        <v>0.0</v>
      </c>
      <c r="L72" s="2">
        <v>0.0</v>
      </c>
    </row>
    <row r="73">
      <c r="A73" s="12">
        <v>45381.0</v>
      </c>
      <c r="B73" s="6" t="s">
        <v>27</v>
      </c>
      <c r="C73" s="2">
        <v>0.96</v>
      </c>
      <c r="D73" s="16">
        <f t="shared" si="3"/>
        <v>2.86</v>
      </c>
      <c r="E73" s="17">
        <f>D73/B1</f>
        <v>0.1906666667</v>
      </c>
      <c r="F73" s="16">
        <f t="shared" si="4"/>
        <v>0</v>
      </c>
      <c r="G73" s="17">
        <f>F73/B2</f>
        <v>0</v>
      </c>
      <c r="H73" s="15">
        <f t="shared" si="5"/>
        <v>1.02</v>
      </c>
      <c r="I73" s="14">
        <f>H73/B3</f>
        <v>0.068</v>
      </c>
      <c r="J73" s="2">
        <v>0.0</v>
      </c>
      <c r="K73" s="2">
        <v>0.0</v>
      </c>
      <c r="L73" s="2">
        <v>0.0</v>
      </c>
    </row>
    <row r="74">
      <c r="A74" s="12">
        <v>45381.0</v>
      </c>
      <c r="B74" s="6" t="s">
        <v>28</v>
      </c>
      <c r="C74" s="2">
        <v>0.6</v>
      </c>
      <c r="D74" s="16">
        <f t="shared" si="3"/>
        <v>2.86</v>
      </c>
      <c r="E74" s="17">
        <f>D74/B1</f>
        <v>0.1906666667</v>
      </c>
      <c r="F74" s="16">
        <f t="shared" si="4"/>
        <v>0</v>
      </c>
      <c r="G74" s="17">
        <f>F74/B2</f>
        <v>0</v>
      </c>
      <c r="H74" s="15">
        <f t="shared" si="5"/>
        <v>0.42</v>
      </c>
      <c r="I74" s="14">
        <f>H74/B3</f>
        <v>0.028</v>
      </c>
      <c r="J74" s="2">
        <v>0.0</v>
      </c>
      <c r="K74" s="2">
        <v>0.0</v>
      </c>
      <c r="L74" s="2">
        <v>0.0</v>
      </c>
    </row>
    <row r="75">
      <c r="A75" s="12">
        <v>45382.0</v>
      </c>
      <c r="B75" s="6" t="s">
        <v>17</v>
      </c>
      <c r="C75" s="2">
        <v>1.6</v>
      </c>
      <c r="D75" s="16">
        <f t="shared" si="3"/>
        <v>1.26</v>
      </c>
      <c r="E75" s="17">
        <f>D75/B1</f>
        <v>0.084</v>
      </c>
      <c r="F75" s="16">
        <f t="shared" si="4"/>
        <v>0</v>
      </c>
      <c r="G75" s="17">
        <f>F75/B2</f>
        <v>0</v>
      </c>
      <c r="H75" s="15">
        <f t="shared" si="5"/>
        <v>0.42</v>
      </c>
      <c r="I75" s="14">
        <f>H75/B3</f>
        <v>0.028</v>
      </c>
      <c r="J75" s="2">
        <v>0.0</v>
      </c>
      <c r="K75" s="2">
        <v>0.0</v>
      </c>
      <c r="L75" s="2">
        <v>0.0</v>
      </c>
    </row>
    <row r="76">
      <c r="A76" s="12">
        <v>45382.0</v>
      </c>
      <c r="B76" s="6" t="s">
        <v>27</v>
      </c>
      <c r="C76" s="2">
        <v>0.0</v>
      </c>
      <c r="D76" s="16">
        <f t="shared" si="3"/>
        <v>1.26</v>
      </c>
      <c r="E76" s="17">
        <f>D76/B1</f>
        <v>0.084</v>
      </c>
      <c r="F76" s="16">
        <f t="shared" si="4"/>
        <v>0</v>
      </c>
      <c r="G76" s="17">
        <f>F76/B2</f>
        <v>0</v>
      </c>
      <c r="H76" s="15">
        <f t="shared" si="5"/>
        <v>0.42</v>
      </c>
      <c r="I76" s="14">
        <f>H76/B3</f>
        <v>0.028</v>
      </c>
      <c r="J76" s="2">
        <v>0.0</v>
      </c>
      <c r="K76" s="2">
        <v>0.0</v>
      </c>
      <c r="L76" s="2">
        <v>0.0</v>
      </c>
    </row>
    <row r="77">
      <c r="A77" s="12">
        <v>45382.0</v>
      </c>
      <c r="B77" s="6" t="s">
        <v>28</v>
      </c>
      <c r="C77" s="2">
        <v>0.42</v>
      </c>
      <c r="D77" s="16">
        <f t="shared" si="3"/>
        <v>1.26</v>
      </c>
      <c r="E77" s="17">
        <f>D77/B1</f>
        <v>0.084</v>
      </c>
      <c r="F77" s="16">
        <f t="shared" si="4"/>
        <v>0</v>
      </c>
      <c r="G77" s="17">
        <f>F77/B2</f>
        <v>0</v>
      </c>
      <c r="H77" s="15">
        <f t="shared" si="5"/>
        <v>0</v>
      </c>
      <c r="I77" s="14">
        <f>H77/B3</f>
        <v>0</v>
      </c>
      <c r="J77" s="2">
        <v>0.0</v>
      </c>
      <c r="K77" s="2">
        <v>0.0</v>
      </c>
      <c r="L77" s="2">
        <v>0.0</v>
      </c>
    </row>
    <row r="78">
      <c r="A78" s="12">
        <v>45383.0</v>
      </c>
      <c r="B78" s="6" t="s">
        <v>17</v>
      </c>
      <c r="C78" s="2">
        <v>1.26</v>
      </c>
      <c r="D78" s="16">
        <f t="shared" si="3"/>
        <v>0</v>
      </c>
      <c r="E78" s="17">
        <f>D78/B1</f>
        <v>0</v>
      </c>
      <c r="F78" s="16">
        <f t="shared" si="4"/>
        <v>0</v>
      </c>
      <c r="G78" s="17">
        <f>F78/B2</f>
        <v>0</v>
      </c>
      <c r="H78" s="15">
        <f t="shared" si="5"/>
        <v>0</v>
      </c>
      <c r="I78" s="14">
        <f>H78/B3</f>
        <v>0</v>
      </c>
      <c r="J78" s="2">
        <v>0.0</v>
      </c>
      <c r="K78" s="2">
        <v>0.0</v>
      </c>
      <c r="L78" s="2">
        <v>0.0</v>
      </c>
    </row>
    <row r="79">
      <c r="A79" s="12">
        <v>45383.0</v>
      </c>
      <c r="B79" s="6" t="s">
        <v>27</v>
      </c>
      <c r="C79" s="2">
        <v>0.0</v>
      </c>
      <c r="D79" s="16">
        <f t="shared" si="3"/>
        <v>0</v>
      </c>
      <c r="E79" s="17">
        <f>D79/B1</f>
        <v>0</v>
      </c>
      <c r="F79" s="16">
        <f t="shared" si="4"/>
        <v>0</v>
      </c>
      <c r="G79" s="17">
        <f>F79/B2</f>
        <v>0</v>
      </c>
      <c r="H79" s="15">
        <f t="shared" si="5"/>
        <v>0</v>
      </c>
      <c r="I79" s="14">
        <f>H79/B3</f>
        <v>0</v>
      </c>
      <c r="J79" s="2">
        <v>0.0</v>
      </c>
      <c r="K79" s="2">
        <v>0.0</v>
      </c>
      <c r="L79" s="2">
        <v>0.0</v>
      </c>
    </row>
    <row r="80">
      <c r="A80" s="12">
        <v>45383.0</v>
      </c>
      <c r="B80" s="6" t="s">
        <v>28</v>
      </c>
      <c r="C80" s="2">
        <v>0.0</v>
      </c>
      <c r="D80" s="16">
        <f t="shared" si="3"/>
        <v>0</v>
      </c>
      <c r="E80" s="17">
        <f>D80/B1</f>
        <v>0</v>
      </c>
      <c r="F80" s="16">
        <f t="shared" si="4"/>
        <v>0</v>
      </c>
      <c r="G80" s="17">
        <f>F80/B2</f>
        <v>0</v>
      </c>
      <c r="H80" s="15">
        <f t="shared" si="5"/>
        <v>0</v>
      </c>
      <c r="I80" s="14">
        <f>H80/B3</f>
        <v>0</v>
      </c>
      <c r="J80" s="2">
        <v>0.0</v>
      </c>
      <c r="K80" s="2">
        <v>0.0</v>
      </c>
      <c r="L80" s="2">
        <v>0.0</v>
      </c>
    </row>
    <row r="81">
      <c r="A81" s="12">
        <v>45384.0</v>
      </c>
      <c r="B81" s="6" t="s">
        <v>17</v>
      </c>
      <c r="C81" s="2">
        <v>0.0</v>
      </c>
      <c r="D81" s="16">
        <f t="shared" si="3"/>
        <v>0</v>
      </c>
      <c r="E81" s="17">
        <f>D81/B1</f>
        <v>0</v>
      </c>
      <c r="F81" s="16">
        <f t="shared" si="4"/>
        <v>0</v>
      </c>
      <c r="G81" s="17">
        <f>F81/B2</f>
        <v>0</v>
      </c>
      <c r="H81" s="15">
        <f t="shared" si="5"/>
        <v>0</v>
      </c>
      <c r="I81" s="14">
        <f>H81/B3</f>
        <v>0</v>
      </c>
      <c r="J81" s="2">
        <v>0.0</v>
      </c>
      <c r="K81" s="2">
        <v>0.0</v>
      </c>
      <c r="L81" s="2">
        <v>0.0</v>
      </c>
    </row>
    <row r="82">
      <c r="A82" s="12">
        <v>45384.0</v>
      </c>
      <c r="B82" s="6" t="s">
        <v>27</v>
      </c>
      <c r="C82" s="2">
        <v>0.0</v>
      </c>
      <c r="D82" s="16">
        <f t="shared" si="3"/>
        <v>0</v>
      </c>
      <c r="E82" s="17">
        <f>D82/B1</f>
        <v>0</v>
      </c>
      <c r="F82" s="16">
        <f t="shared" si="4"/>
        <v>0</v>
      </c>
      <c r="G82" s="17">
        <f>F82/B2</f>
        <v>0</v>
      </c>
      <c r="H82" s="15">
        <f t="shared" si="5"/>
        <v>0</v>
      </c>
      <c r="I82" s="14">
        <f>H82/B3</f>
        <v>0</v>
      </c>
      <c r="J82" s="2">
        <v>0.0</v>
      </c>
      <c r="K82" s="2">
        <v>0.0</v>
      </c>
      <c r="L82" s="2">
        <v>0.0</v>
      </c>
    </row>
    <row r="83">
      <c r="A83" s="12">
        <v>45384.0</v>
      </c>
      <c r="B83" s="6" t="s">
        <v>28</v>
      </c>
      <c r="C83" s="2">
        <v>0.0</v>
      </c>
      <c r="D83" s="16">
        <f t="shared" si="3"/>
        <v>0</v>
      </c>
      <c r="E83" s="17">
        <f>D83/B1</f>
        <v>0</v>
      </c>
      <c r="F83" s="16">
        <f t="shared" si="4"/>
        <v>0</v>
      </c>
      <c r="G83" s="17">
        <f>F83/B2</f>
        <v>0</v>
      </c>
      <c r="H83" s="15">
        <f t="shared" si="5"/>
        <v>0</v>
      </c>
      <c r="I83" s="14">
        <f>H83/B3</f>
        <v>0</v>
      </c>
      <c r="J83" s="2">
        <v>0.0</v>
      </c>
      <c r="K83" s="2">
        <v>0.0</v>
      </c>
      <c r="L83" s="2">
        <v>0.0</v>
      </c>
    </row>
    <row r="84">
      <c r="A84" s="12">
        <v>45385.0</v>
      </c>
      <c r="B84" s="6" t="s">
        <v>17</v>
      </c>
      <c r="C84" s="2">
        <v>0.0</v>
      </c>
      <c r="D84" s="16">
        <f t="shared" si="3"/>
        <v>0</v>
      </c>
      <c r="E84" s="17">
        <f>D84/B1</f>
        <v>0</v>
      </c>
      <c r="F84" s="16">
        <f t="shared" si="4"/>
        <v>0</v>
      </c>
      <c r="G84" s="17">
        <f>F84/B2</f>
        <v>0</v>
      </c>
      <c r="H84" s="15">
        <f t="shared" si="5"/>
        <v>0</v>
      </c>
      <c r="I84" s="14">
        <f>H84/B3</f>
        <v>0</v>
      </c>
      <c r="J84" s="2">
        <v>0.0</v>
      </c>
      <c r="K84" s="2">
        <v>0.0</v>
      </c>
      <c r="L84" s="2">
        <v>0.0</v>
      </c>
    </row>
    <row r="85">
      <c r="A85" s="12">
        <v>45385.0</v>
      </c>
      <c r="B85" s="6" t="s">
        <v>27</v>
      </c>
      <c r="C85" s="2">
        <v>0.0</v>
      </c>
      <c r="D85" s="16">
        <f t="shared" si="3"/>
        <v>0</v>
      </c>
      <c r="E85" s="17">
        <f>D85/B1</f>
        <v>0</v>
      </c>
      <c r="F85" s="16">
        <f t="shared" si="4"/>
        <v>0</v>
      </c>
      <c r="G85" s="17">
        <f>F85/B2</f>
        <v>0</v>
      </c>
      <c r="H85" s="15">
        <f t="shared" si="5"/>
        <v>0</v>
      </c>
      <c r="I85" s="14">
        <f>H85/B3</f>
        <v>0</v>
      </c>
      <c r="J85" s="2">
        <v>0.0</v>
      </c>
      <c r="K85" s="2">
        <v>0.0</v>
      </c>
      <c r="L85" s="2">
        <v>0.0</v>
      </c>
    </row>
    <row r="86">
      <c r="A86" s="12">
        <v>45385.0</v>
      </c>
      <c r="B86" s="6" t="s">
        <v>28</v>
      </c>
      <c r="C86" s="2">
        <v>0.0</v>
      </c>
      <c r="D86" s="16">
        <f t="shared" si="3"/>
        <v>0</v>
      </c>
      <c r="E86" s="17">
        <f>D86/B1</f>
        <v>0</v>
      </c>
      <c r="F86" s="16">
        <f t="shared" si="4"/>
        <v>0</v>
      </c>
      <c r="G86" s="17">
        <f>F86/B2</f>
        <v>0</v>
      </c>
      <c r="H86" s="15">
        <f t="shared" si="5"/>
        <v>0</v>
      </c>
      <c r="I86" s="14">
        <f>H86/B3</f>
        <v>0</v>
      </c>
      <c r="J86" s="2">
        <v>0.0</v>
      </c>
      <c r="K86" s="2">
        <v>0.0</v>
      </c>
      <c r="L86" s="2">
        <v>0.0</v>
      </c>
    </row>
    <row r="87">
      <c r="A87" s="12">
        <v>45386.0</v>
      </c>
      <c r="B87" s="6" t="s">
        <v>17</v>
      </c>
      <c r="C87" s="2">
        <v>0.0</v>
      </c>
      <c r="D87" s="16">
        <f t="shared" si="3"/>
        <v>0</v>
      </c>
      <c r="E87" s="17">
        <f>D87/B1</f>
        <v>0</v>
      </c>
      <c r="F87" s="16">
        <f t="shared" si="4"/>
        <v>0</v>
      </c>
      <c r="G87" s="17">
        <f>F87/B2</f>
        <v>0</v>
      </c>
      <c r="H87" s="15">
        <f t="shared" si="5"/>
        <v>0</v>
      </c>
      <c r="I87" s="14">
        <f>H87/B3</f>
        <v>0</v>
      </c>
      <c r="J87" s="2">
        <v>0.0</v>
      </c>
      <c r="K87" s="2">
        <v>0.0</v>
      </c>
      <c r="L87" s="2">
        <v>0.0</v>
      </c>
    </row>
    <row r="88">
      <c r="A88" s="12">
        <v>45386.0</v>
      </c>
      <c r="B88" s="6" t="s">
        <v>27</v>
      </c>
      <c r="C88" s="2">
        <v>0.0</v>
      </c>
      <c r="D88" s="16">
        <f t="shared" si="3"/>
        <v>0</v>
      </c>
      <c r="E88" s="17">
        <f>D88/B1</f>
        <v>0</v>
      </c>
      <c r="F88" s="16">
        <f t="shared" si="4"/>
        <v>0</v>
      </c>
      <c r="G88" s="17">
        <f>F88/B2</f>
        <v>0</v>
      </c>
      <c r="H88" s="15">
        <f t="shared" si="5"/>
        <v>0</v>
      </c>
      <c r="I88" s="14">
        <f>H88/B3</f>
        <v>0</v>
      </c>
      <c r="J88" s="2">
        <v>0.0</v>
      </c>
      <c r="K88" s="2">
        <v>0.0</v>
      </c>
      <c r="L88" s="2">
        <v>0.0</v>
      </c>
    </row>
    <row r="89">
      <c r="A89" s="12">
        <v>45386.0</v>
      </c>
      <c r="B89" s="6" t="s">
        <v>28</v>
      </c>
      <c r="C89" s="2">
        <v>0.0</v>
      </c>
      <c r="D89" s="16">
        <f t="shared" si="3"/>
        <v>0</v>
      </c>
      <c r="E89" s="17">
        <f>D89/B1</f>
        <v>0</v>
      </c>
      <c r="F89" s="16">
        <f t="shared" si="4"/>
        <v>0</v>
      </c>
      <c r="G89" s="17">
        <f>F89/B2</f>
        <v>0</v>
      </c>
      <c r="H89" s="15">
        <f t="shared" si="5"/>
        <v>0</v>
      </c>
      <c r="I89" s="14">
        <f>H89/B3</f>
        <v>0</v>
      </c>
      <c r="J89" s="2">
        <v>0.0</v>
      </c>
      <c r="K89" s="2">
        <v>0.0</v>
      </c>
      <c r="L89" s="2">
        <v>0.0</v>
      </c>
    </row>
    <row r="90">
      <c r="A90" s="12">
        <v>45387.0</v>
      </c>
      <c r="B90" s="6" t="s">
        <v>17</v>
      </c>
      <c r="C90" s="2">
        <v>0.0</v>
      </c>
      <c r="D90" s="16">
        <f t="shared" si="3"/>
        <v>0</v>
      </c>
      <c r="E90" s="17">
        <f>D90/B1</f>
        <v>0</v>
      </c>
      <c r="F90" s="16">
        <f t="shared" si="4"/>
        <v>0</v>
      </c>
      <c r="G90" s="17">
        <f>F90/B2</f>
        <v>0</v>
      </c>
      <c r="H90" s="15">
        <f t="shared" si="5"/>
        <v>0</v>
      </c>
      <c r="I90" s="14">
        <f>H90/B3</f>
        <v>0</v>
      </c>
      <c r="J90" s="2">
        <v>0.0</v>
      </c>
      <c r="K90" s="2">
        <v>0.0</v>
      </c>
      <c r="L90" s="2">
        <v>0.0</v>
      </c>
    </row>
    <row r="91">
      <c r="A91" s="12">
        <v>45387.0</v>
      </c>
      <c r="B91" s="6" t="s">
        <v>27</v>
      </c>
      <c r="C91" s="2">
        <v>0.0</v>
      </c>
      <c r="D91" s="16">
        <f t="shared" si="3"/>
        <v>0</v>
      </c>
      <c r="E91" s="17">
        <f>D91/B1</f>
        <v>0</v>
      </c>
      <c r="F91" s="16">
        <f t="shared" si="4"/>
        <v>0</v>
      </c>
      <c r="G91" s="17">
        <f>F91/B2</f>
        <v>0</v>
      </c>
      <c r="H91" s="15">
        <f t="shared" si="5"/>
        <v>0</v>
      </c>
      <c r="I91" s="14">
        <f>H91/B3</f>
        <v>0</v>
      </c>
      <c r="J91" s="2">
        <v>0.0</v>
      </c>
      <c r="K91" s="2">
        <v>0.0</v>
      </c>
      <c r="L91" s="2">
        <v>0.0</v>
      </c>
    </row>
    <row r="92">
      <c r="A92" s="12">
        <v>45387.0</v>
      </c>
      <c r="B92" s="6" t="s">
        <v>28</v>
      </c>
      <c r="C92" s="2">
        <v>0.0</v>
      </c>
      <c r="D92" s="16">
        <f t="shared" si="3"/>
        <v>0</v>
      </c>
      <c r="E92" s="17">
        <f>D92/B1</f>
        <v>0</v>
      </c>
      <c r="F92" s="16">
        <f t="shared" si="4"/>
        <v>0</v>
      </c>
      <c r="G92" s="17">
        <f>F92/B2</f>
        <v>0</v>
      </c>
      <c r="H92" s="15">
        <f t="shared" si="5"/>
        <v>0</v>
      </c>
      <c r="I92" s="14">
        <f>H92/B3</f>
        <v>0</v>
      </c>
      <c r="J92" s="2">
        <v>0.0</v>
      </c>
      <c r="K92" s="2">
        <v>0.0</v>
      </c>
      <c r="L92" s="2">
        <v>0.0</v>
      </c>
    </row>
    <row r="93">
      <c r="A93" s="12">
        <v>45388.0</v>
      </c>
      <c r="B93" s="6" t="s">
        <v>17</v>
      </c>
      <c r="C93" s="2">
        <v>0.0</v>
      </c>
      <c r="D93" s="16">
        <f t="shared" si="3"/>
        <v>0</v>
      </c>
      <c r="E93" s="17">
        <f>D93/B1</f>
        <v>0</v>
      </c>
      <c r="F93" s="16">
        <f t="shared" si="4"/>
        <v>0</v>
      </c>
      <c r="G93" s="17">
        <f>F93/B2</f>
        <v>0</v>
      </c>
      <c r="H93" s="15">
        <f t="shared" si="5"/>
        <v>0</v>
      </c>
      <c r="I93" s="14">
        <f>H93/B3</f>
        <v>0</v>
      </c>
      <c r="J93" s="2">
        <v>0.0</v>
      </c>
      <c r="K93" s="2">
        <v>0.0</v>
      </c>
      <c r="L93" s="2">
        <v>0.0</v>
      </c>
    </row>
    <row r="94">
      <c r="A94" s="12">
        <v>45388.0</v>
      </c>
      <c r="B94" s="6" t="s">
        <v>27</v>
      </c>
      <c r="C94" s="2">
        <v>0.0</v>
      </c>
      <c r="D94" s="16">
        <f t="shared" si="3"/>
        <v>0</v>
      </c>
      <c r="E94" s="17">
        <f>D94/B1</f>
        <v>0</v>
      </c>
      <c r="F94" s="16">
        <f t="shared" si="4"/>
        <v>0</v>
      </c>
      <c r="G94" s="17">
        <f>F94/B2</f>
        <v>0</v>
      </c>
      <c r="H94" s="15">
        <f t="shared" si="5"/>
        <v>0</v>
      </c>
      <c r="I94" s="14">
        <f>H94/B3</f>
        <v>0</v>
      </c>
      <c r="J94" s="2">
        <v>0.0</v>
      </c>
      <c r="K94" s="2">
        <v>0.0</v>
      </c>
      <c r="L94" s="2">
        <v>0.0</v>
      </c>
    </row>
    <row r="95">
      <c r="A95" s="12">
        <v>45388.0</v>
      </c>
      <c r="B95" s="6" t="s">
        <v>28</v>
      </c>
      <c r="C95" s="2">
        <v>0.0</v>
      </c>
      <c r="D95" s="16">
        <f t="shared" si="3"/>
        <v>0</v>
      </c>
      <c r="E95" s="17">
        <f>D95/B1</f>
        <v>0</v>
      </c>
      <c r="F95" s="16">
        <f t="shared" si="4"/>
        <v>0</v>
      </c>
      <c r="G95" s="17">
        <f>F95/B2</f>
        <v>0</v>
      </c>
      <c r="H95" s="15">
        <f t="shared" si="5"/>
        <v>0</v>
      </c>
      <c r="I95" s="14">
        <f>H95/B3</f>
        <v>0</v>
      </c>
      <c r="J95" s="2">
        <v>0.0</v>
      </c>
      <c r="K95" s="2">
        <v>0.0</v>
      </c>
      <c r="L95" s="2">
        <v>0.0</v>
      </c>
    </row>
    <row r="96">
      <c r="A96" s="12">
        <v>45389.0</v>
      </c>
      <c r="B96" s="6" t="s">
        <v>17</v>
      </c>
      <c r="C96" s="2">
        <v>0.0</v>
      </c>
      <c r="D96" s="16">
        <f t="shared" si="3"/>
        <v>0</v>
      </c>
      <c r="E96" s="17">
        <f>D96/B1</f>
        <v>0</v>
      </c>
      <c r="F96" s="16">
        <f t="shared" si="4"/>
        <v>0</v>
      </c>
      <c r="G96" s="17">
        <f>F96/B2</f>
        <v>0</v>
      </c>
      <c r="H96" s="15">
        <f t="shared" si="5"/>
        <v>0</v>
      </c>
      <c r="I96" s="14">
        <f>H96/B3</f>
        <v>0</v>
      </c>
      <c r="J96" s="2">
        <v>0.0</v>
      </c>
      <c r="K96" s="2">
        <v>0.0</v>
      </c>
      <c r="L96" s="2">
        <v>0.0</v>
      </c>
    </row>
    <row r="97">
      <c r="A97" s="12">
        <v>45389.0</v>
      </c>
      <c r="B97" s="6" t="s">
        <v>27</v>
      </c>
      <c r="C97" s="2">
        <v>0.0</v>
      </c>
      <c r="D97" s="16">
        <f t="shared" si="3"/>
        <v>0</v>
      </c>
      <c r="E97" s="17">
        <f>D97/B1</f>
        <v>0</v>
      </c>
      <c r="F97" s="16">
        <f t="shared" si="4"/>
        <v>0</v>
      </c>
      <c r="G97" s="17">
        <f>F97/B2</f>
        <v>0</v>
      </c>
      <c r="H97" s="15">
        <f t="shared" si="5"/>
        <v>0</v>
      </c>
      <c r="I97" s="14">
        <f>H97/B3</f>
        <v>0</v>
      </c>
      <c r="J97" s="2">
        <v>0.0</v>
      </c>
      <c r="K97" s="2">
        <v>0.0</v>
      </c>
      <c r="L97" s="2">
        <v>0.0</v>
      </c>
    </row>
    <row r="98">
      <c r="A98" s="12">
        <v>45389.0</v>
      </c>
      <c r="B98" s="6" t="s">
        <v>28</v>
      </c>
      <c r="C98" s="2">
        <v>0.0</v>
      </c>
      <c r="D98" s="16">
        <f t="shared" si="3"/>
        <v>0</v>
      </c>
      <c r="E98" s="17">
        <f>D98/B1</f>
        <v>0</v>
      </c>
      <c r="F98" s="16">
        <f t="shared" si="4"/>
        <v>0</v>
      </c>
      <c r="G98" s="17">
        <f>F98/B2</f>
        <v>0</v>
      </c>
      <c r="H98" s="15">
        <f t="shared" si="5"/>
        <v>0</v>
      </c>
      <c r="I98" s="14">
        <f>H98/B3</f>
        <v>0</v>
      </c>
      <c r="J98" s="2">
        <v>0.0</v>
      </c>
      <c r="K98" s="2">
        <v>0.0</v>
      </c>
      <c r="L98" s="2">
        <v>0.0</v>
      </c>
    </row>
    <row r="99">
      <c r="A99" s="12">
        <v>45390.0</v>
      </c>
      <c r="B99" s="6" t="s">
        <v>17</v>
      </c>
      <c r="C99" s="2">
        <v>0.0</v>
      </c>
      <c r="D99" s="16">
        <f t="shared" si="3"/>
        <v>0</v>
      </c>
      <c r="E99" s="17">
        <f>D99/B1</f>
        <v>0</v>
      </c>
      <c r="F99" s="16">
        <f t="shared" si="4"/>
        <v>0</v>
      </c>
      <c r="G99" s="17">
        <f>F99/B2</f>
        <v>0</v>
      </c>
      <c r="H99" s="15">
        <f t="shared" si="5"/>
        <v>0</v>
      </c>
      <c r="I99" s="14">
        <f>H99/B3</f>
        <v>0</v>
      </c>
      <c r="J99" s="2">
        <v>0.0</v>
      </c>
      <c r="K99" s="2">
        <v>0.0</v>
      </c>
      <c r="L99" s="2">
        <v>0.0</v>
      </c>
    </row>
    <row r="100">
      <c r="A100" s="12">
        <v>45390.0</v>
      </c>
      <c r="B100" s="6" t="s">
        <v>27</v>
      </c>
      <c r="C100" s="2">
        <v>0.0</v>
      </c>
      <c r="D100" s="16">
        <f t="shared" si="3"/>
        <v>0</v>
      </c>
      <c r="E100" s="17">
        <f>D100/B1</f>
        <v>0</v>
      </c>
      <c r="F100" s="16">
        <f t="shared" si="4"/>
        <v>0</v>
      </c>
      <c r="G100" s="17">
        <f>F100/B2</f>
        <v>0</v>
      </c>
      <c r="H100" s="15">
        <f t="shared" si="5"/>
        <v>0</v>
      </c>
      <c r="I100" s="14">
        <f>H100/B3</f>
        <v>0</v>
      </c>
      <c r="J100" s="2">
        <v>0.0</v>
      </c>
      <c r="K100" s="2">
        <v>0.0</v>
      </c>
      <c r="L100" s="2">
        <v>0.0</v>
      </c>
    </row>
    <row r="101">
      <c r="A101" s="12">
        <v>45390.0</v>
      </c>
      <c r="B101" s="6" t="s">
        <v>28</v>
      </c>
      <c r="C101" s="2">
        <v>0.0</v>
      </c>
      <c r="D101" s="16">
        <f t="shared" si="3"/>
        <v>0</v>
      </c>
      <c r="E101" s="17">
        <f>D101/B1</f>
        <v>0</v>
      </c>
      <c r="F101" s="16">
        <f t="shared" si="4"/>
        <v>0</v>
      </c>
      <c r="G101" s="17">
        <f>F101/B2</f>
        <v>0</v>
      </c>
      <c r="H101" s="15">
        <f t="shared" si="5"/>
        <v>0</v>
      </c>
      <c r="I101" s="14">
        <f>H101/B3</f>
        <v>0</v>
      </c>
      <c r="J101" s="2">
        <v>0.0</v>
      </c>
      <c r="K101" s="2">
        <v>0.0</v>
      </c>
      <c r="L101" s="2">
        <v>0.0</v>
      </c>
    </row>
    <row r="102">
      <c r="A102" s="12">
        <v>45391.0</v>
      </c>
      <c r="B102" s="6" t="s">
        <v>17</v>
      </c>
      <c r="C102" s="2">
        <v>0.0</v>
      </c>
      <c r="D102" s="16">
        <f t="shared" si="3"/>
        <v>0</v>
      </c>
      <c r="E102" s="17">
        <f>D102/B1</f>
        <v>0</v>
      </c>
      <c r="F102" s="16">
        <f t="shared" si="4"/>
        <v>0</v>
      </c>
      <c r="G102" s="17">
        <f>F102/B2</f>
        <v>0</v>
      </c>
      <c r="H102" s="15">
        <f t="shared" si="5"/>
        <v>0</v>
      </c>
      <c r="I102" s="14">
        <f>H102/B3</f>
        <v>0</v>
      </c>
      <c r="J102" s="2">
        <v>0.0</v>
      </c>
      <c r="K102" s="2">
        <v>0.0</v>
      </c>
      <c r="L102" s="2">
        <v>0.0</v>
      </c>
    </row>
    <row r="103">
      <c r="A103" s="12">
        <v>45391.0</v>
      </c>
      <c r="B103" s="6" t="s">
        <v>27</v>
      </c>
      <c r="C103" s="2">
        <v>0.0</v>
      </c>
      <c r="D103" s="16">
        <f t="shared" si="3"/>
        <v>0</v>
      </c>
      <c r="E103" s="17">
        <f>D103/B1</f>
        <v>0</v>
      </c>
      <c r="F103" s="16">
        <f t="shared" si="4"/>
        <v>0</v>
      </c>
      <c r="G103" s="17">
        <f>F103/B2</f>
        <v>0</v>
      </c>
      <c r="H103" s="15">
        <f t="shared" si="5"/>
        <v>0</v>
      </c>
      <c r="I103" s="14">
        <f>H103/B3</f>
        <v>0</v>
      </c>
      <c r="J103" s="2">
        <v>0.0</v>
      </c>
      <c r="K103" s="2">
        <v>0.0</v>
      </c>
      <c r="L103" s="2">
        <v>0.0</v>
      </c>
    </row>
    <row r="104">
      <c r="A104" s="12">
        <v>45391.0</v>
      </c>
      <c r="B104" s="6" t="s">
        <v>28</v>
      </c>
      <c r="C104" s="2">
        <v>0.0</v>
      </c>
      <c r="D104" s="16">
        <f t="shared" si="3"/>
        <v>0</v>
      </c>
      <c r="E104" s="17">
        <f>D104/B1</f>
        <v>0</v>
      </c>
      <c r="F104" s="16">
        <f t="shared" si="4"/>
        <v>0</v>
      </c>
      <c r="G104" s="17">
        <f>F104/B2</f>
        <v>0</v>
      </c>
      <c r="H104" s="15">
        <f t="shared" si="5"/>
        <v>0</v>
      </c>
      <c r="I104" s="14">
        <f>H104/B3</f>
        <v>0</v>
      </c>
      <c r="J104" s="2">
        <v>0.0</v>
      </c>
      <c r="K104" s="2">
        <v>0.0</v>
      </c>
      <c r="L104" s="2">
        <v>0.0</v>
      </c>
    </row>
    <row r="105">
      <c r="A105" s="12">
        <v>45392.0</v>
      </c>
      <c r="B105" s="6" t="s">
        <v>17</v>
      </c>
      <c r="C105" s="2">
        <v>0.0</v>
      </c>
      <c r="D105" s="16">
        <f t="shared" si="3"/>
        <v>0</v>
      </c>
      <c r="E105" s="17">
        <f>D105/B1</f>
        <v>0</v>
      </c>
      <c r="F105" s="16">
        <f t="shared" si="4"/>
        <v>0</v>
      </c>
      <c r="G105" s="17">
        <f>F105/B2</f>
        <v>0</v>
      </c>
      <c r="H105" s="15">
        <f t="shared" si="5"/>
        <v>0</v>
      </c>
      <c r="I105" s="14">
        <f>H105/B3</f>
        <v>0</v>
      </c>
      <c r="J105" s="2">
        <v>0.0</v>
      </c>
      <c r="K105" s="2">
        <v>0.0</v>
      </c>
      <c r="L105" s="2">
        <v>0.0</v>
      </c>
    </row>
    <row r="106">
      <c r="A106" s="12">
        <v>45392.0</v>
      </c>
      <c r="B106" s="6" t="s">
        <v>27</v>
      </c>
      <c r="C106" s="2">
        <v>0.0</v>
      </c>
      <c r="D106" s="16">
        <f t="shared" si="3"/>
        <v>0</v>
      </c>
      <c r="E106" s="17">
        <f>D106/B1</f>
        <v>0</v>
      </c>
      <c r="F106" s="16">
        <f t="shared" si="4"/>
        <v>0</v>
      </c>
      <c r="G106" s="17">
        <f>F106/B2</f>
        <v>0</v>
      </c>
      <c r="H106" s="15">
        <f t="shared" si="5"/>
        <v>0</v>
      </c>
      <c r="I106" s="14">
        <f>H106/B3</f>
        <v>0</v>
      </c>
      <c r="J106" s="2">
        <v>0.0</v>
      </c>
      <c r="K106" s="2">
        <v>0.0</v>
      </c>
      <c r="L106" s="2">
        <v>0.0</v>
      </c>
    </row>
    <row r="107">
      <c r="A107" s="12">
        <v>45392.0</v>
      </c>
      <c r="B107" s="6" t="s">
        <v>28</v>
      </c>
      <c r="C107" s="2">
        <v>0.0</v>
      </c>
      <c r="D107" s="16">
        <f t="shared" si="3"/>
        <v>0</v>
      </c>
      <c r="E107" s="17">
        <f>D107/B1</f>
        <v>0</v>
      </c>
      <c r="F107" s="16">
        <f t="shared" si="4"/>
        <v>0</v>
      </c>
      <c r="G107" s="17">
        <f>F107/B2</f>
        <v>0</v>
      </c>
      <c r="H107" s="15">
        <f t="shared" si="5"/>
        <v>0</v>
      </c>
      <c r="I107" s="14">
        <f>H107/B3</f>
        <v>0</v>
      </c>
      <c r="J107" s="2">
        <v>0.0</v>
      </c>
      <c r="K107" s="2">
        <v>0.0</v>
      </c>
      <c r="L107" s="2">
        <v>0.0</v>
      </c>
    </row>
    <row r="108">
      <c r="A108" s="12">
        <v>45393.0</v>
      </c>
      <c r="B108" s="6" t="s">
        <v>17</v>
      </c>
      <c r="C108" s="2">
        <v>0.0</v>
      </c>
      <c r="D108" s="16">
        <f t="shared" si="3"/>
        <v>0</v>
      </c>
      <c r="E108" s="17">
        <f>D108/B1</f>
        <v>0</v>
      </c>
      <c r="F108" s="16">
        <f t="shared" si="4"/>
        <v>0</v>
      </c>
      <c r="G108" s="17">
        <f>F108/B2</f>
        <v>0</v>
      </c>
      <c r="H108" s="15">
        <f t="shared" si="5"/>
        <v>0</v>
      </c>
      <c r="I108" s="14">
        <f>H108/B3</f>
        <v>0</v>
      </c>
      <c r="J108" s="2">
        <v>0.0</v>
      </c>
      <c r="K108" s="2">
        <v>0.0</v>
      </c>
      <c r="L108" s="2">
        <v>0.0</v>
      </c>
    </row>
    <row r="109">
      <c r="A109" s="12">
        <v>45393.0</v>
      </c>
      <c r="B109" s="6" t="s">
        <v>27</v>
      </c>
      <c r="C109" s="2">
        <v>0.0</v>
      </c>
      <c r="D109" s="16">
        <f t="shared" si="3"/>
        <v>0</v>
      </c>
      <c r="E109" s="17">
        <f>D109/B1</f>
        <v>0</v>
      </c>
      <c r="F109" s="16">
        <f t="shared" si="4"/>
        <v>0</v>
      </c>
      <c r="G109" s="17">
        <f>F109/B2</f>
        <v>0</v>
      </c>
      <c r="H109" s="15">
        <f t="shared" si="5"/>
        <v>0</v>
      </c>
      <c r="I109" s="14">
        <f>H109/B3</f>
        <v>0</v>
      </c>
      <c r="J109" s="2">
        <v>0.0</v>
      </c>
      <c r="K109" s="2">
        <v>0.0</v>
      </c>
      <c r="L109" s="2">
        <v>0.0</v>
      </c>
    </row>
    <row r="110">
      <c r="A110" s="12">
        <v>45393.0</v>
      </c>
      <c r="B110" s="6" t="s">
        <v>28</v>
      </c>
      <c r="C110" s="2">
        <v>0.0</v>
      </c>
      <c r="D110" s="16">
        <f t="shared" si="3"/>
        <v>0</v>
      </c>
      <c r="E110" s="17">
        <f>D110/B1</f>
        <v>0</v>
      </c>
      <c r="F110" s="16">
        <f t="shared" si="4"/>
        <v>0</v>
      </c>
      <c r="G110" s="17">
        <f>F110/B2</f>
        <v>0</v>
      </c>
      <c r="H110" s="15">
        <f t="shared" si="5"/>
        <v>0</v>
      </c>
      <c r="I110" s="14">
        <f>H110/B3</f>
        <v>0</v>
      </c>
      <c r="J110" s="2">
        <v>0.0</v>
      </c>
      <c r="K110" s="2">
        <v>0.0</v>
      </c>
      <c r="L110" s="2">
        <v>0.0</v>
      </c>
    </row>
    <row r="111">
      <c r="A111" s="12">
        <v>45394.0</v>
      </c>
      <c r="B111" s="6" t="s">
        <v>17</v>
      </c>
      <c r="C111" s="2">
        <v>0.0</v>
      </c>
      <c r="D111" s="16">
        <f t="shared" si="3"/>
        <v>0</v>
      </c>
      <c r="E111" s="17">
        <f>D111/B1</f>
        <v>0</v>
      </c>
      <c r="F111" s="16">
        <f t="shared" si="4"/>
        <v>0</v>
      </c>
      <c r="G111" s="17">
        <f>F111/B2</f>
        <v>0</v>
      </c>
      <c r="H111" s="15">
        <f t="shared" si="5"/>
        <v>0</v>
      </c>
      <c r="I111" s="14">
        <f>H111/B3</f>
        <v>0</v>
      </c>
      <c r="J111" s="2">
        <v>0.0</v>
      </c>
      <c r="K111" s="2">
        <v>0.0</v>
      </c>
      <c r="L111" s="2">
        <v>0.0</v>
      </c>
    </row>
    <row r="112">
      <c r="A112" s="12">
        <v>45394.0</v>
      </c>
      <c r="B112" s="6" t="s">
        <v>27</v>
      </c>
      <c r="C112" s="2">
        <v>0.0</v>
      </c>
      <c r="D112" s="16">
        <f t="shared" si="3"/>
        <v>0</v>
      </c>
      <c r="E112" s="17">
        <f>D112/B1</f>
        <v>0</v>
      </c>
      <c r="F112" s="16">
        <f t="shared" si="4"/>
        <v>0</v>
      </c>
      <c r="G112" s="17">
        <f>F112/B2</f>
        <v>0</v>
      </c>
      <c r="H112" s="15">
        <f t="shared" si="5"/>
        <v>0</v>
      </c>
      <c r="I112" s="14">
        <f>H112/B3</f>
        <v>0</v>
      </c>
      <c r="J112" s="2">
        <v>0.0</v>
      </c>
      <c r="K112" s="2">
        <v>0.0</v>
      </c>
      <c r="L112" s="2">
        <v>0.0</v>
      </c>
    </row>
    <row r="113">
      <c r="A113" s="12">
        <v>45394.0</v>
      </c>
      <c r="B113" s="6" t="s">
        <v>28</v>
      </c>
      <c r="C113" s="2">
        <v>0.0</v>
      </c>
      <c r="D113" s="16">
        <f t="shared" si="3"/>
        <v>0</v>
      </c>
      <c r="E113" s="17">
        <f>D113/B1</f>
        <v>0</v>
      </c>
      <c r="F113" s="16">
        <f t="shared" si="4"/>
        <v>0</v>
      </c>
      <c r="G113" s="17">
        <f>F113/B2</f>
        <v>0</v>
      </c>
      <c r="H113" s="15">
        <f t="shared" si="5"/>
        <v>0</v>
      </c>
      <c r="I113" s="14">
        <f>H113/B3</f>
        <v>0</v>
      </c>
      <c r="J113" s="2">
        <v>0.0</v>
      </c>
      <c r="K113" s="2">
        <v>0.0</v>
      </c>
      <c r="L113" s="2">
        <v>0.0</v>
      </c>
    </row>
    <row r="114">
      <c r="A114" s="12">
        <v>45395.0</v>
      </c>
      <c r="B114" s="6" t="s">
        <v>17</v>
      </c>
      <c r="C114" s="2">
        <v>0.0</v>
      </c>
      <c r="D114" s="16">
        <f t="shared" si="3"/>
        <v>0</v>
      </c>
      <c r="E114" s="17">
        <f>D114/B1</f>
        <v>0</v>
      </c>
      <c r="F114" s="16">
        <f t="shared" si="4"/>
        <v>0</v>
      </c>
      <c r="G114" s="17">
        <f>F114/B2</f>
        <v>0</v>
      </c>
      <c r="H114" s="15">
        <f t="shared" si="5"/>
        <v>0</v>
      </c>
      <c r="I114" s="14">
        <f>H114/B3</f>
        <v>0</v>
      </c>
      <c r="J114" s="2">
        <v>0.0</v>
      </c>
      <c r="K114" s="2">
        <v>0.0</v>
      </c>
      <c r="L114" s="2">
        <v>0.0</v>
      </c>
    </row>
    <row r="115">
      <c r="A115" s="12">
        <v>45395.0</v>
      </c>
      <c r="B115" s="6" t="s">
        <v>27</v>
      </c>
      <c r="C115" s="2">
        <v>0.0</v>
      </c>
      <c r="D115" s="16">
        <f t="shared" si="3"/>
        <v>0</v>
      </c>
      <c r="E115" s="17">
        <f>D115/B1</f>
        <v>0</v>
      </c>
      <c r="F115" s="16">
        <f t="shared" si="4"/>
        <v>0</v>
      </c>
      <c r="G115" s="17">
        <f>F115/B2</f>
        <v>0</v>
      </c>
      <c r="H115" s="15">
        <f t="shared" si="5"/>
        <v>0</v>
      </c>
      <c r="I115" s="14">
        <f>H115/B3</f>
        <v>0</v>
      </c>
      <c r="J115" s="2">
        <v>0.0</v>
      </c>
      <c r="K115" s="2">
        <v>0.0</v>
      </c>
      <c r="L115" s="2">
        <v>0.0</v>
      </c>
    </row>
    <row r="116">
      <c r="A116" s="12">
        <v>45395.0</v>
      </c>
      <c r="B116" s="6" t="s">
        <v>28</v>
      </c>
      <c r="C116" s="2">
        <v>0.0</v>
      </c>
      <c r="D116" s="16">
        <f t="shared" si="3"/>
        <v>0</v>
      </c>
      <c r="E116" s="17">
        <f>D116/B1</f>
        <v>0</v>
      </c>
      <c r="F116" s="16">
        <f t="shared" si="4"/>
        <v>0</v>
      </c>
      <c r="G116" s="17">
        <f>F116/B2</f>
        <v>0</v>
      </c>
      <c r="H116" s="15">
        <f t="shared" si="5"/>
        <v>0</v>
      </c>
      <c r="I116" s="14">
        <f>H116/B3</f>
        <v>0</v>
      </c>
      <c r="J116" s="2">
        <v>0.0</v>
      </c>
      <c r="K116" s="2">
        <v>0.0</v>
      </c>
      <c r="L116" s="2">
        <v>0.0</v>
      </c>
    </row>
  </sheetData>
  <dataValidations>
    <dataValidation type="list" allowBlank="1" showErrorMessage="1" sqref="B6:B116">
      <formula1>"Hindu Kush,Ghost Train Haze,Frozen Lemon Mints"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3.75"/>
    <col customWidth="1" min="2" max="2" width="22.63"/>
    <col customWidth="1" min="3" max="3" width="10.25"/>
    <col customWidth="1" min="4" max="4" width="17.0"/>
    <col customWidth="1" min="5" max="5" width="15.0"/>
    <col customWidth="1" min="6" max="6" width="17.0"/>
    <col customWidth="1" min="7" max="7" width="16.13"/>
    <col customWidth="1" min="8" max="9" width="16.38"/>
    <col customWidth="1" min="10" max="10" width="12.63"/>
    <col customWidth="1" min="11" max="11" width="14.88"/>
    <col customWidth="1" min="12" max="12" width="13.0"/>
  </cols>
  <sheetData>
    <row r="1">
      <c r="A1" s="1" t="s">
        <v>20</v>
      </c>
      <c r="B1" s="2">
        <v>15.0</v>
      </c>
      <c r="C1" s="4">
        <f>D77</f>
        <v>0</v>
      </c>
      <c r="D1" s="5">
        <f t="shared" ref="D1:D4" si="1">C1/B1</f>
        <v>0</v>
      </c>
      <c r="G1" s="1" t="s">
        <v>1</v>
      </c>
      <c r="H1" s="3">
        <f>IFERROR(__xludf.DUMMYFUNCTION("COUNTUNIQUE(A6:A77)"),24.0)</f>
        <v>24</v>
      </c>
      <c r="I1" s="3"/>
      <c r="J1" s="6"/>
      <c r="K1" s="3"/>
      <c r="L1" s="3"/>
      <c r="M1" s="7"/>
      <c r="N1" s="7"/>
    </row>
    <row r="2">
      <c r="A2" s="1" t="s">
        <v>21</v>
      </c>
      <c r="B2" s="2">
        <v>15.0</v>
      </c>
      <c r="C2" s="4">
        <f>F77</f>
        <v>0</v>
      </c>
      <c r="D2" s="5">
        <f t="shared" si="1"/>
        <v>0</v>
      </c>
      <c r="G2" s="1" t="s">
        <v>5</v>
      </c>
      <c r="H2" s="3">
        <f>(B1+B2+B3)/F4</f>
        <v>24</v>
      </c>
      <c r="I2" s="3"/>
      <c r="J2" s="3"/>
      <c r="K2" s="3"/>
      <c r="L2" s="3"/>
      <c r="M2" s="7"/>
      <c r="N2" s="7"/>
    </row>
    <row r="3">
      <c r="A3" s="1" t="s">
        <v>22</v>
      </c>
      <c r="B3" s="2">
        <v>15.0</v>
      </c>
      <c r="C3" s="4">
        <f>H77</f>
        <v>0</v>
      </c>
      <c r="D3" s="8">
        <f t="shared" si="1"/>
        <v>0</v>
      </c>
      <c r="E3" s="3"/>
      <c r="F3" s="6"/>
      <c r="G3" s="3"/>
      <c r="H3" s="3"/>
      <c r="I3" s="3"/>
      <c r="J3" s="3"/>
      <c r="K3" s="3"/>
      <c r="L3" s="3"/>
      <c r="M3" s="7"/>
      <c r="N3" s="7"/>
    </row>
    <row r="4">
      <c r="A4" s="3"/>
      <c r="B4" s="9">
        <f t="shared" ref="B4:C4" si="2">SUM(B1:B3)</f>
        <v>45</v>
      </c>
      <c r="C4" s="9">
        <f t="shared" si="2"/>
        <v>0</v>
      </c>
      <c r="D4" s="5">
        <f t="shared" si="1"/>
        <v>0</v>
      </c>
      <c r="E4" s="1" t="s">
        <v>7</v>
      </c>
      <c r="F4" s="3">
        <f>SUM(C6:C77)/H1</f>
        <v>1.875</v>
      </c>
      <c r="G4" s="3"/>
      <c r="H4" s="3"/>
      <c r="I4" s="3"/>
      <c r="J4" s="3"/>
      <c r="K4" s="3"/>
      <c r="L4" s="3"/>
      <c r="M4" s="7"/>
      <c r="N4" s="7"/>
    </row>
    <row r="5">
      <c r="A5" s="10" t="s">
        <v>8</v>
      </c>
      <c r="B5" s="10" t="s">
        <v>9</v>
      </c>
      <c r="C5" s="10" t="s">
        <v>10</v>
      </c>
      <c r="D5" s="10" t="s">
        <v>11</v>
      </c>
      <c r="E5" s="10" t="s">
        <v>11</v>
      </c>
      <c r="F5" s="10" t="s">
        <v>23</v>
      </c>
      <c r="G5" s="10" t="s">
        <v>23</v>
      </c>
      <c r="H5" s="10" t="s">
        <v>24</v>
      </c>
      <c r="I5" s="10" t="s">
        <v>24</v>
      </c>
      <c r="J5" s="10" t="s">
        <v>14</v>
      </c>
      <c r="K5" s="10" t="s">
        <v>25</v>
      </c>
      <c r="L5" s="10" t="s">
        <v>26</v>
      </c>
      <c r="M5" s="7"/>
      <c r="N5" s="7"/>
    </row>
    <row r="6">
      <c r="A6" s="12">
        <v>45391.0</v>
      </c>
      <c r="B6" s="6" t="s">
        <v>17</v>
      </c>
      <c r="C6" s="2">
        <v>0.51</v>
      </c>
      <c r="D6" s="4">
        <f>IF(B6="Hindu Kush",B1-C6,B1)</f>
        <v>14.49</v>
      </c>
      <c r="E6" s="13">
        <f>D6/B1</f>
        <v>0.966</v>
      </c>
      <c r="F6" s="2">
        <f>IF(B6="Ghost Train Haze",B2-C6,B2)</f>
        <v>15</v>
      </c>
      <c r="G6" s="14">
        <f>F6/B2</f>
        <v>1</v>
      </c>
      <c r="H6" s="15">
        <f>IF(B6="Frozen Lemon Mints",B3-C6,B3)</f>
        <v>15</v>
      </c>
      <c r="I6" s="14">
        <f>H6/B3</f>
        <v>1</v>
      </c>
      <c r="J6" s="2">
        <v>0.0</v>
      </c>
      <c r="K6" s="2">
        <v>0.0</v>
      </c>
      <c r="L6" s="2">
        <v>0.0</v>
      </c>
      <c r="M6" s="7"/>
      <c r="N6" s="7"/>
    </row>
    <row r="7">
      <c r="A7" s="12">
        <v>45391.0</v>
      </c>
      <c r="B7" s="6" t="s">
        <v>27</v>
      </c>
      <c r="C7" s="2">
        <v>0.58</v>
      </c>
      <c r="D7" s="16">
        <f t="shared" ref="D7:D77" si="3">IF(B7="Hindu Kush",D6-C7,D6)</f>
        <v>14.49</v>
      </c>
      <c r="E7" s="17">
        <f>D7/B1</f>
        <v>0.966</v>
      </c>
      <c r="F7" s="16">
        <f t="shared" ref="F7:F77" si="4">IF(B7="Ghost Train Haze",F6-C7,F6)</f>
        <v>14.42</v>
      </c>
      <c r="G7" s="17">
        <f>F7/B2</f>
        <v>0.9613333333</v>
      </c>
      <c r="H7" s="15">
        <f t="shared" ref="H7:H77" si="5">IF(B7="Frozen Lemon Mints",H6-C7,H6)</f>
        <v>15</v>
      </c>
      <c r="I7" s="14">
        <f>H7/B3</f>
        <v>1</v>
      </c>
      <c r="J7" s="2">
        <v>0.0</v>
      </c>
      <c r="K7" s="2">
        <v>0.0</v>
      </c>
      <c r="L7" s="2">
        <v>0.0</v>
      </c>
      <c r="M7" s="7"/>
      <c r="N7" s="7"/>
    </row>
    <row r="8">
      <c r="A8" s="12">
        <v>45391.0</v>
      </c>
      <c r="B8" s="6" t="s">
        <v>28</v>
      </c>
      <c r="C8" s="2">
        <v>0.57</v>
      </c>
      <c r="D8" s="16">
        <f t="shared" si="3"/>
        <v>14.49</v>
      </c>
      <c r="E8" s="17">
        <f>D8/B1</f>
        <v>0.966</v>
      </c>
      <c r="F8" s="16">
        <f t="shared" si="4"/>
        <v>14.42</v>
      </c>
      <c r="G8" s="17">
        <f>F8/B2</f>
        <v>0.9613333333</v>
      </c>
      <c r="H8" s="15">
        <f t="shared" si="5"/>
        <v>14.43</v>
      </c>
      <c r="I8" s="14">
        <f>H8/B3</f>
        <v>0.962</v>
      </c>
      <c r="J8" s="2">
        <v>0.0</v>
      </c>
      <c r="K8" s="2">
        <v>0.0</v>
      </c>
      <c r="L8" s="2">
        <v>0.0</v>
      </c>
      <c r="M8" s="7"/>
      <c r="N8" s="7"/>
    </row>
    <row r="9">
      <c r="A9" s="12">
        <v>45392.0</v>
      </c>
      <c r="B9" s="6" t="s">
        <v>17</v>
      </c>
      <c r="C9" s="2">
        <v>0.99</v>
      </c>
      <c r="D9" s="16">
        <f t="shared" si="3"/>
        <v>13.5</v>
      </c>
      <c r="E9" s="17">
        <f>D9/B1</f>
        <v>0.9</v>
      </c>
      <c r="F9" s="16">
        <f t="shared" si="4"/>
        <v>14.42</v>
      </c>
      <c r="G9" s="17">
        <f>F9/B2</f>
        <v>0.9613333333</v>
      </c>
      <c r="H9" s="15">
        <f t="shared" si="5"/>
        <v>14.43</v>
      </c>
      <c r="I9" s="14">
        <f>H9/B3</f>
        <v>0.962</v>
      </c>
      <c r="J9" s="2">
        <v>0.0</v>
      </c>
      <c r="K9" s="2">
        <v>0.0</v>
      </c>
      <c r="L9" s="2">
        <v>0.0</v>
      </c>
      <c r="M9" s="7"/>
      <c r="N9" s="7"/>
    </row>
    <row r="10">
      <c r="A10" s="12">
        <v>45392.0</v>
      </c>
      <c r="B10" s="6" t="s">
        <v>27</v>
      </c>
      <c r="C10" s="2">
        <v>1.07</v>
      </c>
      <c r="D10" s="16">
        <f t="shared" si="3"/>
        <v>13.5</v>
      </c>
      <c r="E10" s="17">
        <f>D10/B1</f>
        <v>0.9</v>
      </c>
      <c r="F10" s="16">
        <f t="shared" si="4"/>
        <v>13.35</v>
      </c>
      <c r="G10" s="17">
        <f>F10/B2</f>
        <v>0.89</v>
      </c>
      <c r="H10" s="15">
        <f t="shared" si="5"/>
        <v>14.43</v>
      </c>
      <c r="I10" s="14">
        <f>H10/B3</f>
        <v>0.962</v>
      </c>
      <c r="J10" s="2">
        <v>0.0</v>
      </c>
      <c r="K10" s="2">
        <v>0.0</v>
      </c>
      <c r="L10" s="2">
        <v>0.0</v>
      </c>
      <c r="M10" s="7"/>
      <c r="N10" s="7"/>
    </row>
    <row r="11">
      <c r="A11" s="12">
        <v>45392.0</v>
      </c>
      <c r="B11" s="6" t="s">
        <v>28</v>
      </c>
      <c r="C11" s="2">
        <v>1.22</v>
      </c>
      <c r="D11" s="16">
        <f t="shared" si="3"/>
        <v>13.5</v>
      </c>
      <c r="E11" s="17">
        <f>D11/B1</f>
        <v>0.9</v>
      </c>
      <c r="F11" s="16">
        <f t="shared" si="4"/>
        <v>13.35</v>
      </c>
      <c r="G11" s="17">
        <f>F11/B2</f>
        <v>0.89</v>
      </c>
      <c r="H11" s="15">
        <f t="shared" si="5"/>
        <v>13.21</v>
      </c>
      <c r="I11" s="14">
        <f>H11/B3</f>
        <v>0.8806666667</v>
      </c>
      <c r="J11" s="2">
        <v>0.0</v>
      </c>
      <c r="K11" s="2">
        <v>0.0</v>
      </c>
      <c r="L11" s="2">
        <v>0.0</v>
      </c>
      <c r="M11" s="7"/>
      <c r="N11" s="7"/>
    </row>
    <row r="12">
      <c r="A12" s="12">
        <v>45393.0</v>
      </c>
      <c r="B12" s="6" t="s">
        <v>17</v>
      </c>
      <c r="C12" s="2">
        <v>0.0</v>
      </c>
      <c r="D12" s="16">
        <f t="shared" si="3"/>
        <v>13.5</v>
      </c>
      <c r="E12" s="17">
        <f>D12/B1</f>
        <v>0.9</v>
      </c>
      <c r="F12" s="16">
        <f t="shared" si="4"/>
        <v>13.35</v>
      </c>
      <c r="G12" s="17">
        <f>F12/B2</f>
        <v>0.89</v>
      </c>
      <c r="H12" s="15">
        <f t="shared" si="5"/>
        <v>13.21</v>
      </c>
      <c r="I12" s="14">
        <f>H12/B3</f>
        <v>0.8806666667</v>
      </c>
      <c r="J12" s="2">
        <v>0.0</v>
      </c>
      <c r="K12" s="2">
        <v>0.0</v>
      </c>
      <c r="L12" s="2">
        <v>0.0</v>
      </c>
      <c r="M12" s="7"/>
      <c r="N12" s="7"/>
    </row>
    <row r="13">
      <c r="A13" s="12">
        <v>45393.0</v>
      </c>
      <c r="B13" s="6" t="s">
        <v>27</v>
      </c>
      <c r="C13" s="2">
        <v>0.56</v>
      </c>
      <c r="D13" s="16">
        <f t="shared" si="3"/>
        <v>13.5</v>
      </c>
      <c r="E13" s="17">
        <f>D13/B1</f>
        <v>0.9</v>
      </c>
      <c r="F13" s="16">
        <f t="shared" si="4"/>
        <v>12.79</v>
      </c>
      <c r="G13" s="17">
        <f>F13/B2</f>
        <v>0.8526666667</v>
      </c>
      <c r="H13" s="15">
        <f t="shared" si="5"/>
        <v>13.21</v>
      </c>
      <c r="I13" s="14">
        <f>H13/B3</f>
        <v>0.8806666667</v>
      </c>
      <c r="J13" s="2">
        <v>0.0</v>
      </c>
      <c r="K13" s="2">
        <v>0.0</v>
      </c>
      <c r="L13" s="2">
        <v>0.0</v>
      </c>
      <c r="M13" s="7"/>
      <c r="N13" s="7"/>
    </row>
    <row r="14">
      <c r="A14" s="12">
        <v>45393.0</v>
      </c>
      <c r="B14" s="6" t="s">
        <v>28</v>
      </c>
      <c r="C14" s="2">
        <v>0.59</v>
      </c>
      <c r="D14" s="16">
        <f t="shared" si="3"/>
        <v>13.5</v>
      </c>
      <c r="E14" s="17">
        <f>D14/B1</f>
        <v>0.9</v>
      </c>
      <c r="F14" s="16">
        <f t="shared" si="4"/>
        <v>12.79</v>
      </c>
      <c r="G14" s="17">
        <f>F14/B2</f>
        <v>0.8526666667</v>
      </c>
      <c r="H14" s="15">
        <f t="shared" si="5"/>
        <v>12.62</v>
      </c>
      <c r="I14" s="14">
        <f>H14/B3</f>
        <v>0.8413333333</v>
      </c>
      <c r="J14" s="2">
        <v>0.0</v>
      </c>
      <c r="K14" s="2">
        <v>0.0</v>
      </c>
      <c r="L14" s="2">
        <v>0.0</v>
      </c>
      <c r="M14" s="7"/>
      <c r="N14" s="7"/>
    </row>
    <row r="15">
      <c r="A15" s="12">
        <v>45394.0</v>
      </c>
      <c r="B15" s="6" t="s">
        <v>17</v>
      </c>
      <c r="C15" s="2">
        <v>0.78</v>
      </c>
      <c r="D15" s="16">
        <f t="shared" si="3"/>
        <v>12.72</v>
      </c>
      <c r="E15" s="17">
        <f>D15/B1</f>
        <v>0.848</v>
      </c>
      <c r="F15" s="16">
        <f t="shared" si="4"/>
        <v>12.79</v>
      </c>
      <c r="G15" s="17">
        <f>F15/B2</f>
        <v>0.8526666667</v>
      </c>
      <c r="H15" s="15">
        <f t="shared" si="5"/>
        <v>12.62</v>
      </c>
      <c r="I15" s="14">
        <f>H15/B3</f>
        <v>0.8413333333</v>
      </c>
      <c r="J15" s="2">
        <v>0.0</v>
      </c>
      <c r="K15" s="2">
        <v>0.0</v>
      </c>
      <c r="L15" s="2">
        <v>0.0</v>
      </c>
      <c r="M15" s="7"/>
      <c r="N15" s="7"/>
    </row>
    <row r="16">
      <c r="A16" s="12">
        <v>45394.0</v>
      </c>
      <c r="B16" s="6" t="s">
        <v>27</v>
      </c>
      <c r="C16" s="2">
        <v>0.42</v>
      </c>
      <c r="D16" s="16">
        <f t="shared" si="3"/>
        <v>12.72</v>
      </c>
      <c r="E16" s="17">
        <f>D16/B1</f>
        <v>0.848</v>
      </c>
      <c r="F16" s="16">
        <f t="shared" si="4"/>
        <v>12.37</v>
      </c>
      <c r="G16" s="17">
        <f>F16/B2</f>
        <v>0.8246666667</v>
      </c>
      <c r="H16" s="15">
        <f t="shared" si="5"/>
        <v>12.62</v>
      </c>
      <c r="I16" s="14">
        <f>H16/B3</f>
        <v>0.8413333333</v>
      </c>
      <c r="J16" s="2">
        <v>0.0</v>
      </c>
      <c r="K16" s="2">
        <v>0.0</v>
      </c>
      <c r="L16" s="2">
        <v>0.0</v>
      </c>
      <c r="M16" s="7"/>
      <c r="N16" s="7"/>
    </row>
    <row r="17">
      <c r="A17" s="12">
        <v>45394.0</v>
      </c>
      <c r="B17" s="6" t="s">
        <v>28</v>
      </c>
      <c r="C17" s="2">
        <v>0.75</v>
      </c>
      <c r="D17" s="16">
        <f t="shared" si="3"/>
        <v>12.72</v>
      </c>
      <c r="E17" s="17">
        <f>D17/B1</f>
        <v>0.848</v>
      </c>
      <c r="F17" s="16">
        <f t="shared" si="4"/>
        <v>12.37</v>
      </c>
      <c r="G17" s="17">
        <f>F17/B2</f>
        <v>0.8246666667</v>
      </c>
      <c r="H17" s="15">
        <f t="shared" si="5"/>
        <v>11.87</v>
      </c>
      <c r="I17" s="14">
        <f>H17/B3</f>
        <v>0.7913333333</v>
      </c>
      <c r="J17" s="2">
        <v>0.0</v>
      </c>
      <c r="K17" s="2">
        <v>0.0</v>
      </c>
      <c r="L17" s="2">
        <v>0.0</v>
      </c>
      <c r="M17" s="7"/>
      <c r="N17" s="7"/>
    </row>
    <row r="18">
      <c r="A18" s="12">
        <v>45395.0</v>
      </c>
      <c r="B18" s="6" t="s">
        <v>17</v>
      </c>
      <c r="C18" s="2">
        <v>0.0</v>
      </c>
      <c r="D18" s="16">
        <f t="shared" si="3"/>
        <v>12.72</v>
      </c>
      <c r="E18" s="17">
        <f>D18/B1</f>
        <v>0.848</v>
      </c>
      <c r="F18" s="16">
        <f t="shared" si="4"/>
        <v>12.37</v>
      </c>
      <c r="G18" s="17">
        <f>F18/B2</f>
        <v>0.8246666667</v>
      </c>
      <c r="H18" s="15">
        <f t="shared" si="5"/>
        <v>11.87</v>
      </c>
      <c r="I18" s="14">
        <f>H18/B3</f>
        <v>0.7913333333</v>
      </c>
      <c r="J18" s="2">
        <v>0.0</v>
      </c>
      <c r="K18" s="2">
        <v>0.0</v>
      </c>
      <c r="L18" s="2">
        <v>0.0</v>
      </c>
      <c r="M18" s="7"/>
      <c r="N18" s="7"/>
    </row>
    <row r="19">
      <c r="A19" s="12">
        <v>45395.0</v>
      </c>
      <c r="B19" s="6" t="s">
        <v>27</v>
      </c>
      <c r="C19" s="2">
        <v>0.0</v>
      </c>
      <c r="D19" s="16">
        <f t="shared" si="3"/>
        <v>12.72</v>
      </c>
      <c r="E19" s="17">
        <f>D19/B1</f>
        <v>0.848</v>
      </c>
      <c r="F19" s="16">
        <f t="shared" si="4"/>
        <v>12.37</v>
      </c>
      <c r="G19" s="17">
        <f>F19/B2</f>
        <v>0.8246666667</v>
      </c>
      <c r="H19" s="15">
        <f t="shared" si="5"/>
        <v>11.87</v>
      </c>
      <c r="I19" s="14">
        <f>H19/B3</f>
        <v>0.7913333333</v>
      </c>
      <c r="J19" s="2">
        <v>0.0</v>
      </c>
      <c r="K19" s="2">
        <v>0.0</v>
      </c>
      <c r="L19" s="2">
        <v>0.0</v>
      </c>
      <c r="M19" s="7"/>
      <c r="N19" s="7"/>
    </row>
    <row r="20">
      <c r="A20" s="12">
        <v>45395.0</v>
      </c>
      <c r="B20" s="6" t="s">
        <v>28</v>
      </c>
      <c r="C20" s="2">
        <v>0.0</v>
      </c>
      <c r="D20" s="16">
        <f t="shared" si="3"/>
        <v>12.72</v>
      </c>
      <c r="E20" s="17">
        <f>D20/B1</f>
        <v>0.848</v>
      </c>
      <c r="F20" s="16">
        <f t="shared" si="4"/>
        <v>12.37</v>
      </c>
      <c r="G20" s="17">
        <f>F20/B2</f>
        <v>0.8246666667</v>
      </c>
      <c r="H20" s="15">
        <f t="shared" si="5"/>
        <v>11.87</v>
      </c>
      <c r="I20" s="14">
        <f>H20/B3</f>
        <v>0.7913333333</v>
      </c>
      <c r="J20" s="2">
        <v>0.0</v>
      </c>
      <c r="K20" s="2">
        <v>0.0</v>
      </c>
      <c r="L20" s="2">
        <v>0.0</v>
      </c>
      <c r="M20" s="7"/>
      <c r="N20" s="7"/>
    </row>
    <row r="21">
      <c r="A21" s="12">
        <v>45396.0</v>
      </c>
      <c r="B21" s="6" t="s">
        <v>17</v>
      </c>
      <c r="C21" s="2">
        <v>0.0</v>
      </c>
      <c r="D21" s="16">
        <f t="shared" si="3"/>
        <v>12.72</v>
      </c>
      <c r="E21" s="17">
        <f>D21/B1</f>
        <v>0.848</v>
      </c>
      <c r="F21" s="16">
        <f t="shared" si="4"/>
        <v>12.37</v>
      </c>
      <c r="G21" s="17">
        <f>F21/B2</f>
        <v>0.8246666667</v>
      </c>
      <c r="H21" s="15">
        <f t="shared" si="5"/>
        <v>11.87</v>
      </c>
      <c r="I21" s="14">
        <f>H21/B3</f>
        <v>0.7913333333</v>
      </c>
      <c r="J21" s="2">
        <v>0.0</v>
      </c>
      <c r="K21" s="2">
        <v>0.0</v>
      </c>
      <c r="L21" s="2">
        <v>0.0</v>
      </c>
      <c r="M21" s="7"/>
      <c r="N21" s="7"/>
    </row>
    <row r="22">
      <c r="A22" s="12">
        <v>45396.0</v>
      </c>
      <c r="B22" s="6" t="s">
        <v>27</v>
      </c>
      <c r="C22" s="2">
        <v>0.82</v>
      </c>
      <c r="D22" s="16">
        <f t="shared" si="3"/>
        <v>12.72</v>
      </c>
      <c r="E22" s="17">
        <f>D22/B1</f>
        <v>0.848</v>
      </c>
      <c r="F22" s="16">
        <f t="shared" si="4"/>
        <v>11.55</v>
      </c>
      <c r="G22" s="17">
        <f>F22/B2</f>
        <v>0.77</v>
      </c>
      <c r="H22" s="15">
        <f t="shared" si="5"/>
        <v>11.87</v>
      </c>
      <c r="I22" s="14">
        <f>H22/B3</f>
        <v>0.7913333333</v>
      </c>
      <c r="J22" s="2">
        <v>0.0</v>
      </c>
      <c r="K22" s="2">
        <v>0.0</v>
      </c>
      <c r="L22" s="2">
        <v>0.0</v>
      </c>
      <c r="M22" s="7"/>
      <c r="N22" s="7"/>
    </row>
    <row r="23">
      <c r="A23" s="12">
        <v>45396.0</v>
      </c>
      <c r="B23" s="6" t="s">
        <v>28</v>
      </c>
      <c r="C23" s="2">
        <v>0.0</v>
      </c>
      <c r="D23" s="16">
        <f t="shared" si="3"/>
        <v>12.72</v>
      </c>
      <c r="E23" s="17">
        <f>D23/B1</f>
        <v>0.848</v>
      </c>
      <c r="F23" s="16">
        <f t="shared" si="4"/>
        <v>11.55</v>
      </c>
      <c r="G23" s="17">
        <f>F23/B2</f>
        <v>0.77</v>
      </c>
      <c r="H23" s="15">
        <f t="shared" si="5"/>
        <v>11.87</v>
      </c>
      <c r="I23" s="14">
        <f>H23/B3</f>
        <v>0.7913333333</v>
      </c>
      <c r="J23" s="2">
        <v>0.0</v>
      </c>
      <c r="K23" s="2">
        <v>0.0</v>
      </c>
      <c r="L23" s="2">
        <v>0.0</v>
      </c>
      <c r="M23" s="7"/>
      <c r="N23" s="7"/>
    </row>
    <row r="24">
      <c r="A24" s="12">
        <v>45397.0</v>
      </c>
      <c r="B24" s="6" t="s">
        <v>17</v>
      </c>
      <c r="C24" s="2">
        <v>0.53</v>
      </c>
      <c r="D24" s="16">
        <f t="shared" si="3"/>
        <v>12.19</v>
      </c>
      <c r="E24" s="17">
        <f>D24/B1</f>
        <v>0.8126666667</v>
      </c>
      <c r="F24" s="16">
        <f t="shared" si="4"/>
        <v>11.55</v>
      </c>
      <c r="G24" s="17">
        <f>F24/B2</f>
        <v>0.77</v>
      </c>
      <c r="H24" s="15">
        <f t="shared" si="5"/>
        <v>11.87</v>
      </c>
      <c r="I24" s="14">
        <f>H24/B3</f>
        <v>0.7913333333</v>
      </c>
      <c r="J24" s="2">
        <v>0.0</v>
      </c>
      <c r="K24" s="2">
        <v>0.0</v>
      </c>
      <c r="L24" s="2">
        <v>0.0</v>
      </c>
      <c r="M24" s="7"/>
      <c r="N24" s="7"/>
    </row>
    <row r="25">
      <c r="A25" s="12">
        <v>45397.0</v>
      </c>
      <c r="B25" s="6" t="s">
        <v>27</v>
      </c>
      <c r="C25" s="2">
        <v>1.25</v>
      </c>
      <c r="D25" s="16">
        <f t="shared" si="3"/>
        <v>12.19</v>
      </c>
      <c r="E25" s="17">
        <f>D25/B1</f>
        <v>0.8126666667</v>
      </c>
      <c r="F25" s="16">
        <f t="shared" si="4"/>
        <v>10.3</v>
      </c>
      <c r="G25" s="17">
        <f>F25/B2</f>
        <v>0.6866666667</v>
      </c>
      <c r="H25" s="15">
        <f t="shared" si="5"/>
        <v>11.87</v>
      </c>
      <c r="I25" s="14">
        <f>H25/B3</f>
        <v>0.7913333333</v>
      </c>
      <c r="J25" s="2">
        <v>0.0</v>
      </c>
      <c r="K25" s="2">
        <v>0.0</v>
      </c>
      <c r="L25" s="2">
        <v>0.0</v>
      </c>
      <c r="M25" s="7"/>
      <c r="N25" s="7"/>
    </row>
    <row r="26">
      <c r="A26" s="12">
        <v>45397.0</v>
      </c>
      <c r="B26" s="6" t="s">
        <v>28</v>
      </c>
      <c r="C26" s="2">
        <v>1.25</v>
      </c>
      <c r="D26" s="16">
        <f t="shared" si="3"/>
        <v>12.19</v>
      </c>
      <c r="E26" s="17">
        <f>D26/B1</f>
        <v>0.8126666667</v>
      </c>
      <c r="F26" s="16">
        <f t="shared" si="4"/>
        <v>10.3</v>
      </c>
      <c r="G26" s="17">
        <f>F26/B2</f>
        <v>0.6866666667</v>
      </c>
      <c r="H26" s="15">
        <f t="shared" si="5"/>
        <v>10.62</v>
      </c>
      <c r="I26" s="14">
        <f>H26/B3</f>
        <v>0.708</v>
      </c>
      <c r="J26" s="2">
        <v>0.0</v>
      </c>
      <c r="K26" s="2">
        <v>0.0</v>
      </c>
      <c r="L26" s="2">
        <v>0.0</v>
      </c>
      <c r="M26" s="7"/>
      <c r="N26" s="7"/>
    </row>
    <row r="27">
      <c r="A27" s="12">
        <v>45398.0</v>
      </c>
      <c r="B27" s="6" t="s">
        <v>17</v>
      </c>
      <c r="C27" s="2">
        <v>0.0</v>
      </c>
      <c r="D27" s="16">
        <f t="shared" si="3"/>
        <v>12.19</v>
      </c>
      <c r="E27" s="17">
        <f>D27/B1</f>
        <v>0.8126666667</v>
      </c>
      <c r="F27" s="16">
        <f t="shared" si="4"/>
        <v>10.3</v>
      </c>
      <c r="G27" s="17">
        <f>F27/B2</f>
        <v>0.6866666667</v>
      </c>
      <c r="H27" s="15">
        <f t="shared" si="5"/>
        <v>10.62</v>
      </c>
      <c r="I27" s="14">
        <f>H27/B3</f>
        <v>0.708</v>
      </c>
      <c r="J27" s="2">
        <v>0.0</v>
      </c>
      <c r="K27" s="2">
        <v>0.0</v>
      </c>
      <c r="L27" s="2">
        <v>0.0</v>
      </c>
      <c r="M27" s="7"/>
      <c r="N27" s="7"/>
    </row>
    <row r="28">
      <c r="A28" s="12">
        <v>45398.0</v>
      </c>
      <c r="B28" s="6" t="s">
        <v>27</v>
      </c>
      <c r="C28" s="2">
        <v>0.69</v>
      </c>
      <c r="D28" s="16">
        <f t="shared" si="3"/>
        <v>12.19</v>
      </c>
      <c r="E28" s="17">
        <f>D28/B1</f>
        <v>0.8126666667</v>
      </c>
      <c r="F28" s="16">
        <f t="shared" si="4"/>
        <v>9.61</v>
      </c>
      <c r="G28" s="17">
        <f>F28/B2</f>
        <v>0.6406666667</v>
      </c>
      <c r="H28" s="15">
        <f t="shared" si="5"/>
        <v>10.62</v>
      </c>
      <c r="I28" s="14">
        <f>H28/B3</f>
        <v>0.708</v>
      </c>
      <c r="J28" s="2">
        <v>0.0</v>
      </c>
      <c r="K28" s="2">
        <v>0.0</v>
      </c>
      <c r="L28" s="2">
        <v>0.0</v>
      </c>
      <c r="M28" s="7"/>
      <c r="N28" s="7"/>
    </row>
    <row r="29">
      <c r="A29" s="12">
        <v>45398.0</v>
      </c>
      <c r="B29" s="6" t="s">
        <v>28</v>
      </c>
      <c r="C29" s="2">
        <v>0.8</v>
      </c>
      <c r="D29" s="16">
        <f t="shared" si="3"/>
        <v>12.19</v>
      </c>
      <c r="E29" s="17">
        <f>D29/B1</f>
        <v>0.8126666667</v>
      </c>
      <c r="F29" s="16">
        <f t="shared" si="4"/>
        <v>9.61</v>
      </c>
      <c r="G29" s="17">
        <f>F29/B2</f>
        <v>0.6406666667</v>
      </c>
      <c r="H29" s="15">
        <f t="shared" si="5"/>
        <v>9.82</v>
      </c>
      <c r="I29" s="14">
        <f>H29/B3</f>
        <v>0.6546666667</v>
      </c>
      <c r="J29" s="2">
        <v>0.0</v>
      </c>
      <c r="K29" s="2">
        <v>0.0</v>
      </c>
      <c r="L29" s="2">
        <v>0.0</v>
      </c>
      <c r="M29" s="7"/>
      <c r="N29" s="7"/>
    </row>
    <row r="30">
      <c r="A30" s="12">
        <v>45399.0</v>
      </c>
      <c r="B30" s="6" t="s">
        <v>17</v>
      </c>
      <c r="C30" s="2">
        <v>0.58</v>
      </c>
      <c r="D30" s="16">
        <f t="shared" si="3"/>
        <v>11.61</v>
      </c>
      <c r="E30" s="17">
        <f>D30/B1</f>
        <v>0.774</v>
      </c>
      <c r="F30" s="16">
        <f t="shared" si="4"/>
        <v>9.61</v>
      </c>
      <c r="G30" s="17">
        <f>F30/B2</f>
        <v>0.6406666667</v>
      </c>
      <c r="H30" s="15">
        <f t="shared" si="5"/>
        <v>9.82</v>
      </c>
      <c r="I30" s="14">
        <f>H30/B3</f>
        <v>0.6546666667</v>
      </c>
      <c r="J30" s="2">
        <v>0.0</v>
      </c>
      <c r="K30" s="2">
        <v>0.0</v>
      </c>
      <c r="L30" s="2">
        <v>0.0</v>
      </c>
      <c r="M30" s="7"/>
      <c r="N30" s="7"/>
    </row>
    <row r="31">
      <c r="A31" s="12">
        <v>45399.0</v>
      </c>
      <c r="B31" s="6" t="s">
        <v>27</v>
      </c>
      <c r="C31" s="2">
        <v>0.64</v>
      </c>
      <c r="D31" s="16">
        <f t="shared" si="3"/>
        <v>11.61</v>
      </c>
      <c r="E31" s="17">
        <f>D31/B1</f>
        <v>0.774</v>
      </c>
      <c r="F31" s="16">
        <f t="shared" si="4"/>
        <v>8.97</v>
      </c>
      <c r="G31" s="17">
        <f>F31/B2</f>
        <v>0.598</v>
      </c>
      <c r="H31" s="15">
        <f t="shared" si="5"/>
        <v>9.82</v>
      </c>
      <c r="I31" s="14">
        <f>H31/B3</f>
        <v>0.6546666667</v>
      </c>
      <c r="J31" s="2">
        <v>0.0</v>
      </c>
      <c r="K31" s="2">
        <v>0.0</v>
      </c>
      <c r="L31" s="2">
        <v>0.0</v>
      </c>
      <c r="M31" s="7"/>
      <c r="N31" s="7"/>
    </row>
    <row r="32">
      <c r="A32" s="12">
        <v>45399.0</v>
      </c>
      <c r="B32" s="6" t="s">
        <v>28</v>
      </c>
      <c r="C32" s="2">
        <v>0.55</v>
      </c>
      <c r="D32" s="16">
        <f t="shared" si="3"/>
        <v>11.61</v>
      </c>
      <c r="E32" s="17">
        <f>D32/B1</f>
        <v>0.774</v>
      </c>
      <c r="F32" s="16">
        <f t="shared" si="4"/>
        <v>8.97</v>
      </c>
      <c r="G32" s="17">
        <f>F32/B2</f>
        <v>0.598</v>
      </c>
      <c r="H32" s="15">
        <f t="shared" si="5"/>
        <v>9.27</v>
      </c>
      <c r="I32" s="14">
        <f>H32/B3</f>
        <v>0.618</v>
      </c>
      <c r="J32" s="2">
        <v>0.0</v>
      </c>
      <c r="K32" s="2">
        <v>0.0</v>
      </c>
      <c r="L32" s="2">
        <v>0.0</v>
      </c>
      <c r="M32" s="7"/>
      <c r="N32" s="7"/>
    </row>
    <row r="33">
      <c r="A33" s="12">
        <v>45400.0</v>
      </c>
      <c r="B33" s="6" t="s">
        <v>17</v>
      </c>
      <c r="C33" s="2">
        <v>0.59</v>
      </c>
      <c r="D33" s="16">
        <f t="shared" si="3"/>
        <v>11.02</v>
      </c>
      <c r="E33" s="17">
        <f>D33/B1</f>
        <v>0.7346666667</v>
      </c>
      <c r="F33" s="16">
        <f t="shared" si="4"/>
        <v>8.97</v>
      </c>
      <c r="G33" s="17">
        <f>F33/B2</f>
        <v>0.598</v>
      </c>
      <c r="H33" s="15">
        <f t="shared" si="5"/>
        <v>9.27</v>
      </c>
      <c r="I33" s="14">
        <f>H33/B3</f>
        <v>0.618</v>
      </c>
      <c r="J33" s="2">
        <v>0.0</v>
      </c>
      <c r="K33" s="2">
        <v>0.0</v>
      </c>
      <c r="L33" s="2">
        <v>0.0</v>
      </c>
      <c r="M33" s="7"/>
      <c r="N33" s="7"/>
    </row>
    <row r="34">
      <c r="A34" s="12">
        <v>45400.0</v>
      </c>
      <c r="B34" s="6" t="s">
        <v>27</v>
      </c>
      <c r="C34" s="2">
        <v>0.69</v>
      </c>
      <c r="D34" s="16">
        <f t="shared" si="3"/>
        <v>11.02</v>
      </c>
      <c r="E34" s="17">
        <f>D34/B1</f>
        <v>0.7346666667</v>
      </c>
      <c r="F34" s="16">
        <f t="shared" si="4"/>
        <v>8.28</v>
      </c>
      <c r="G34" s="17">
        <f>F34/B2</f>
        <v>0.552</v>
      </c>
      <c r="H34" s="15">
        <f t="shared" si="5"/>
        <v>9.27</v>
      </c>
      <c r="I34" s="14">
        <f>H34/B3</f>
        <v>0.618</v>
      </c>
      <c r="J34" s="2">
        <v>0.0</v>
      </c>
      <c r="K34" s="2">
        <v>0.0</v>
      </c>
      <c r="L34" s="2">
        <v>0.0</v>
      </c>
      <c r="M34" s="7"/>
      <c r="N34" s="7"/>
    </row>
    <row r="35">
      <c r="A35" s="12">
        <v>45400.0</v>
      </c>
      <c r="B35" s="6" t="s">
        <v>28</v>
      </c>
      <c r="C35" s="2">
        <v>0.71</v>
      </c>
      <c r="D35" s="16">
        <f t="shared" si="3"/>
        <v>11.02</v>
      </c>
      <c r="E35" s="17">
        <f>D35/B1</f>
        <v>0.7346666667</v>
      </c>
      <c r="F35" s="16">
        <f t="shared" si="4"/>
        <v>8.28</v>
      </c>
      <c r="G35" s="17">
        <f>F35/B2</f>
        <v>0.552</v>
      </c>
      <c r="H35" s="15">
        <f t="shared" si="5"/>
        <v>8.56</v>
      </c>
      <c r="I35" s="14">
        <f>H35/B3</f>
        <v>0.5706666667</v>
      </c>
      <c r="J35" s="2">
        <v>0.0</v>
      </c>
      <c r="K35" s="2">
        <v>0.0</v>
      </c>
      <c r="L35" s="2">
        <v>0.0</v>
      </c>
      <c r="M35" s="7"/>
      <c r="N35" s="7"/>
    </row>
    <row r="36">
      <c r="A36" s="12">
        <v>45401.0</v>
      </c>
      <c r="B36" s="6" t="s">
        <v>17</v>
      </c>
      <c r="C36" s="2">
        <v>0.82</v>
      </c>
      <c r="D36" s="16">
        <f t="shared" si="3"/>
        <v>10.2</v>
      </c>
      <c r="E36" s="17">
        <f>D36/B1</f>
        <v>0.68</v>
      </c>
      <c r="F36" s="16">
        <f t="shared" si="4"/>
        <v>8.28</v>
      </c>
      <c r="G36" s="17">
        <f>F36/B2</f>
        <v>0.552</v>
      </c>
      <c r="H36" s="15">
        <f t="shared" si="5"/>
        <v>8.56</v>
      </c>
      <c r="I36" s="14">
        <f>H36/B3</f>
        <v>0.5706666667</v>
      </c>
      <c r="J36" s="2">
        <v>0.0</v>
      </c>
      <c r="K36" s="2">
        <v>0.0</v>
      </c>
      <c r="L36" s="2">
        <v>0.0</v>
      </c>
      <c r="M36" s="7"/>
      <c r="N36" s="7"/>
    </row>
    <row r="37">
      <c r="A37" s="12">
        <v>45401.0</v>
      </c>
      <c r="B37" s="6" t="s">
        <v>27</v>
      </c>
      <c r="C37" s="2">
        <v>0.63</v>
      </c>
      <c r="D37" s="16">
        <f t="shared" si="3"/>
        <v>10.2</v>
      </c>
      <c r="E37" s="17">
        <f>D37/B1</f>
        <v>0.68</v>
      </c>
      <c r="F37" s="16">
        <f t="shared" si="4"/>
        <v>7.65</v>
      </c>
      <c r="G37" s="17">
        <f>F37/B2</f>
        <v>0.51</v>
      </c>
      <c r="H37" s="15">
        <f t="shared" si="5"/>
        <v>8.56</v>
      </c>
      <c r="I37" s="14">
        <f>H37/B3</f>
        <v>0.5706666667</v>
      </c>
      <c r="J37" s="2">
        <v>0.0</v>
      </c>
      <c r="K37" s="2">
        <v>0.0</v>
      </c>
      <c r="L37" s="2">
        <v>0.0</v>
      </c>
      <c r="M37" s="7"/>
      <c r="N37" s="7"/>
    </row>
    <row r="38">
      <c r="A38" s="12">
        <v>45401.0</v>
      </c>
      <c r="B38" s="6" t="s">
        <v>28</v>
      </c>
      <c r="C38" s="2">
        <v>0.48</v>
      </c>
      <c r="D38" s="16">
        <f t="shared" si="3"/>
        <v>10.2</v>
      </c>
      <c r="E38" s="17">
        <f>D38/B1</f>
        <v>0.68</v>
      </c>
      <c r="F38" s="16">
        <f t="shared" si="4"/>
        <v>7.65</v>
      </c>
      <c r="G38" s="17">
        <f>F38/B2</f>
        <v>0.51</v>
      </c>
      <c r="H38" s="15">
        <f t="shared" si="5"/>
        <v>8.08</v>
      </c>
      <c r="I38" s="14">
        <f>H38/B3</f>
        <v>0.5386666667</v>
      </c>
      <c r="J38" s="2">
        <v>0.0</v>
      </c>
      <c r="K38" s="2">
        <v>0.0</v>
      </c>
      <c r="L38" s="2">
        <v>0.0</v>
      </c>
      <c r="M38" s="7"/>
      <c r="N38" s="7"/>
    </row>
    <row r="39">
      <c r="A39" s="12">
        <v>45402.0</v>
      </c>
      <c r="B39" s="6" t="s">
        <v>17</v>
      </c>
      <c r="C39" s="2">
        <v>2.6</v>
      </c>
      <c r="D39" s="16">
        <f t="shared" si="3"/>
        <v>7.6</v>
      </c>
      <c r="E39" s="17">
        <f>D39/B1</f>
        <v>0.5066666667</v>
      </c>
      <c r="F39" s="16">
        <f t="shared" si="4"/>
        <v>7.65</v>
      </c>
      <c r="G39" s="17">
        <f>F39/B2</f>
        <v>0.51</v>
      </c>
      <c r="H39" s="15">
        <f t="shared" si="5"/>
        <v>8.08</v>
      </c>
      <c r="I39" s="14">
        <f>H39/B3</f>
        <v>0.5386666667</v>
      </c>
      <c r="J39" s="2">
        <v>0.0</v>
      </c>
      <c r="K39" s="2">
        <v>0.0</v>
      </c>
      <c r="L39" s="2">
        <v>0.0</v>
      </c>
      <c r="M39" s="7"/>
      <c r="N39" s="7"/>
    </row>
    <row r="40">
      <c r="A40" s="12">
        <v>45402.0</v>
      </c>
      <c r="B40" s="6" t="s">
        <v>27</v>
      </c>
      <c r="C40" s="2">
        <v>0.54</v>
      </c>
      <c r="D40" s="16">
        <f t="shared" si="3"/>
        <v>7.6</v>
      </c>
      <c r="E40" s="17">
        <f>D40/B1</f>
        <v>0.5066666667</v>
      </c>
      <c r="F40" s="16">
        <f t="shared" si="4"/>
        <v>7.11</v>
      </c>
      <c r="G40" s="17">
        <f>F40/B2</f>
        <v>0.474</v>
      </c>
      <c r="H40" s="15">
        <f t="shared" si="5"/>
        <v>8.08</v>
      </c>
      <c r="I40" s="14">
        <f>H40/B3</f>
        <v>0.5386666667</v>
      </c>
      <c r="J40" s="2">
        <v>0.0</v>
      </c>
      <c r="K40" s="2">
        <v>0.0</v>
      </c>
      <c r="L40" s="2">
        <v>0.0</v>
      </c>
      <c r="M40" s="7"/>
      <c r="N40" s="7"/>
    </row>
    <row r="41">
      <c r="A41" s="12">
        <v>45402.0</v>
      </c>
      <c r="B41" s="6" t="s">
        <v>28</v>
      </c>
      <c r="C41" s="2">
        <v>0.57</v>
      </c>
      <c r="D41" s="16">
        <f t="shared" si="3"/>
        <v>7.6</v>
      </c>
      <c r="E41" s="17">
        <f>D41/B1</f>
        <v>0.5066666667</v>
      </c>
      <c r="F41" s="16">
        <f t="shared" si="4"/>
        <v>7.11</v>
      </c>
      <c r="G41" s="17">
        <f>F41/B2</f>
        <v>0.474</v>
      </c>
      <c r="H41" s="15">
        <f t="shared" si="5"/>
        <v>7.51</v>
      </c>
      <c r="I41" s="14">
        <f>H41/B3</f>
        <v>0.5006666667</v>
      </c>
      <c r="J41" s="2">
        <v>0.0</v>
      </c>
      <c r="K41" s="2">
        <v>0.0</v>
      </c>
      <c r="L41" s="2">
        <v>0.0</v>
      </c>
      <c r="M41" s="7"/>
      <c r="N41" s="7"/>
    </row>
    <row r="42">
      <c r="A42" s="12">
        <v>45403.0</v>
      </c>
      <c r="B42" s="6" t="s">
        <v>17</v>
      </c>
      <c r="C42" s="2">
        <v>0.61</v>
      </c>
      <c r="D42" s="16">
        <f t="shared" si="3"/>
        <v>6.99</v>
      </c>
      <c r="E42" s="17">
        <f>D42/B1</f>
        <v>0.466</v>
      </c>
      <c r="F42" s="16">
        <f t="shared" si="4"/>
        <v>7.11</v>
      </c>
      <c r="G42" s="17">
        <f>F42/B2</f>
        <v>0.474</v>
      </c>
      <c r="H42" s="15">
        <f t="shared" si="5"/>
        <v>7.51</v>
      </c>
      <c r="I42" s="14">
        <f>H42/B3</f>
        <v>0.5006666667</v>
      </c>
      <c r="J42" s="2">
        <v>0.0</v>
      </c>
      <c r="K42" s="2">
        <v>0.0</v>
      </c>
      <c r="L42" s="2">
        <v>0.0</v>
      </c>
      <c r="M42" s="7"/>
      <c r="N42" s="7"/>
    </row>
    <row r="43">
      <c r="A43" s="12">
        <v>45403.0</v>
      </c>
      <c r="B43" s="6" t="s">
        <v>27</v>
      </c>
      <c r="C43" s="2">
        <v>0.69</v>
      </c>
      <c r="D43" s="16">
        <f t="shared" si="3"/>
        <v>6.99</v>
      </c>
      <c r="E43" s="17">
        <f>D43/B1</f>
        <v>0.466</v>
      </c>
      <c r="F43" s="16">
        <f t="shared" si="4"/>
        <v>6.42</v>
      </c>
      <c r="G43" s="17">
        <f>F43/B2</f>
        <v>0.428</v>
      </c>
      <c r="H43" s="15">
        <f t="shared" si="5"/>
        <v>7.51</v>
      </c>
      <c r="I43" s="14">
        <f>H43/B3</f>
        <v>0.5006666667</v>
      </c>
      <c r="J43" s="2">
        <v>0.0</v>
      </c>
      <c r="K43" s="2">
        <v>0.0</v>
      </c>
      <c r="L43" s="2">
        <v>0.0</v>
      </c>
      <c r="M43" s="7"/>
      <c r="N43" s="7"/>
    </row>
    <row r="44">
      <c r="A44" s="12">
        <v>45403.0</v>
      </c>
      <c r="B44" s="6" t="s">
        <v>28</v>
      </c>
      <c r="C44" s="2">
        <v>0.75</v>
      </c>
      <c r="D44" s="16">
        <f t="shared" si="3"/>
        <v>6.99</v>
      </c>
      <c r="E44" s="17">
        <f>D44/B1</f>
        <v>0.466</v>
      </c>
      <c r="F44" s="16">
        <f t="shared" si="4"/>
        <v>6.42</v>
      </c>
      <c r="G44" s="17">
        <f>F44/B2</f>
        <v>0.428</v>
      </c>
      <c r="H44" s="15">
        <f t="shared" si="5"/>
        <v>6.76</v>
      </c>
      <c r="I44" s="14">
        <f>H44/B3</f>
        <v>0.4506666667</v>
      </c>
      <c r="J44" s="2">
        <v>0.0</v>
      </c>
      <c r="K44" s="2">
        <v>0.0</v>
      </c>
      <c r="L44" s="2">
        <v>0.0</v>
      </c>
      <c r="M44" s="7"/>
      <c r="N44" s="7"/>
    </row>
    <row r="45">
      <c r="A45" s="12">
        <v>45404.0</v>
      </c>
      <c r="B45" s="6" t="s">
        <v>17</v>
      </c>
      <c r="C45" s="2">
        <v>0.6</v>
      </c>
      <c r="D45" s="16">
        <f t="shared" si="3"/>
        <v>6.39</v>
      </c>
      <c r="E45" s="17">
        <f>D45/B1</f>
        <v>0.426</v>
      </c>
      <c r="F45" s="16">
        <f t="shared" si="4"/>
        <v>6.42</v>
      </c>
      <c r="G45" s="17">
        <f>F45/B2</f>
        <v>0.428</v>
      </c>
      <c r="H45" s="15">
        <f t="shared" si="5"/>
        <v>6.76</v>
      </c>
      <c r="I45" s="14">
        <f>H45/B3</f>
        <v>0.4506666667</v>
      </c>
      <c r="J45" s="2">
        <v>0.0</v>
      </c>
      <c r="K45" s="2">
        <v>0.0</v>
      </c>
      <c r="L45" s="2">
        <v>0.0</v>
      </c>
      <c r="M45" s="7"/>
      <c r="N45" s="7"/>
    </row>
    <row r="46">
      <c r="A46" s="12">
        <v>45404.0</v>
      </c>
      <c r="B46" s="6" t="s">
        <v>27</v>
      </c>
      <c r="C46" s="2">
        <v>0.74</v>
      </c>
      <c r="D46" s="16">
        <f t="shared" si="3"/>
        <v>6.39</v>
      </c>
      <c r="E46" s="17">
        <f>D46/B1</f>
        <v>0.426</v>
      </c>
      <c r="F46" s="16">
        <f t="shared" si="4"/>
        <v>5.68</v>
      </c>
      <c r="G46" s="17">
        <f>F46/B2</f>
        <v>0.3786666667</v>
      </c>
      <c r="H46" s="15">
        <f t="shared" si="5"/>
        <v>6.76</v>
      </c>
      <c r="I46" s="14">
        <f>H46/B3</f>
        <v>0.4506666667</v>
      </c>
      <c r="J46" s="2">
        <v>0.0</v>
      </c>
      <c r="K46" s="2">
        <v>0.0</v>
      </c>
      <c r="L46" s="2">
        <v>0.0</v>
      </c>
      <c r="M46" s="7"/>
      <c r="N46" s="7"/>
    </row>
    <row r="47">
      <c r="A47" s="12">
        <v>45404.0</v>
      </c>
      <c r="B47" s="6" t="s">
        <v>28</v>
      </c>
      <c r="C47" s="2">
        <v>0.76</v>
      </c>
      <c r="D47" s="16">
        <f t="shared" si="3"/>
        <v>6.39</v>
      </c>
      <c r="E47" s="17">
        <f>D47/B1</f>
        <v>0.426</v>
      </c>
      <c r="F47" s="16">
        <f t="shared" si="4"/>
        <v>5.68</v>
      </c>
      <c r="G47" s="17">
        <f>F47/B2</f>
        <v>0.3786666667</v>
      </c>
      <c r="H47" s="15">
        <f t="shared" si="5"/>
        <v>6</v>
      </c>
      <c r="I47" s="14">
        <f>H47/B3</f>
        <v>0.4</v>
      </c>
      <c r="J47" s="2">
        <v>0.0</v>
      </c>
      <c r="K47" s="2">
        <v>0.0</v>
      </c>
      <c r="L47" s="2">
        <v>0.0</v>
      </c>
      <c r="M47" s="7"/>
      <c r="N47" s="7"/>
    </row>
    <row r="48">
      <c r="A48" s="12">
        <v>45405.0</v>
      </c>
      <c r="B48" s="6" t="s">
        <v>17</v>
      </c>
      <c r="C48" s="2">
        <v>0.48</v>
      </c>
      <c r="D48" s="16">
        <f t="shared" si="3"/>
        <v>5.91</v>
      </c>
      <c r="E48" s="17">
        <f>D48/B1</f>
        <v>0.394</v>
      </c>
      <c r="F48" s="16">
        <f t="shared" si="4"/>
        <v>5.68</v>
      </c>
      <c r="G48" s="17">
        <f>F48/B2</f>
        <v>0.3786666667</v>
      </c>
      <c r="H48" s="15">
        <f t="shared" si="5"/>
        <v>6</v>
      </c>
      <c r="I48" s="14">
        <f>H48/B3</f>
        <v>0.4</v>
      </c>
      <c r="J48" s="2">
        <v>0.0</v>
      </c>
      <c r="K48" s="2">
        <v>0.0</v>
      </c>
      <c r="L48" s="2">
        <v>0.0</v>
      </c>
      <c r="M48" s="7"/>
      <c r="N48" s="7"/>
    </row>
    <row r="49">
      <c r="A49" s="12">
        <v>45405.0</v>
      </c>
      <c r="B49" s="6" t="s">
        <v>27</v>
      </c>
      <c r="C49" s="2">
        <v>0.75</v>
      </c>
      <c r="D49" s="16">
        <f t="shared" si="3"/>
        <v>5.91</v>
      </c>
      <c r="E49" s="17">
        <f>D49/B1</f>
        <v>0.394</v>
      </c>
      <c r="F49" s="16">
        <f t="shared" si="4"/>
        <v>4.93</v>
      </c>
      <c r="G49" s="17">
        <f>F49/B2</f>
        <v>0.3286666667</v>
      </c>
      <c r="H49" s="15">
        <f t="shared" si="5"/>
        <v>6</v>
      </c>
      <c r="I49" s="14">
        <f>H49/B3</f>
        <v>0.4</v>
      </c>
      <c r="J49" s="2">
        <v>0.0</v>
      </c>
      <c r="K49" s="2">
        <v>0.0</v>
      </c>
      <c r="L49" s="2">
        <v>0.0</v>
      </c>
      <c r="M49" s="7"/>
      <c r="N49" s="7"/>
    </row>
    <row r="50">
      <c r="A50" s="12">
        <v>45405.0</v>
      </c>
      <c r="B50" s="6" t="s">
        <v>28</v>
      </c>
      <c r="C50" s="2">
        <v>0.58</v>
      </c>
      <c r="D50" s="16">
        <f t="shared" si="3"/>
        <v>5.91</v>
      </c>
      <c r="E50" s="17">
        <f>D50/B1</f>
        <v>0.394</v>
      </c>
      <c r="F50" s="16">
        <f t="shared" si="4"/>
        <v>4.93</v>
      </c>
      <c r="G50" s="17">
        <f>F50/B2</f>
        <v>0.3286666667</v>
      </c>
      <c r="H50" s="15">
        <f t="shared" si="5"/>
        <v>5.42</v>
      </c>
      <c r="I50" s="14">
        <f>H50/B3</f>
        <v>0.3613333333</v>
      </c>
      <c r="J50" s="2">
        <v>0.0</v>
      </c>
      <c r="K50" s="2">
        <v>0.0</v>
      </c>
      <c r="L50" s="2">
        <v>0.0</v>
      </c>
      <c r="M50" s="7"/>
      <c r="N50" s="7"/>
    </row>
    <row r="51">
      <c r="A51" s="12">
        <v>45406.0</v>
      </c>
      <c r="B51" s="6" t="s">
        <v>17</v>
      </c>
      <c r="C51" s="2">
        <v>0.48</v>
      </c>
      <c r="D51" s="16">
        <f t="shared" si="3"/>
        <v>5.43</v>
      </c>
      <c r="E51" s="17">
        <f>D51/B1</f>
        <v>0.362</v>
      </c>
      <c r="F51" s="16">
        <f t="shared" si="4"/>
        <v>4.93</v>
      </c>
      <c r="G51" s="17">
        <f>F51/B2</f>
        <v>0.3286666667</v>
      </c>
      <c r="H51" s="15">
        <f t="shared" si="5"/>
        <v>5.42</v>
      </c>
      <c r="I51" s="14">
        <f>H51/B3</f>
        <v>0.3613333333</v>
      </c>
      <c r="J51" s="2">
        <v>0.0</v>
      </c>
      <c r="K51" s="2">
        <v>0.0</v>
      </c>
      <c r="L51" s="2">
        <v>0.0</v>
      </c>
      <c r="M51" s="7"/>
      <c r="N51" s="7"/>
    </row>
    <row r="52">
      <c r="A52" s="12">
        <v>45406.0</v>
      </c>
      <c r="B52" s="6" t="s">
        <v>27</v>
      </c>
      <c r="C52" s="2">
        <v>0.58</v>
      </c>
      <c r="D52" s="16">
        <f t="shared" si="3"/>
        <v>5.43</v>
      </c>
      <c r="E52" s="17">
        <f>D52/B1</f>
        <v>0.362</v>
      </c>
      <c r="F52" s="16">
        <f t="shared" si="4"/>
        <v>4.35</v>
      </c>
      <c r="G52" s="17">
        <f>F52/B2</f>
        <v>0.29</v>
      </c>
      <c r="H52" s="15">
        <f t="shared" si="5"/>
        <v>5.42</v>
      </c>
      <c r="I52" s="14">
        <f>H52/B3</f>
        <v>0.3613333333</v>
      </c>
      <c r="J52" s="2">
        <v>0.0</v>
      </c>
      <c r="K52" s="2">
        <v>0.0</v>
      </c>
      <c r="L52" s="2">
        <v>0.0</v>
      </c>
      <c r="M52" s="7"/>
      <c r="N52" s="7"/>
    </row>
    <row r="53">
      <c r="A53" s="12">
        <v>45406.0</v>
      </c>
      <c r="B53" s="6" t="s">
        <v>28</v>
      </c>
      <c r="C53" s="2">
        <v>0.59</v>
      </c>
      <c r="D53" s="16">
        <f t="shared" si="3"/>
        <v>5.43</v>
      </c>
      <c r="E53" s="17">
        <f>D53/B1</f>
        <v>0.362</v>
      </c>
      <c r="F53" s="16">
        <f t="shared" si="4"/>
        <v>4.35</v>
      </c>
      <c r="G53" s="17">
        <f>F53/B2</f>
        <v>0.29</v>
      </c>
      <c r="H53" s="15">
        <f t="shared" si="5"/>
        <v>4.83</v>
      </c>
      <c r="I53" s="14">
        <f>H53/B3</f>
        <v>0.322</v>
      </c>
      <c r="J53" s="2">
        <v>0.0</v>
      </c>
      <c r="K53" s="2">
        <v>0.0</v>
      </c>
      <c r="L53" s="2">
        <v>0.0</v>
      </c>
      <c r="M53" s="7"/>
      <c r="N53" s="7"/>
    </row>
    <row r="54">
      <c r="A54" s="12">
        <v>45407.0</v>
      </c>
      <c r="B54" s="6" t="s">
        <v>17</v>
      </c>
      <c r="C54" s="2">
        <v>0.69</v>
      </c>
      <c r="D54" s="16">
        <f t="shared" si="3"/>
        <v>4.74</v>
      </c>
      <c r="E54" s="17">
        <f>D54/B1</f>
        <v>0.316</v>
      </c>
      <c r="F54" s="16">
        <f t="shared" si="4"/>
        <v>4.35</v>
      </c>
      <c r="G54" s="17">
        <f>F54/B2</f>
        <v>0.29</v>
      </c>
      <c r="H54" s="15">
        <f t="shared" si="5"/>
        <v>4.83</v>
      </c>
      <c r="I54" s="14">
        <f>H54/B3</f>
        <v>0.322</v>
      </c>
      <c r="J54" s="2">
        <v>0.0</v>
      </c>
      <c r="K54" s="2">
        <v>0.0</v>
      </c>
      <c r="L54" s="2">
        <v>0.0</v>
      </c>
      <c r="M54" s="7"/>
      <c r="N54" s="7"/>
    </row>
    <row r="55">
      <c r="A55" s="12">
        <v>45407.0</v>
      </c>
      <c r="B55" s="6" t="s">
        <v>27</v>
      </c>
      <c r="C55" s="2">
        <v>0.69</v>
      </c>
      <c r="D55" s="16">
        <f t="shared" si="3"/>
        <v>4.74</v>
      </c>
      <c r="E55" s="17">
        <f>D55/B1</f>
        <v>0.316</v>
      </c>
      <c r="F55" s="16">
        <f t="shared" si="4"/>
        <v>3.66</v>
      </c>
      <c r="G55" s="17">
        <f>F55/B2</f>
        <v>0.244</v>
      </c>
      <c r="H55" s="15">
        <f t="shared" si="5"/>
        <v>4.83</v>
      </c>
      <c r="I55" s="14">
        <f>H55/B3</f>
        <v>0.322</v>
      </c>
      <c r="J55" s="2">
        <v>0.0</v>
      </c>
      <c r="K55" s="2">
        <v>0.0</v>
      </c>
      <c r="L55" s="2">
        <v>0.0</v>
      </c>
      <c r="M55" s="7"/>
      <c r="N55" s="7"/>
    </row>
    <row r="56">
      <c r="A56" s="12">
        <v>45407.0</v>
      </c>
      <c r="B56" s="6" t="s">
        <v>28</v>
      </c>
      <c r="C56" s="2">
        <v>0.74</v>
      </c>
      <c r="D56" s="16">
        <f t="shared" si="3"/>
        <v>4.74</v>
      </c>
      <c r="E56" s="17">
        <f>D56/B1</f>
        <v>0.316</v>
      </c>
      <c r="F56" s="16">
        <f t="shared" si="4"/>
        <v>3.66</v>
      </c>
      <c r="G56" s="17">
        <f>F56/B2</f>
        <v>0.244</v>
      </c>
      <c r="H56" s="15">
        <f t="shared" si="5"/>
        <v>4.09</v>
      </c>
      <c r="I56" s="14">
        <f>H56/B3</f>
        <v>0.2726666667</v>
      </c>
      <c r="J56" s="2">
        <v>0.0</v>
      </c>
      <c r="K56" s="2">
        <v>0.0</v>
      </c>
      <c r="L56" s="2">
        <v>0.0</v>
      </c>
      <c r="M56" s="7"/>
      <c r="N56" s="7"/>
    </row>
    <row r="57">
      <c r="A57" s="12">
        <v>45408.0</v>
      </c>
      <c r="B57" s="6" t="s">
        <v>17</v>
      </c>
      <c r="C57" s="2">
        <v>0.87</v>
      </c>
      <c r="D57" s="16">
        <f t="shared" si="3"/>
        <v>3.87</v>
      </c>
      <c r="E57" s="17">
        <f>D57/B1</f>
        <v>0.258</v>
      </c>
      <c r="F57" s="16">
        <f t="shared" si="4"/>
        <v>3.66</v>
      </c>
      <c r="G57" s="17">
        <f>F57/B2</f>
        <v>0.244</v>
      </c>
      <c r="H57" s="15">
        <f t="shared" si="5"/>
        <v>4.09</v>
      </c>
      <c r="I57" s="14">
        <f>H57/B3</f>
        <v>0.2726666667</v>
      </c>
      <c r="J57" s="2">
        <v>0.0</v>
      </c>
      <c r="K57" s="2">
        <v>0.0</v>
      </c>
      <c r="L57" s="2">
        <v>0.0</v>
      </c>
      <c r="M57" s="7"/>
      <c r="N57" s="7"/>
    </row>
    <row r="58">
      <c r="A58" s="12">
        <v>45408.0</v>
      </c>
      <c r="B58" s="6" t="s">
        <v>27</v>
      </c>
      <c r="C58" s="2">
        <v>1.03</v>
      </c>
      <c r="D58" s="16">
        <f t="shared" si="3"/>
        <v>3.87</v>
      </c>
      <c r="E58" s="17">
        <f>D58/B1</f>
        <v>0.258</v>
      </c>
      <c r="F58" s="16">
        <f t="shared" si="4"/>
        <v>2.63</v>
      </c>
      <c r="G58" s="17">
        <f>F58/B2</f>
        <v>0.1753333333</v>
      </c>
      <c r="H58" s="15">
        <f t="shared" si="5"/>
        <v>4.09</v>
      </c>
      <c r="I58" s="14">
        <f>H58/B3</f>
        <v>0.2726666667</v>
      </c>
      <c r="J58" s="2">
        <v>0.0</v>
      </c>
      <c r="K58" s="2">
        <v>0.0</v>
      </c>
      <c r="L58" s="2">
        <v>0.0</v>
      </c>
      <c r="M58" s="7"/>
      <c r="N58" s="7"/>
    </row>
    <row r="59">
      <c r="A59" s="12">
        <v>45408.0</v>
      </c>
      <c r="B59" s="6" t="s">
        <v>28</v>
      </c>
      <c r="C59" s="2">
        <v>1.02</v>
      </c>
      <c r="D59" s="16">
        <f t="shared" si="3"/>
        <v>3.87</v>
      </c>
      <c r="E59" s="17">
        <f>D59/B1</f>
        <v>0.258</v>
      </c>
      <c r="F59" s="16">
        <f t="shared" si="4"/>
        <v>2.63</v>
      </c>
      <c r="G59" s="17">
        <f>F59/B2</f>
        <v>0.1753333333</v>
      </c>
      <c r="H59" s="15">
        <f t="shared" si="5"/>
        <v>3.07</v>
      </c>
      <c r="I59" s="14">
        <f>H59/B3</f>
        <v>0.2046666667</v>
      </c>
      <c r="J59" s="2">
        <v>0.0</v>
      </c>
      <c r="K59" s="2">
        <v>0.0</v>
      </c>
      <c r="L59" s="2">
        <v>0.0</v>
      </c>
    </row>
    <row r="60">
      <c r="A60" s="12">
        <v>45409.0</v>
      </c>
      <c r="B60" s="6" t="s">
        <v>17</v>
      </c>
      <c r="C60" s="2">
        <v>0.0</v>
      </c>
      <c r="D60" s="16">
        <f t="shared" si="3"/>
        <v>3.87</v>
      </c>
      <c r="E60" s="17">
        <f>D60/B1</f>
        <v>0.258</v>
      </c>
      <c r="F60" s="16">
        <f t="shared" si="4"/>
        <v>2.63</v>
      </c>
      <c r="G60" s="17">
        <f>F60/B2</f>
        <v>0.1753333333</v>
      </c>
      <c r="H60" s="15">
        <f t="shared" si="5"/>
        <v>3.07</v>
      </c>
      <c r="I60" s="14">
        <f>H60/B3</f>
        <v>0.2046666667</v>
      </c>
      <c r="J60" s="2">
        <v>0.0</v>
      </c>
      <c r="K60" s="2">
        <v>0.0</v>
      </c>
      <c r="L60" s="2">
        <v>0.0</v>
      </c>
    </row>
    <row r="61">
      <c r="A61" s="12">
        <v>45409.0</v>
      </c>
      <c r="B61" s="6" t="s">
        <v>27</v>
      </c>
      <c r="C61" s="2">
        <v>0.53</v>
      </c>
      <c r="D61" s="16">
        <f t="shared" si="3"/>
        <v>3.87</v>
      </c>
      <c r="E61" s="17">
        <f>D61/B1</f>
        <v>0.258</v>
      </c>
      <c r="F61" s="16">
        <f t="shared" si="4"/>
        <v>2.1</v>
      </c>
      <c r="G61" s="17">
        <f>F61/B2</f>
        <v>0.14</v>
      </c>
      <c r="H61" s="15">
        <f t="shared" si="5"/>
        <v>3.07</v>
      </c>
      <c r="I61" s="14">
        <f>H61/B3</f>
        <v>0.2046666667</v>
      </c>
      <c r="J61" s="2">
        <v>0.0</v>
      </c>
      <c r="K61" s="2">
        <v>0.0</v>
      </c>
      <c r="L61" s="2">
        <v>0.0</v>
      </c>
    </row>
    <row r="62">
      <c r="A62" s="12">
        <v>45409.0</v>
      </c>
      <c r="B62" s="6" t="s">
        <v>28</v>
      </c>
      <c r="C62" s="2">
        <v>0.69</v>
      </c>
      <c r="D62" s="16">
        <f t="shared" si="3"/>
        <v>3.87</v>
      </c>
      <c r="E62" s="17">
        <f>D62/B1</f>
        <v>0.258</v>
      </c>
      <c r="F62" s="16">
        <f t="shared" si="4"/>
        <v>2.1</v>
      </c>
      <c r="G62" s="17">
        <f>F62/B2</f>
        <v>0.14</v>
      </c>
      <c r="H62" s="15">
        <f t="shared" si="5"/>
        <v>2.38</v>
      </c>
      <c r="I62" s="14">
        <f>H62/B3</f>
        <v>0.1586666667</v>
      </c>
      <c r="J62" s="2">
        <v>0.0</v>
      </c>
      <c r="K62" s="2">
        <v>0.0</v>
      </c>
      <c r="L62" s="2">
        <v>0.0</v>
      </c>
    </row>
    <row r="63">
      <c r="A63" s="12">
        <v>45410.0</v>
      </c>
      <c r="B63" s="6" t="s">
        <v>17</v>
      </c>
      <c r="C63" s="2">
        <v>0.81</v>
      </c>
      <c r="D63" s="16">
        <f t="shared" si="3"/>
        <v>3.06</v>
      </c>
      <c r="E63" s="17">
        <f>D63/B1</f>
        <v>0.204</v>
      </c>
      <c r="F63" s="16">
        <f t="shared" si="4"/>
        <v>2.1</v>
      </c>
      <c r="G63" s="17">
        <f>F63/B2</f>
        <v>0.14</v>
      </c>
      <c r="H63" s="15">
        <f t="shared" si="5"/>
        <v>2.38</v>
      </c>
      <c r="I63" s="14">
        <f>H63/B3</f>
        <v>0.1586666667</v>
      </c>
      <c r="J63" s="2">
        <v>0.0</v>
      </c>
      <c r="K63" s="2">
        <v>0.0</v>
      </c>
      <c r="L63" s="2">
        <v>0.0</v>
      </c>
    </row>
    <row r="64">
      <c r="A64" s="12">
        <v>45410.0</v>
      </c>
      <c r="B64" s="6" t="s">
        <v>27</v>
      </c>
      <c r="C64" s="2">
        <v>0.85</v>
      </c>
      <c r="D64" s="16">
        <f t="shared" si="3"/>
        <v>3.06</v>
      </c>
      <c r="E64" s="17">
        <f>D64/B1</f>
        <v>0.204</v>
      </c>
      <c r="F64" s="16">
        <f t="shared" si="4"/>
        <v>1.25</v>
      </c>
      <c r="G64" s="17">
        <f>F64/B2</f>
        <v>0.08333333333</v>
      </c>
      <c r="H64" s="15">
        <f t="shared" si="5"/>
        <v>2.38</v>
      </c>
      <c r="I64" s="14">
        <f>H64/B3</f>
        <v>0.1586666667</v>
      </c>
      <c r="J64" s="2">
        <v>0.0</v>
      </c>
      <c r="K64" s="2">
        <v>0.0</v>
      </c>
      <c r="L64" s="2">
        <v>0.0</v>
      </c>
    </row>
    <row r="65">
      <c r="A65" s="12">
        <v>45410.0</v>
      </c>
      <c r="B65" s="6" t="s">
        <v>28</v>
      </c>
      <c r="C65" s="2">
        <v>0.76</v>
      </c>
      <c r="D65" s="16">
        <f t="shared" si="3"/>
        <v>3.06</v>
      </c>
      <c r="E65" s="17">
        <f>D65/B1</f>
        <v>0.204</v>
      </c>
      <c r="F65" s="16">
        <f t="shared" si="4"/>
        <v>1.25</v>
      </c>
      <c r="G65" s="17">
        <f>F65/B2</f>
        <v>0.08333333333</v>
      </c>
      <c r="H65" s="15">
        <f t="shared" si="5"/>
        <v>1.62</v>
      </c>
      <c r="I65" s="14">
        <f>H65/B3</f>
        <v>0.108</v>
      </c>
      <c r="J65" s="2">
        <v>0.0</v>
      </c>
      <c r="K65" s="2">
        <v>0.0</v>
      </c>
      <c r="L65" s="2">
        <v>0.0</v>
      </c>
    </row>
    <row r="66">
      <c r="A66" s="12">
        <v>45411.0</v>
      </c>
      <c r="B66" s="6" t="s">
        <v>17</v>
      </c>
      <c r="C66" s="2">
        <v>0.0</v>
      </c>
      <c r="D66" s="16">
        <f t="shared" si="3"/>
        <v>3.06</v>
      </c>
      <c r="E66" s="17">
        <f>D66/B1</f>
        <v>0.204</v>
      </c>
      <c r="F66" s="16">
        <f t="shared" si="4"/>
        <v>1.25</v>
      </c>
      <c r="G66" s="17">
        <f>F66/B2</f>
        <v>0.08333333333</v>
      </c>
      <c r="H66" s="15">
        <f t="shared" si="5"/>
        <v>1.62</v>
      </c>
      <c r="I66" s="14">
        <f>H66/B3</f>
        <v>0.108</v>
      </c>
      <c r="J66" s="2">
        <v>0.0</v>
      </c>
      <c r="K66" s="2">
        <v>0.0</v>
      </c>
      <c r="L66" s="2">
        <v>0.0</v>
      </c>
    </row>
    <row r="67">
      <c r="A67" s="12">
        <v>45411.0</v>
      </c>
      <c r="B67" s="6" t="s">
        <v>27</v>
      </c>
      <c r="C67" s="2">
        <v>0.64</v>
      </c>
      <c r="D67" s="16">
        <f t="shared" si="3"/>
        <v>3.06</v>
      </c>
      <c r="E67" s="17">
        <f>D67/B1</f>
        <v>0.204</v>
      </c>
      <c r="F67" s="16">
        <f t="shared" si="4"/>
        <v>0.61</v>
      </c>
      <c r="G67" s="17">
        <f>F67/B2</f>
        <v>0.04066666667</v>
      </c>
      <c r="H67" s="15">
        <f t="shared" si="5"/>
        <v>1.62</v>
      </c>
      <c r="I67" s="14">
        <f>H67/B3</f>
        <v>0.108</v>
      </c>
      <c r="J67" s="2">
        <v>0.0</v>
      </c>
      <c r="K67" s="2">
        <v>0.0</v>
      </c>
      <c r="L67" s="2">
        <v>0.0</v>
      </c>
    </row>
    <row r="68">
      <c r="A68" s="12">
        <v>45411.0</v>
      </c>
      <c r="B68" s="6" t="s">
        <v>28</v>
      </c>
      <c r="C68" s="2">
        <v>0.67</v>
      </c>
      <c r="D68" s="16">
        <f t="shared" si="3"/>
        <v>3.06</v>
      </c>
      <c r="E68" s="17">
        <f>D68/B1</f>
        <v>0.204</v>
      </c>
      <c r="F68" s="16">
        <f t="shared" si="4"/>
        <v>0.61</v>
      </c>
      <c r="G68" s="17">
        <f>F68/B2</f>
        <v>0.04066666667</v>
      </c>
      <c r="H68" s="15">
        <f t="shared" si="5"/>
        <v>0.95</v>
      </c>
      <c r="I68" s="14">
        <f>H68/B3</f>
        <v>0.06333333333</v>
      </c>
      <c r="J68" s="2">
        <v>0.0</v>
      </c>
      <c r="K68" s="2">
        <v>0.0</v>
      </c>
      <c r="L68" s="2">
        <v>0.0</v>
      </c>
    </row>
    <row r="69">
      <c r="A69" s="12">
        <v>45412.0</v>
      </c>
      <c r="B69" s="6" t="s">
        <v>17</v>
      </c>
      <c r="C69" s="2">
        <v>0.66</v>
      </c>
      <c r="D69" s="16">
        <f t="shared" si="3"/>
        <v>2.4</v>
      </c>
      <c r="E69" s="17">
        <f>D69/B1</f>
        <v>0.16</v>
      </c>
      <c r="F69" s="16">
        <f t="shared" si="4"/>
        <v>0.61</v>
      </c>
      <c r="G69" s="17">
        <f>F69/B2</f>
        <v>0.04066666667</v>
      </c>
      <c r="H69" s="15">
        <f t="shared" si="5"/>
        <v>0.95</v>
      </c>
      <c r="I69" s="14">
        <f>H69/B3</f>
        <v>0.06333333333</v>
      </c>
      <c r="J69" s="2">
        <v>0.0</v>
      </c>
      <c r="K69" s="2">
        <v>0.0</v>
      </c>
      <c r="L69" s="2">
        <v>0.0</v>
      </c>
    </row>
    <row r="70">
      <c r="A70" s="12">
        <v>45412.0</v>
      </c>
      <c r="B70" s="6" t="s">
        <v>27</v>
      </c>
      <c r="C70" s="2">
        <v>0.61</v>
      </c>
      <c r="D70" s="16">
        <f t="shared" si="3"/>
        <v>2.4</v>
      </c>
      <c r="E70" s="17">
        <f>D70/B1</f>
        <v>0.16</v>
      </c>
      <c r="F70" s="16">
        <f t="shared" si="4"/>
        <v>0</v>
      </c>
      <c r="G70" s="17">
        <f>F70/B2</f>
        <v>0</v>
      </c>
      <c r="H70" s="15">
        <f t="shared" si="5"/>
        <v>0.95</v>
      </c>
      <c r="I70" s="14">
        <f>H70/B3</f>
        <v>0.06333333333</v>
      </c>
      <c r="J70" s="2">
        <v>0.0</v>
      </c>
      <c r="K70" s="2">
        <v>0.0</v>
      </c>
      <c r="L70" s="2">
        <v>0.0</v>
      </c>
    </row>
    <row r="71">
      <c r="A71" s="12">
        <v>45412.0</v>
      </c>
      <c r="B71" s="6" t="s">
        <v>28</v>
      </c>
      <c r="C71" s="2">
        <v>0.59</v>
      </c>
      <c r="D71" s="16">
        <f t="shared" si="3"/>
        <v>2.4</v>
      </c>
      <c r="E71" s="17">
        <f>D71/B1</f>
        <v>0.16</v>
      </c>
      <c r="F71" s="16">
        <f t="shared" si="4"/>
        <v>0</v>
      </c>
      <c r="G71" s="17">
        <f>F71/B2</f>
        <v>0</v>
      </c>
      <c r="H71" s="15">
        <f t="shared" si="5"/>
        <v>0.36</v>
      </c>
      <c r="I71" s="14">
        <f>H71/B3</f>
        <v>0.024</v>
      </c>
      <c r="J71" s="2">
        <v>0.0</v>
      </c>
      <c r="K71" s="2">
        <v>0.0</v>
      </c>
      <c r="L71" s="2">
        <v>0.0</v>
      </c>
    </row>
    <row r="72">
      <c r="A72" s="12">
        <v>45413.0</v>
      </c>
      <c r="B72" s="6" t="s">
        <v>17</v>
      </c>
      <c r="C72" s="2">
        <v>1.84</v>
      </c>
      <c r="D72" s="16">
        <f t="shared" si="3"/>
        <v>0.56</v>
      </c>
      <c r="E72" s="17">
        <f>D72/B1</f>
        <v>0.03733333333</v>
      </c>
      <c r="F72" s="16">
        <f t="shared" si="4"/>
        <v>0</v>
      </c>
      <c r="G72" s="17">
        <f>F72/B2</f>
        <v>0</v>
      </c>
      <c r="H72" s="15">
        <f t="shared" si="5"/>
        <v>0.36</v>
      </c>
      <c r="I72" s="14">
        <f>H72/B3</f>
        <v>0.024</v>
      </c>
      <c r="J72" s="2">
        <v>0.0</v>
      </c>
      <c r="K72" s="2">
        <v>0.0</v>
      </c>
      <c r="L72" s="2">
        <v>0.0</v>
      </c>
    </row>
    <row r="73">
      <c r="A73" s="12">
        <v>45413.0</v>
      </c>
      <c r="B73" s="6" t="s">
        <v>27</v>
      </c>
      <c r="C73" s="2">
        <v>0.0</v>
      </c>
      <c r="D73" s="16">
        <f t="shared" si="3"/>
        <v>0.56</v>
      </c>
      <c r="E73" s="17">
        <f>D73/B1</f>
        <v>0.03733333333</v>
      </c>
      <c r="F73" s="16">
        <f t="shared" si="4"/>
        <v>0</v>
      </c>
      <c r="G73" s="17">
        <f>F73/B2</f>
        <v>0</v>
      </c>
      <c r="H73" s="15">
        <f t="shared" si="5"/>
        <v>0.36</v>
      </c>
      <c r="I73" s="14">
        <f>H73/B3</f>
        <v>0.024</v>
      </c>
      <c r="J73" s="2">
        <v>0.0</v>
      </c>
      <c r="K73" s="2">
        <v>0.0</v>
      </c>
      <c r="L73" s="2">
        <v>0.0</v>
      </c>
    </row>
    <row r="74">
      <c r="A74" s="12">
        <v>45413.0</v>
      </c>
      <c r="B74" s="6" t="s">
        <v>28</v>
      </c>
      <c r="C74" s="2">
        <v>0.36</v>
      </c>
      <c r="D74" s="16">
        <f t="shared" si="3"/>
        <v>0.56</v>
      </c>
      <c r="E74" s="17">
        <f>D74/B1</f>
        <v>0.03733333333</v>
      </c>
      <c r="F74" s="16">
        <f t="shared" si="4"/>
        <v>0</v>
      </c>
      <c r="G74" s="17">
        <f>F74/B2</f>
        <v>0</v>
      </c>
      <c r="H74" s="15">
        <f t="shared" si="5"/>
        <v>0</v>
      </c>
      <c r="I74" s="14">
        <f>H74/B3</f>
        <v>0</v>
      </c>
      <c r="J74" s="2">
        <v>0.0</v>
      </c>
      <c r="K74" s="2">
        <v>0.0</v>
      </c>
      <c r="L74" s="2">
        <v>0.0</v>
      </c>
    </row>
    <row r="75">
      <c r="A75" s="12">
        <v>45414.0</v>
      </c>
      <c r="B75" s="6" t="s">
        <v>17</v>
      </c>
      <c r="C75" s="2">
        <v>0.56</v>
      </c>
      <c r="D75" s="16">
        <f t="shared" si="3"/>
        <v>0</v>
      </c>
      <c r="E75" s="17">
        <f>D75/B1</f>
        <v>0</v>
      </c>
      <c r="F75" s="16">
        <f t="shared" si="4"/>
        <v>0</v>
      </c>
      <c r="G75" s="17">
        <f>F75/B2</f>
        <v>0</v>
      </c>
      <c r="H75" s="15">
        <f t="shared" si="5"/>
        <v>0</v>
      </c>
      <c r="I75" s="14">
        <f>H75/B3</f>
        <v>0</v>
      </c>
      <c r="J75" s="2">
        <v>0.0</v>
      </c>
      <c r="K75" s="2">
        <v>0.0</v>
      </c>
      <c r="L75" s="2">
        <v>0.0</v>
      </c>
    </row>
    <row r="76">
      <c r="A76" s="12">
        <v>45414.0</v>
      </c>
      <c r="B76" s="6" t="s">
        <v>27</v>
      </c>
      <c r="C76" s="2">
        <v>0.0</v>
      </c>
      <c r="D76" s="16">
        <f t="shared" si="3"/>
        <v>0</v>
      </c>
      <c r="E76" s="17">
        <f>D76/B1</f>
        <v>0</v>
      </c>
      <c r="F76" s="16">
        <f t="shared" si="4"/>
        <v>0</v>
      </c>
      <c r="G76" s="17">
        <f>F76/B2</f>
        <v>0</v>
      </c>
      <c r="H76" s="15">
        <f t="shared" si="5"/>
        <v>0</v>
      </c>
      <c r="I76" s="14">
        <f>H76/B3</f>
        <v>0</v>
      </c>
      <c r="J76" s="2">
        <v>0.0</v>
      </c>
      <c r="K76" s="2">
        <v>0.0</v>
      </c>
      <c r="L76" s="2">
        <v>0.0</v>
      </c>
    </row>
    <row r="77">
      <c r="A77" s="12">
        <v>45414.0</v>
      </c>
      <c r="B77" s="6" t="s">
        <v>28</v>
      </c>
      <c r="C77" s="2">
        <v>0.0</v>
      </c>
      <c r="D77" s="16">
        <f t="shared" si="3"/>
        <v>0</v>
      </c>
      <c r="E77" s="17">
        <f>D77/B1</f>
        <v>0</v>
      </c>
      <c r="F77" s="16">
        <f t="shared" si="4"/>
        <v>0</v>
      </c>
      <c r="G77" s="17">
        <f>F77/B2</f>
        <v>0</v>
      </c>
      <c r="H77" s="15">
        <f t="shared" si="5"/>
        <v>0</v>
      </c>
      <c r="I77" s="14">
        <f>H77/B3</f>
        <v>0</v>
      </c>
      <c r="J77" s="2">
        <v>0.0</v>
      </c>
      <c r="K77" s="2">
        <v>0.0</v>
      </c>
      <c r="L77" s="2">
        <v>0.0</v>
      </c>
    </row>
  </sheetData>
  <dataValidations>
    <dataValidation type="list" allowBlank="1" showErrorMessage="1" sqref="B6:B77">
      <formula1>"Hindu Kush,Ghost Train Haze,Frozen Lemon Mints"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3.75"/>
    <col customWidth="1" min="2" max="2" width="22.63"/>
    <col customWidth="1" min="3" max="3" width="10.25"/>
    <col customWidth="1" min="4" max="4" width="17.0"/>
    <col customWidth="1" min="5" max="5" width="15.0"/>
    <col customWidth="1" min="6" max="6" width="17.0"/>
    <col customWidth="1" min="7" max="7" width="16.13"/>
    <col customWidth="1" min="8" max="9" width="16.38"/>
    <col customWidth="1" min="10" max="10" width="12.63"/>
    <col customWidth="1" min="11" max="11" width="14.88"/>
    <col customWidth="1" min="12" max="12" width="13.0"/>
  </cols>
  <sheetData>
    <row r="1">
      <c r="A1" s="1" t="s">
        <v>20</v>
      </c>
      <c r="B1" s="2">
        <v>15.0</v>
      </c>
      <c r="C1" s="4">
        <f>D80</f>
        <v>0</v>
      </c>
      <c r="D1" s="5">
        <f t="shared" ref="D1:D4" si="1">C1/B1</f>
        <v>0</v>
      </c>
      <c r="G1" s="1" t="s">
        <v>1</v>
      </c>
      <c r="H1" s="3">
        <f>IFERROR(__xludf.DUMMYFUNCTION("COUNTUNIQUE(A6:A80)"),25.0)</f>
        <v>25</v>
      </c>
      <c r="I1" s="3"/>
      <c r="J1" s="6"/>
      <c r="K1" s="3"/>
      <c r="L1" s="3"/>
      <c r="M1" s="7"/>
      <c r="N1" s="7"/>
    </row>
    <row r="2">
      <c r="A2" s="1" t="s">
        <v>21</v>
      </c>
      <c r="B2" s="2">
        <v>15.0</v>
      </c>
      <c r="C2" s="4">
        <f>F80</f>
        <v>0</v>
      </c>
      <c r="D2" s="5">
        <f t="shared" si="1"/>
        <v>0</v>
      </c>
      <c r="G2" s="1" t="s">
        <v>5</v>
      </c>
      <c r="H2" s="3">
        <f>(B1+B2+B3)/F4</f>
        <v>25</v>
      </c>
      <c r="I2" s="3"/>
      <c r="J2" s="3"/>
      <c r="K2" s="3"/>
      <c r="L2" s="3"/>
      <c r="M2" s="7"/>
      <c r="N2" s="7"/>
    </row>
    <row r="3">
      <c r="A3" s="1" t="s">
        <v>22</v>
      </c>
      <c r="B3" s="2">
        <v>15.0</v>
      </c>
      <c r="C3" s="4">
        <f>H80</f>
        <v>0</v>
      </c>
      <c r="D3" s="8">
        <f t="shared" si="1"/>
        <v>0</v>
      </c>
      <c r="E3" s="3"/>
      <c r="F3" s="6"/>
      <c r="G3" s="3"/>
      <c r="H3" s="3"/>
      <c r="I3" s="3"/>
      <c r="J3" s="3"/>
      <c r="K3" s="3"/>
      <c r="L3" s="3"/>
      <c r="M3" s="7"/>
      <c r="N3" s="7"/>
    </row>
    <row r="4">
      <c r="A4" s="3"/>
      <c r="B4" s="9">
        <f t="shared" ref="B4:C4" si="2">SUM(B1:B3)</f>
        <v>45</v>
      </c>
      <c r="C4" s="9">
        <f t="shared" si="2"/>
        <v>0</v>
      </c>
      <c r="D4" s="5">
        <f t="shared" si="1"/>
        <v>0</v>
      </c>
      <c r="E4" s="1" t="s">
        <v>7</v>
      </c>
      <c r="F4" s="3">
        <f>SUM(C6:C80)/H1</f>
        <v>1.8</v>
      </c>
      <c r="G4" s="3"/>
      <c r="H4" s="3"/>
      <c r="I4" s="3"/>
      <c r="J4" s="3"/>
      <c r="K4" s="3"/>
      <c r="L4" s="3"/>
      <c r="M4" s="7"/>
      <c r="N4" s="7"/>
    </row>
    <row r="5">
      <c r="A5" s="10" t="s">
        <v>8</v>
      </c>
      <c r="B5" s="10" t="s">
        <v>9</v>
      </c>
      <c r="C5" s="10" t="s">
        <v>10</v>
      </c>
      <c r="D5" s="10" t="s">
        <v>11</v>
      </c>
      <c r="E5" s="10" t="s">
        <v>11</v>
      </c>
      <c r="F5" s="10" t="s">
        <v>23</v>
      </c>
      <c r="G5" s="10" t="s">
        <v>23</v>
      </c>
      <c r="H5" s="10" t="s">
        <v>24</v>
      </c>
      <c r="I5" s="10" t="s">
        <v>24</v>
      </c>
      <c r="J5" s="10" t="s">
        <v>14</v>
      </c>
      <c r="K5" s="10" t="s">
        <v>25</v>
      </c>
      <c r="L5" s="10" t="s">
        <v>26</v>
      </c>
      <c r="M5" s="7"/>
      <c r="N5" s="7"/>
    </row>
    <row r="6">
      <c r="A6" s="12">
        <v>45419.0</v>
      </c>
      <c r="B6" s="6" t="s">
        <v>17</v>
      </c>
      <c r="C6" s="2">
        <v>0.51</v>
      </c>
      <c r="D6" s="4">
        <f>IF(B6="Hindu Kush",B1-C6,B1)</f>
        <v>14.49</v>
      </c>
      <c r="E6" s="13">
        <f>D6/B1</f>
        <v>0.966</v>
      </c>
      <c r="F6" s="2">
        <f>IF(B6="Ghost Train Haze",B2-C6,B2)</f>
        <v>15</v>
      </c>
      <c r="G6" s="14">
        <f>F6/B2</f>
        <v>1</v>
      </c>
      <c r="H6" s="15">
        <f>IF(B6="Frozen Lemon Mints",B3-C6,B3)</f>
        <v>15</v>
      </c>
      <c r="I6" s="14">
        <f>H6/B3</f>
        <v>1</v>
      </c>
      <c r="J6" s="2">
        <v>0.0</v>
      </c>
      <c r="K6" s="2">
        <v>0.0</v>
      </c>
      <c r="L6" s="2">
        <v>0.0</v>
      </c>
      <c r="M6" s="7"/>
      <c r="N6" s="7"/>
    </row>
    <row r="7">
      <c r="A7" s="12">
        <v>45419.0</v>
      </c>
      <c r="B7" s="6" t="s">
        <v>27</v>
      </c>
      <c r="C7" s="2">
        <v>0.58</v>
      </c>
      <c r="D7" s="16">
        <f t="shared" ref="D7:D80" si="3">IF(B7="Hindu Kush",D6-C7,D6)</f>
        <v>14.49</v>
      </c>
      <c r="E7" s="17">
        <f>D7/B1</f>
        <v>0.966</v>
      </c>
      <c r="F7" s="16">
        <f t="shared" ref="F7:F80" si="4">IF(B7="Ghost Train Haze",F6-C7,F6)</f>
        <v>14.42</v>
      </c>
      <c r="G7" s="17">
        <f>F7/B2</f>
        <v>0.9613333333</v>
      </c>
      <c r="H7" s="15">
        <f t="shared" ref="H7:H80" si="5">IF(B7="Frozen Lemon Mints",H6-C7,H6)</f>
        <v>15</v>
      </c>
      <c r="I7" s="14">
        <f>H7/B3</f>
        <v>1</v>
      </c>
      <c r="J7" s="2">
        <v>0.0</v>
      </c>
      <c r="K7" s="2">
        <v>0.0</v>
      </c>
      <c r="L7" s="2">
        <v>0.0</v>
      </c>
      <c r="M7" s="7"/>
      <c r="N7" s="7"/>
    </row>
    <row r="8">
      <c r="A8" s="12">
        <v>45419.0</v>
      </c>
      <c r="B8" s="6" t="s">
        <v>28</v>
      </c>
      <c r="C8" s="2">
        <v>0.62</v>
      </c>
      <c r="D8" s="16">
        <f t="shared" si="3"/>
        <v>14.49</v>
      </c>
      <c r="E8" s="17">
        <f>D8/B1</f>
        <v>0.966</v>
      </c>
      <c r="F8" s="16">
        <f t="shared" si="4"/>
        <v>14.42</v>
      </c>
      <c r="G8" s="17">
        <f>F8/B2</f>
        <v>0.9613333333</v>
      </c>
      <c r="H8" s="15">
        <f t="shared" si="5"/>
        <v>14.38</v>
      </c>
      <c r="I8" s="14">
        <f>H8/B3</f>
        <v>0.9586666667</v>
      </c>
      <c r="J8" s="2">
        <v>0.0</v>
      </c>
      <c r="K8" s="2">
        <v>0.0</v>
      </c>
      <c r="L8" s="2">
        <v>0.0</v>
      </c>
      <c r="M8" s="7"/>
      <c r="N8" s="7"/>
    </row>
    <row r="9">
      <c r="A9" s="12">
        <v>45420.0</v>
      </c>
      <c r="B9" s="6" t="s">
        <v>17</v>
      </c>
      <c r="C9" s="2">
        <v>0.55</v>
      </c>
      <c r="D9" s="16">
        <f t="shared" si="3"/>
        <v>13.94</v>
      </c>
      <c r="E9" s="17">
        <f>D9/B1</f>
        <v>0.9293333333</v>
      </c>
      <c r="F9" s="16">
        <f t="shared" si="4"/>
        <v>14.42</v>
      </c>
      <c r="G9" s="17">
        <f>F9/B2</f>
        <v>0.9613333333</v>
      </c>
      <c r="H9" s="15">
        <f t="shared" si="5"/>
        <v>14.38</v>
      </c>
      <c r="I9" s="14">
        <f>H9/B3</f>
        <v>0.9586666667</v>
      </c>
      <c r="J9" s="2">
        <v>0.0</v>
      </c>
      <c r="K9" s="2">
        <v>0.0</v>
      </c>
      <c r="L9" s="2">
        <v>0.0</v>
      </c>
      <c r="M9" s="7"/>
      <c r="N9" s="7"/>
    </row>
    <row r="10">
      <c r="A10" s="12">
        <v>45420.0</v>
      </c>
      <c r="B10" s="6" t="s">
        <v>27</v>
      </c>
      <c r="C10" s="2">
        <v>0.53</v>
      </c>
      <c r="D10" s="16">
        <f t="shared" si="3"/>
        <v>13.94</v>
      </c>
      <c r="E10" s="17">
        <f>D10/B1</f>
        <v>0.9293333333</v>
      </c>
      <c r="F10" s="16">
        <f t="shared" si="4"/>
        <v>13.89</v>
      </c>
      <c r="G10" s="17">
        <f>F10/B2</f>
        <v>0.926</v>
      </c>
      <c r="H10" s="15">
        <f t="shared" si="5"/>
        <v>14.38</v>
      </c>
      <c r="I10" s="14">
        <f>H10/B3</f>
        <v>0.9586666667</v>
      </c>
      <c r="J10" s="2">
        <v>0.0</v>
      </c>
      <c r="K10" s="2">
        <v>0.0</v>
      </c>
      <c r="L10" s="2">
        <v>0.0</v>
      </c>
      <c r="M10" s="7"/>
      <c r="N10" s="7"/>
    </row>
    <row r="11">
      <c r="A11" s="12">
        <v>45420.0</v>
      </c>
      <c r="B11" s="6" t="s">
        <v>28</v>
      </c>
      <c r="C11" s="2">
        <v>0.59</v>
      </c>
      <c r="D11" s="16">
        <f t="shared" si="3"/>
        <v>13.94</v>
      </c>
      <c r="E11" s="17">
        <f>D11/B1</f>
        <v>0.9293333333</v>
      </c>
      <c r="F11" s="16">
        <f t="shared" si="4"/>
        <v>13.89</v>
      </c>
      <c r="G11" s="17">
        <f>F11/B2</f>
        <v>0.926</v>
      </c>
      <c r="H11" s="15">
        <f t="shared" si="5"/>
        <v>13.79</v>
      </c>
      <c r="I11" s="14">
        <f>H11/B3</f>
        <v>0.9193333333</v>
      </c>
      <c r="J11" s="2">
        <v>0.0</v>
      </c>
      <c r="K11" s="2">
        <v>0.0</v>
      </c>
      <c r="L11" s="2">
        <v>0.0</v>
      </c>
      <c r="M11" s="7"/>
      <c r="N11" s="7"/>
    </row>
    <row r="12">
      <c r="A12" s="12">
        <v>45421.0</v>
      </c>
      <c r="B12" s="6" t="s">
        <v>17</v>
      </c>
      <c r="C12" s="2">
        <v>0.0</v>
      </c>
      <c r="D12" s="16">
        <f t="shared" si="3"/>
        <v>13.94</v>
      </c>
      <c r="E12" s="17">
        <f>D12/B1</f>
        <v>0.9293333333</v>
      </c>
      <c r="F12" s="16">
        <f t="shared" si="4"/>
        <v>13.89</v>
      </c>
      <c r="G12" s="17">
        <f>F12/B2</f>
        <v>0.926</v>
      </c>
      <c r="H12" s="15">
        <f t="shared" si="5"/>
        <v>13.79</v>
      </c>
      <c r="I12" s="14">
        <f>H12/B3</f>
        <v>0.9193333333</v>
      </c>
      <c r="J12" s="2">
        <v>0.0</v>
      </c>
      <c r="K12" s="2">
        <v>0.0</v>
      </c>
      <c r="L12" s="2">
        <v>0.0</v>
      </c>
      <c r="M12" s="7"/>
      <c r="N12" s="7"/>
    </row>
    <row r="13">
      <c r="A13" s="12">
        <v>45421.0</v>
      </c>
      <c r="B13" s="6" t="s">
        <v>27</v>
      </c>
      <c r="C13" s="2">
        <v>0.81</v>
      </c>
      <c r="D13" s="16">
        <f t="shared" si="3"/>
        <v>13.94</v>
      </c>
      <c r="E13" s="17">
        <f>D13/B1</f>
        <v>0.9293333333</v>
      </c>
      <c r="F13" s="16">
        <f t="shared" si="4"/>
        <v>13.08</v>
      </c>
      <c r="G13" s="17">
        <f>F13/B2</f>
        <v>0.872</v>
      </c>
      <c r="H13" s="15">
        <f t="shared" si="5"/>
        <v>13.79</v>
      </c>
      <c r="I13" s="14">
        <f>H13/B3</f>
        <v>0.9193333333</v>
      </c>
      <c r="J13" s="2">
        <v>0.0</v>
      </c>
      <c r="K13" s="2">
        <v>0.0</v>
      </c>
      <c r="L13" s="2">
        <v>0.0</v>
      </c>
      <c r="M13" s="7"/>
      <c r="N13" s="7"/>
    </row>
    <row r="14">
      <c r="A14" s="12">
        <v>45421.0</v>
      </c>
      <c r="B14" s="6" t="s">
        <v>28</v>
      </c>
      <c r="C14" s="2">
        <v>0.83</v>
      </c>
      <c r="D14" s="16">
        <f t="shared" si="3"/>
        <v>13.94</v>
      </c>
      <c r="E14" s="17">
        <f>D14/B1</f>
        <v>0.9293333333</v>
      </c>
      <c r="F14" s="16">
        <f t="shared" si="4"/>
        <v>13.08</v>
      </c>
      <c r="G14" s="17">
        <f>F14/B2</f>
        <v>0.872</v>
      </c>
      <c r="H14" s="15">
        <f t="shared" si="5"/>
        <v>12.96</v>
      </c>
      <c r="I14" s="14">
        <f>H14/B3</f>
        <v>0.864</v>
      </c>
      <c r="J14" s="2">
        <v>0.0</v>
      </c>
      <c r="K14" s="2">
        <v>0.0</v>
      </c>
      <c r="L14" s="2">
        <v>0.0</v>
      </c>
      <c r="M14" s="7"/>
      <c r="N14" s="7"/>
    </row>
    <row r="15">
      <c r="A15" s="12">
        <v>45422.0</v>
      </c>
      <c r="B15" s="6" t="s">
        <v>17</v>
      </c>
      <c r="C15" s="2">
        <v>0.58</v>
      </c>
      <c r="D15" s="16">
        <f t="shared" si="3"/>
        <v>13.36</v>
      </c>
      <c r="E15" s="17">
        <f>D15/B1</f>
        <v>0.8906666667</v>
      </c>
      <c r="F15" s="16">
        <f t="shared" si="4"/>
        <v>13.08</v>
      </c>
      <c r="G15" s="17">
        <f>F15/B2</f>
        <v>0.872</v>
      </c>
      <c r="H15" s="15">
        <f t="shared" si="5"/>
        <v>12.96</v>
      </c>
      <c r="I15" s="14">
        <f>H15/B3</f>
        <v>0.864</v>
      </c>
      <c r="J15" s="2">
        <v>0.0</v>
      </c>
      <c r="K15" s="2">
        <v>0.0</v>
      </c>
      <c r="L15" s="2">
        <v>0.0</v>
      </c>
      <c r="M15" s="7"/>
      <c r="N15" s="7"/>
    </row>
    <row r="16">
      <c r="A16" s="12">
        <v>45422.0</v>
      </c>
      <c r="B16" s="6" t="s">
        <v>27</v>
      </c>
      <c r="C16" s="2">
        <v>0.46</v>
      </c>
      <c r="D16" s="16">
        <f t="shared" si="3"/>
        <v>13.36</v>
      </c>
      <c r="E16" s="17">
        <f>D16/B1</f>
        <v>0.8906666667</v>
      </c>
      <c r="F16" s="16">
        <f t="shared" si="4"/>
        <v>12.62</v>
      </c>
      <c r="G16" s="17">
        <f>F16/B2</f>
        <v>0.8413333333</v>
      </c>
      <c r="H16" s="15">
        <f t="shared" si="5"/>
        <v>12.96</v>
      </c>
      <c r="I16" s="14">
        <f>H16/B3</f>
        <v>0.864</v>
      </c>
      <c r="J16" s="2">
        <v>0.0</v>
      </c>
      <c r="K16" s="2">
        <v>0.0</v>
      </c>
      <c r="L16" s="2">
        <v>0.0</v>
      </c>
      <c r="M16" s="7"/>
      <c r="N16" s="7"/>
    </row>
    <row r="17">
      <c r="A17" s="12">
        <v>45422.0</v>
      </c>
      <c r="B17" s="6" t="s">
        <v>28</v>
      </c>
      <c r="C17" s="2">
        <v>0.52</v>
      </c>
      <c r="D17" s="16">
        <f t="shared" si="3"/>
        <v>13.36</v>
      </c>
      <c r="E17" s="17">
        <f>D17/B1</f>
        <v>0.8906666667</v>
      </c>
      <c r="F17" s="16">
        <f t="shared" si="4"/>
        <v>12.62</v>
      </c>
      <c r="G17" s="17">
        <f>F17/B2</f>
        <v>0.8413333333</v>
      </c>
      <c r="H17" s="15">
        <f t="shared" si="5"/>
        <v>12.44</v>
      </c>
      <c r="I17" s="14">
        <f>H17/B3</f>
        <v>0.8293333333</v>
      </c>
      <c r="J17" s="2">
        <v>0.0</v>
      </c>
      <c r="K17" s="2">
        <v>0.0</v>
      </c>
      <c r="L17" s="2">
        <v>0.0</v>
      </c>
      <c r="M17" s="7"/>
      <c r="N17" s="7"/>
    </row>
    <row r="18">
      <c r="A18" s="12">
        <v>45423.0</v>
      </c>
      <c r="B18" s="6" t="s">
        <v>17</v>
      </c>
      <c r="C18" s="2">
        <v>0.45</v>
      </c>
      <c r="D18" s="16">
        <f t="shared" si="3"/>
        <v>12.91</v>
      </c>
      <c r="E18" s="17">
        <f>D18/B1</f>
        <v>0.8606666667</v>
      </c>
      <c r="F18" s="16">
        <f t="shared" si="4"/>
        <v>12.62</v>
      </c>
      <c r="G18" s="17">
        <f>F18/B2</f>
        <v>0.8413333333</v>
      </c>
      <c r="H18" s="15">
        <f t="shared" si="5"/>
        <v>12.44</v>
      </c>
      <c r="I18" s="14">
        <f>H18/B3</f>
        <v>0.8293333333</v>
      </c>
      <c r="J18" s="2">
        <v>0.0</v>
      </c>
      <c r="K18" s="2">
        <v>0.0</v>
      </c>
      <c r="L18" s="2">
        <v>0.0</v>
      </c>
      <c r="M18" s="7"/>
      <c r="N18" s="7"/>
    </row>
    <row r="19">
      <c r="A19" s="12">
        <v>45423.0</v>
      </c>
      <c r="B19" s="6" t="s">
        <v>27</v>
      </c>
      <c r="C19" s="2">
        <v>0.66</v>
      </c>
      <c r="D19" s="16">
        <f t="shared" si="3"/>
        <v>12.91</v>
      </c>
      <c r="E19" s="17">
        <f>D19/B1</f>
        <v>0.8606666667</v>
      </c>
      <c r="F19" s="16">
        <f t="shared" si="4"/>
        <v>11.96</v>
      </c>
      <c r="G19" s="17">
        <f>F19/B2</f>
        <v>0.7973333333</v>
      </c>
      <c r="H19" s="15">
        <f t="shared" si="5"/>
        <v>12.44</v>
      </c>
      <c r="I19" s="14">
        <f>H19/B3</f>
        <v>0.8293333333</v>
      </c>
      <c r="J19" s="2">
        <v>0.0</v>
      </c>
      <c r="K19" s="2">
        <v>0.0</v>
      </c>
      <c r="L19" s="2">
        <v>0.0</v>
      </c>
      <c r="M19" s="7"/>
      <c r="N19" s="7"/>
    </row>
    <row r="20">
      <c r="A20" s="12">
        <v>45423.0</v>
      </c>
      <c r="B20" s="6" t="s">
        <v>28</v>
      </c>
      <c r="C20" s="2">
        <v>0.59</v>
      </c>
      <c r="D20" s="16">
        <f t="shared" si="3"/>
        <v>12.91</v>
      </c>
      <c r="E20" s="17">
        <f>D20/B1</f>
        <v>0.8606666667</v>
      </c>
      <c r="F20" s="16">
        <f t="shared" si="4"/>
        <v>11.96</v>
      </c>
      <c r="G20" s="17">
        <f>F20/B2</f>
        <v>0.7973333333</v>
      </c>
      <c r="H20" s="15">
        <f t="shared" si="5"/>
        <v>11.85</v>
      </c>
      <c r="I20" s="14">
        <f>H20/B3</f>
        <v>0.79</v>
      </c>
      <c r="J20" s="2">
        <v>0.0</v>
      </c>
      <c r="K20" s="2">
        <v>0.0</v>
      </c>
      <c r="L20" s="2">
        <v>0.0</v>
      </c>
      <c r="M20" s="7"/>
      <c r="N20" s="7"/>
    </row>
    <row r="21">
      <c r="A21" s="12">
        <v>45424.0</v>
      </c>
      <c r="B21" s="6" t="s">
        <v>17</v>
      </c>
      <c r="C21" s="2">
        <v>0.6</v>
      </c>
      <c r="D21" s="16">
        <f t="shared" si="3"/>
        <v>12.31</v>
      </c>
      <c r="E21" s="17">
        <f>D21/B1</f>
        <v>0.8206666667</v>
      </c>
      <c r="F21" s="16">
        <f t="shared" si="4"/>
        <v>11.96</v>
      </c>
      <c r="G21" s="17">
        <f>F21/B2</f>
        <v>0.7973333333</v>
      </c>
      <c r="H21" s="15">
        <f t="shared" si="5"/>
        <v>11.85</v>
      </c>
      <c r="I21" s="14">
        <f>H21/B3</f>
        <v>0.79</v>
      </c>
      <c r="J21" s="2">
        <v>0.0</v>
      </c>
      <c r="K21" s="2">
        <v>0.0</v>
      </c>
      <c r="L21" s="2">
        <v>0.0</v>
      </c>
      <c r="M21" s="7"/>
      <c r="N21" s="7"/>
    </row>
    <row r="22">
      <c r="A22" s="12">
        <v>45424.0</v>
      </c>
      <c r="B22" s="6" t="s">
        <v>27</v>
      </c>
      <c r="C22" s="2">
        <v>0.71</v>
      </c>
      <c r="D22" s="16">
        <f t="shared" si="3"/>
        <v>12.31</v>
      </c>
      <c r="E22" s="17">
        <f>D22/B1</f>
        <v>0.8206666667</v>
      </c>
      <c r="F22" s="16">
        <f t="shared" si="4"/>
        <v>11.25</v>
      </c>
      <c r="G22" s="17">
        <f>F22/B2</f>
        <v>0.75</v>
      </c>
      <c r="H22" s="15">
        <f t="shared" si="5"/>
        <v>11.85</v>
      </c>
      <c r="I22" s="14">
        <f>H22/B3</f>
        <v>0.79</v>
      </c>
      <c r="J22" s="2">
        <v>0.0</v>
      </c>
      <c r="K22" s="2">
        <v>0.0</v>
      </c>
      <c r="L22" s="2">
        <v>0.0</v>
      </c>
      <c r="M22" s="7"/>
      <c r="N22" s="7"/>
    </row>
    <row r="23">
      <c r="A23" s="12">
        <v>45424.0</v>
      </c>
      <c r="B23" s="6" t="s">
        <v>28</v>
      </c>
      <c r="C23" s="2">
        <v>0.59</v>
      </c>
      <c r="D23" s="16">
        <f t="shared" si="3"/>
        <v>12.31</v>
      </c>
      <c r="E23" s="17">
        <f>D23/B1</f>
        <v>0.8206666667</v>
      </c>
      <c r="F23" s="16">
        <f t="shared" si="4"/>
        <v>11.25</v>
      </c>
      <c r="G23" s="17">
        <f>F23/B2</f>
        <v>0.75</v>
      </c>
      <c r="H23" s="15">
        <f t="shared" si="5"/>
        <v>11.26</v>
      </c>
      <c r="I23" s="14">
        <f>H23/B3</f>
        <v>0.7506666667</v>
      </c>
      <c r="J23" s="2">
        <v>0.0</v>
      </c>
      <c r="K23" s="2">
        <v>0.0</v>
      </c>
      <c r="L23" s="2">
        <v>0.0</v>
      </c>
      <c r="M23" s="7"/>
      <c r="N23" s="7"/>
    </row>
    <row r="24">
      <c r="A24" s="12">
        <v>45425.0</v>
      </c>
      <c r="B24" s="6" t="s">
        <v>17</v>
      </c>
      <c r="C24" s="2">
        <v>0.52</v>
      </c>
      <c r="D24" s="16">
        <f t="shared" si="3"/>
        <v>11.79</v>
      </c>
      <c r="E24" s="17">
        <f>D24/B1</f>
        <v>0.786</v>
      </c>
      <c r="F24" s="16">
        <f t="shared" si="4"/>
        <v>11.25</v>
      </c>
      <c r="G24" s="17">
        <f>F24/B2</f>
        <v>0.75</v>
      </c>
      <c r="H24" s="15">
        <f t="shared" si="5"/>
        <v>11.26</v>
      </c>
      <c r="I24" s="14">
        <f>H24/B3</f>
        <v>0.7506666667</v>
      </c>
      <c r="J24" s="2">
        <v>0.0</v>
      </c>
      <c r="K24" s="2">
        <v>0.0</v>
      </c>
      <c r="L24" s="2">
        <v>0.0</v>
      </c>
      <c r="M24" s="7"/>
      <c r="N24" s="7"/>
    </row>
    <row r="25">
      <c r="A25" s="12">
        <v>45425.0</v>
      </c>
      <c r="B25" s="6" t="s">
        <v>27</v>
      </c>
      <c r="C25" s="2">
        <v>0.62</v>
      </c>
      <c r="D25" s="16">
        <f t="shared" si="3"/>
        <v>11.79</v>
      </c>
      <c r="E25" s="17">
        <f>D25/B1</f>
        <v>0.786</v>
      </c>
      <c r="F25" s="16">
        <f t="shared" si="4"/>
        <v>10.63</v>
      </c>
      <c r="G25" s="17">
        <f>F25/B2</f>
        <v>0.7086666667</v>
      </c>
      <c r="H25" s="15">
        <f t="shared" si="5"/>
        <v>11.26</v>
      </c>
      <c r="I25" s="14">
        <f>H25/B3</f>
        <v>0.7506666667</v>
      </c>
      <c r="J25" s="2">
        <v>0.0</v>
      </c>
      <c r="K25" s="2">
        <v>0.0</v>
      </c>
      <c r="L25" s="2">
        <v>0.0</v>
      </c>
      <c r="M25" s="7"/>
      <c r="N25" s="7"/>
    </row>
    <row r="26">
      <c r="A26" s="12">
        <v>45425.0</v>
      </c>
      <c r="B26" s="6" t="s">
        <v>28</v>
      </c>
      <c r="C26" s="2">
        <v>0.65</v>
      </c>
      <c r="D26" s="16">
        <f t="shared" si="3"/>
        <v>11.79</v>
      </c>
      <c r="E26" s="17">
        <f>D26/B1</f>
        <v>0.786</v>
      </c>
      <c r="F26" s="16">
        <f t="shared" si="4"/>
        <v>10.63</v>
      </c>
      <c r="G26" s="17">
        <f>F26/B2</f>
        <v>0.7086666667</v>
      </c>
      <c r="H26" s="15">
        <f t="shared" si="5"/>
        <v>10.61</v>
      </c>
      <c r="I26" s="14">
        <f>H26/B3</f>
        <v>0.7073333333</v>
      </c>
      <c r="J26" s="2">
        <v>0.0</v>
      </c>
      <c r="K26" s="2">
        <v>0.0</v>
      </c>
      <c r="L26" s="2">
        <v>0.0</v>
      </c>
      <c r="M26" s="7"/>
      <c r="N26" s="7"/>
    </row>
    <row r="27">
      <c r="A27" s="12">
        <v>45426.0</v>
      </c>
      <c r="B27" s="6" t="s">
        <v>17</v>
      </c>
      <c r="C27" s="2">
        <v>0.57</v>
      </c>
      <c r="D27" s="16">
        <f t="shared" si="3"/>
        <v>11.22</v>
      </c>
      <c r="E27" s="17">
        <f>D27/B1</f>
        <v>0.748</v>
      </c>
      <c r="F27" s="16">
        <f t="shared" si="4"/>
        <v>10.63</v>
      </c>
      <c r="G27" s="17">
        <f>F27/B2</f>
        <v>0.7086666667</v>
      </c>
      <c r="H27" s="15">
        <f t="shared" si="5"/>
        <v>10.61</v>
      </c>
      <c r="I27" s="14">
        <f>H27/B3</f>
        <v>0.7073333333</v>
      </c>
      <c r="J27" s="2">
        <v>0.0</v>
      </c>
      <c r="K27" s="2">
        <v>0.0</v>
      </c>
      <c r="L27" s="2">
        <v>0.0</v>
      </c>
      <c r="M27" s="7"/>
      <c r="N27" s="7"/>
    </row>
    <row r="28">
      <c r="A28" s="12">
        <v>45426.0</v>
      </c>
      <c r="B28" s="6" t="s">
        <v>27</v>
      </c>
      <c r="C28" s="2">
        <v>0.75</v>
      </c>
      <c r="D28" s="16">
        <f t="shared" si="3"/>
        <v>11.22</v>
      </c>
      <c r="E28" s="17">
        <f>D28/B1</f>
        <v>0.748</v>
      </c>
      <c r="F28" s="16">
        <f t="shared" si="4"/>
        <v>9.88</v>
      </c>
      <c r="G28" s="17">
        <f>F28/B2</f>
        <v>0.6586666667</v>
      </c>
      <c r="H28" s="15">
        <f t="shared" si="5"/>
        <v>10.61</v>
      </c>
      <c r="I28" s="14">
        <f>H28/B3</f>
        <v>0.7073333333</v>
      </c>
      <c r="J28" s="2">
        <v>0.0</v>
      </c>
      <c r="K28" s="2">
        <v>0.0</v>
      </c>
      <c r="L28" s="2">
        <v>0.0</v>
      </c>
      <c r="M28" s="7"/>
      <c r="N28" s="7"/>
    </row>
    <row r="29">
      <c r="A29" s="12">
        <v>45426.0</v>
      </c>
      <c r="B29" s="6" t="s">
        <v>28</v>
      </c>
      <c r="C29" s="2">
        <v>0.8</v>
      </c>
      <c r="D29" s="16">
        <f t="shared" si="3"/>
        <v>11.22</v>
      </c>
      <c r="E29" s="17">
        <f>D29/B1</f>
        <v>0.748</v>
      </c>
      <c r="F29" s="16">
        <f t="shared" si="4"/>
        <v>9.88</v>
      </c>
      <c r="G29" s="17">
        <f>F29/B2</f>
        <v>0.6586666667</v>
      </c>
      <c r="H29" s="15">
        <f t="shared" si="5"/>
        <v>9.81</v>
      </c>
      <c r="I29" s="14">
        <f>H29/B3</f>
        <v>0.654</v>
      </c>
      <c r="J29" s="2">
        <v>0.0</v>
      </c>
      <c r="K29" s="2">
        <v>0.0</v>
      </c>
      <c r="L29" s="2">
        <v>0.0</v>
      </c>
      <c r="M29" s="7"/>
      <c r="N29" s="7"/>
    </row>
    <row r="30">
      <c r="A30" s="12">
        <v>45427.0</v>
      </c>
      <c r="B30" s="6" t="s">
        <v>17</v>
      </c>
      <c r="C30" s="2">
        <v>0.65</v>
      </c>
      <c r="D30" s="16">
        <f t="shared" si="3"/>
        <v>10.57</v>
      </c>
      <c r="E30" s="17">
        <f>D30/B1</f>
        <v>0.7046666667</v>
      </c>
      <c r="F30" s="16">
        <f t="shared" si="4"/>
        <v>9.88</v>
      </c>
      <c r="G30" s="17">
        <f>F30/B2</f>
        <v>0.6586666667</v>
      </c>
      <c r="H30" s="15">
        <f t="shared" si="5"/>
        <v>9.81</v>
      </c>
      <c r="I30" s="14">
        <f>H30/B3</f>
        <v>0.654</v>
      </c>
      <c r="J30" s="2">
        <v>0.0</v>
      </c>
      <c r="K30" s="2">
        <v>0.0</v>
      </c>
      <c r="L30" s="2">
        <v>0.0</v>
      </c>
      <c r="M30" s="7"/>
      <c r="N30" s="7"/>
    </row>
    <row r="31">
      <c r="A31" s="12">
        <v>45427.0</v>
      </c>
      <c r="B31" s="6" t="s">
        <v>27</v>
      </c>
      <c r="C31" s="2">
        <v>0.71</v>
      </c>
      <c r="D31" s="16">
        <f t="shared" si="3"/>
        <v>10.57</v>
      </c>
      <c r="E31" s="17">
        <f>D31/B1</f>
        <v>0.7046666667</v>
      </c>
      <c r="F31" s="16">
        <f t="shared" si="4"/>
        <v>9.17</v>
      </c>
      <c r="G31" s="17">
        <f>F31/B2</f>
        <v>0.6113333333</v>
      </c>
      <c r="H31" s="15">
        <f t="shared" si="5"/>
        <v>9.81</v>
      </c>
      <c r="I31" s="14">
        <f>H31/B3</f>
        <v>0.654</v>
      </c>
      <c r="J31" s="2">
        <v>0.0</v>
      </c>
      <c r="K31" s="2">
        <v>0.0</v>
      </c>
      <c r="L31" s="2">
        <v>0.0</v>
      </c>
      <c r="M31" s="7"/>
      <c r="N31" s="7"/>
    </row>
    <row r="32">
      <c r="A32" s="12">
        <v>45427.0</v>
      </c>
      <c r="B32" s="6" t="s">
        <v>28</v>
      </c>
      <c r="C32" s="2">
        <v>0.73</v>
      </c>
      <c r="D32" s="16">
        <f t="shared" si="3"/>
        <v>10.57</v>
      </c>
      <c r="E32" s="17">
        <f>D32/B1</f>
        <v>0.7046666667</v>
      </c>
      <c r="F32" s="16">
        <f t="shared" si="4"/>
        <v>9.17</v>
      </c>
      <c r="G32" s="17">
        <f>F32/B2</f>
        <v>0.6113333333</v>
      </c>
      <c r="H32" s="15">
        <f t="shared" si="5"/>
        <v>9.08</v>
      </c>
      <c r="I32" s="14">
        <f>H32/B3</f>
        <v>0.6053333333</v>
      </c>
      <c r="J32" s="2">
        <v>0.0</v>
      </c>
      <c r="K32" s="2">
        <v>0.0</v>
      </c>
      <c r="L32" s="2">
        <v>0.0</v>
      </c>
      <c r="M32" s="7"/>
      <c r="N32" s="7"/>
    </row>
    <row r="33">
      <c r="A33" s="12">
        <v>45428.0</v>
      </c>
      <c r="B33" s="6" t="s">
        <v>17</v>
      </c>
      <c r="C33" s="2">
        <v>0.55</v>
      </c>
      <c r="D33" s="16">
        <f t="shared" si="3"/>
        <v>10.02</v>
      </c>
      <c r="E33" s="17">
        <f>D33/B1</f>
        <v>0.668</v>
      </c>
      <c r="F33" s="16">
        <f t="shared" si="4"/>
        <v>9.17</v>
      </c>
      <c r="G33" s="17">
        <f>F33/B2</f>
        <v>0.6113333333</v>
      </c>
      <c r="H33" s="15">
        <f t="shared" si="5"/>
        <v>9.08</v>
      </c>
      <c r="I33" s="14">
        <f>H33/B3</f>
        <v>0.6053333333</v>
      </c>
      <c r="J33" s="2">
        <v>0.0</v>
      </c>
      <c r="K33" s="2">
        <v>0.0</v>
      </c>
      <c r="L33" s="2">
        <v>0.0</v>
      </c>
      <c r="M33" s="7"/>
      <c r="N33" s="7"/>
    </row>
    <row r="34">
      <c r="A34" s="12">
        <v>45428.0</v>
      </c>
      <c r="B34" s="6" t="s">
        <v>27</v>
      </c>
      <c r="C34" s="2">
        <v>0.71</v>
      </c>
      <c r="D34" s="16">
        <f t="shared" si="3"/>
        <v>10.02</v>
      </c>
      <c r="E34" s="17">
        <f>D34/B1</f>
        <v>0.668</v>
      </c>
      <c r="F34" s="16">
        <f t="shared" si="4"/>
        <v>8.46</v>
      </c>
      <c r="G34" s="17">
        <f>F34/B2</f>
        <v>0.564</v>
      </c>
      <c r="H34" s="15">
        <f t="shared" si="5"/>
        <v>9.08</v>
      </c>
      <c r="I34" s="14">
        <f>H34/B3</f>
        <v>0.6053333333</v>
      </c>
      <c r="J34" s="2">
        <v>0.0</v>
      </c>
      <c r="K34" s="2">
        <v>0.0</v>
      </c>
      <c r="L34" s="2">
        <v>0.0</v>
      </c>
      <c r="M34" s="7"/>
      <c r="N34" s="7"/>
    </row>
    <row r="35">
      <c r="A35" s="12">
        <v>45428.0</v>
      </c>
      <c r="B35" s="6" t="s">
        <v>28</v>
      </c>
      <c r="C35" s="2">
        <v>0.74</v>
      </c>
      <c r="D35" s="16">
        <f t="shared" si="3"/>
        <v>10.02</v>
      </c>
      <c r="E35" s="17">
        <f>D35/B1</f>
        <v>0.668</v>
      </c>
      <c r="F35" s="16">
        <f t="shared" si="4"/>
        <v>8.46</v>
      </c>
      <c r="G35" s="17">
        <f>F35/B2</f>
        <v>0.564</v>
      </c>
      <c r="H35" s="15">
        <f t="shared" si="5"/>
        <v>8.34</v>
      </c>
      <c r="I35" s="14">
        <f>H35/B3</f>
        <v>0.556</v>
      </c>
      <c r="J35" s="2">
        <v>0.0</v>
      </c>
      <c r="K35" s="2">
        <v>0.0</v>
      </c>
      <c r="L35" s="2">
        <v>0.0</v>
      </c>
      <c r="M35" s="7"/>
      <c r="N35" s="7"/>
    </row>
    <row r="36">
      <c r="A36" s="12">
        <v>45429.0</v>
      </c>
      <c r="B36" s="6" t="s">
        <v>17</v>
      </c>
      <c r="C36" s="2">
        <v>0.67</v>
      </c>
      <c r="D36" s="16">
        <f t="shared" si="3"/>
        <v>9.35</v>
      </c>
      <c r="E36" s="17">
        <f>D36/B1</f>
        <v>0.6233333333</v>
      </c>
      <c r="F36" s="16">
        <f t="shared" si="4"/>
        <v>8.46</v>
      </c>
      <c r="G36" s="17">
        <f>F36/B2</f>
        <v>0.564</v>
      </c>
      <c r="H36" s="15">
        <f t="shared" si="5"/>
        <v>8.34</v>
      </c>
      <c r="I36" s="14">
        <f>H36/B3</f>
        <v>0.556</v>
      </c>
      <c r="J36" s="2">
        <v>0.0</v>
      </c>
      <c r="K36" s="2">
        <v>0.0</v>
      </c>
      <c r="L36" s="2">
        <v>0.0</v>
      </c>
      <c r="M36" s="7"/>
      <c r="N36" s="7"/>
    </row>
    <row r="37">
      <c r="A37" s="12">
        <v>45429.0</v>
      </c>
      <c r="B37" s="6" t="s">
        <v>27</v>
      </c>
      <c r="C37" s="2">
        <v>0.69</v>
      </c>
      <c r="D37" s="16">
        <f t="shared" si="3"/>
        <v>9.35</v>
      </c>
      <c r="E37" s="17">
        <f>D37/B1</f>
        <v>0.6233333333</v>
      </c>
      <c r="F37" s="16">
        <f t="shared" si="4"/>
        <v>7.77</v>
      </c>
      <c r="G37" s="17">
        <f>F37/B2</f>
        <v>0.518</v>
      </c>
      <c r="H37" s="15">
        <f t="shared" si="5"/>
        <v>8.34</v>
      </c>
      <c r="I37" s="14">
        <f>H37/B3</f>
        <v>0.556</v>
      </c>
      <c r="J37" s="2">
        <v>0.0</v>
      </c>
      <c r="K37" s="2">
        <v>0.0</v>
      </c>
      <c r="L37" s="2">
        <v>0.0</v>
      </c>
      <c r="M37" s="7"/>
      <c r="N37" s="7"/>
    </row>
    <row r="38">
      <c r="A38" s="12">
        <v>45429.0</v>
      </c>
      <c r="B38" s="6" t="s">
        <v>28</v>
      </c>
      <c r="C38" s="2">
        <v>0.69</v>
      </c>
      <c r="D38" s="16">
        <f t="shared" si="3"/>
        <v>9.35</v>
      </c>
      <c r="E38" s="17">
        <f>D38/B1</f>
        <v>0.6233333333</v>
      </c>
      <c r="F38" s="16">
        <f t="shared" si="4"/>
        <v>7.77</v>
      </c>
      <c r="G38" s="17">
        <f>F38/B2</f>
        <v>0.518</v>
      </c>
      <c r="H38" s="15">
        <f t="shared" si="5"/>
        <v>7.65</v>
      </c>
      <c r="I38" s="14">
        <f>H38/B3</f>
        <v>0.51</v>
      </c>
      <c r="J38" s="2">
        <v>0.0</v>
      </c>
      <c r="K38" s="2">
        <v>0.0</v>
      </c>
      <c r="L38" s="2">
        <v>0.0</v>
      </c>
      <c r="M38" s="7"/>
      <c r="N38" s="7"/>
    </row>
    <row r="39">
      <c r="A39" s="12">
        <v>45430.0</v>
      </c>
      <c r="B39" s="6" t="s">
        <v>17</v>
      </c>
      <c r="C39" s="2">
        <v>0.64</v>
      </c>
      <c r="D39" s="16">
        <f t="shared" si="3"/>
        <v>8.71</v>
      </c>
      <c r="E39" s="17">
        <f>D39/B1</f>
        <v>0.5806666667</v>
      </c>
      <c r="F39" s="16">
        <f t="shared" si="4"/>
        <v>7.77</v>
      </c>
      <c r="G39" s="17">
        <f>F39/B2</f>
        <v>0.518</v>
      </c>
      <c r="H39" s="15">
        <f t="shared" si="5"/>
        <v>7.65</v>
      </c>
      <c r="I39" s="14">
        <f>H39/B3</f>
        <v>0.51</v>
      </c>
      <c r="J39" s="2">
        <v>0.0</v>
      </c>
      <c r="K39" s="2">
        <v>0.0</v>
      </c>
      <c r="L39" s="2">
        <v>0.0</v>
      </c>
      <c r="M39" s="7"/>
      <c r="N39" s="7"/>
    </row>
    <row r="40">
      <c r="A40" s="12">
        <v>45430.0</v>
      </c>
      <c r="B40" s="6" t="s">
        <v>27</v>
      </c>
      <c r="C40" s="2">
        <v>0.67</v>
      </c>
      <c r="D40" s="16">
        <f t="shared" si="3"/>
        <v>8.71</v>
      </c>
      <c r="E40" s="17">
        <f>D40/B1</f>
        <v>0.5806666667</v>
      </c>
      <c r="F40" s="16">
        <f t="shared" si="4"/>
        <v>7.1</v>
      </c>
      <c r="G40" s="17">
        <f>F40/B2</f>
        <v>0.4733333333</v>
      </c>
      <c r="H40" s="15">
        <f t="shared" si="5"/>
        <v>7.65</v>
      </c>
      <c r="I40" s="14">
        <f>H40/B3</f>
        <v>0.51</v>
      </c>
      <c r="J40" s="2">
        <v>0.0</v>
      </c>
      <c r="K40" s="2">
        <v>0.0</v>
      </c>
      <c r="L40" s="2">
        <v>0.0</v>
      </c>
      <c r="M40" s="7"/>
      <c r="N40" s="7"/>
    </row>
    <row r="41">
      <c r="A41" s="12">
        <v>45430.0</v>
      </c>
      <c r="B41" s="6" t="s">
        <v>28</v>
      </c>
      <c r="C41" s="2">
        <v>0.7</v>
      </c>
      <c r="D41" s="16">
        <f t="shared" si="3"/>
        <v>8.71</v>
      </c>
      <c r="E41" s="17">
        <f>D41/B1</f>
        <v>0.5806666667</v>
      </c>
      <c r="F41" s="16">
        <f t="shared" si="4"/>
        <v>7.1</v>
      </c>
      <c r="G41" s="17">
        <f>F41/B2</f>
        <v>0.4733333333</v>
      </c>
      <c r="H41" s="15">
        <f t="shared" si="5"/>
        <v>6.95</v>
      </c>
      <c r="I41" s="14">
        <f>H41/B3</f>
        <v>0.4633333333</v>
      </c>
      <c r="J41" s="2">
        <v>0.0</v>
      </c>
      <c r="K41" s="2">
        <v>0.0</v>
      </c>
      <c r="L41" s="2">
        <v>0.0</v>
      </c>
      <c r="M41" s="7"/>
      <c r="N41" s="7"/>
    </row>
    <row r="42">
      <c r="A42" s="12">
        <v>45431.0</v>
      </c>
      <c r="B42" s="6" t="s">
        <v>17</v>
      </c>
      <c r="C42" s="2">
        <v>0.78</v>
      </c>
      <c r="D42" s="16">
        <f t="shared" si="3"/>
        <v>7.93</v>
      </c>
      <c r="E42" s="17">
        <f>D42/B1</f>
        <v>0.5286666667</v>
      </c>
      <c r="F42" s="16">
        <f t="shared" si="4"/>
        <v>7.1</v>
      </c>
      <c r="G42" s="17">
        <f>F42/B2</f>
        <v>0.4733333333</v>
      </c>
      <c r="H42" s="15">
        <f t="shared" si="5"/>
        <v>6.95</v>
      </c>
      <c r="I42" s="14">
        <f>H42/B3</f>
        <v>0.4633333333</v>
      </c>
      <c r="J42" s="2">
        <v>0.0</v>
      </c>
      <c r="K42" s="2">
        <v>0.0</v>
      </c>
      <c r="L42" s="2">
        <v>0.0</v>
      </c>
      <c r="M42" s="7"/>
      <c r="N42" s="7"/>
    </row>
    <row r="43">
      <c r="A43" s="12">
        <v>45431.0</v>
      </c>
      <c r="B43" s="6" t="s">
        <v>27</v>
      </c>
      <c r="C43" s="2">
        <v>0.74</v>
      </c>
      <c r="D43" s="16">
        <f t="shared" si="3"/>
        <v>7.93</v>
      </c>
      <c r="E43" s="17">
        <f>D43/B1</f>
        <v>0.5286666667</v>
      </c>
      <c r="F43" s="16">
        <f t="shared" si="4"/>
        <v>6.36</v>
      </c>
      <c r="G43" s="17">
        <f>F43/B2</f>
        <v>0.424</v>
      </c>
      <c r="H43" s="15">
        <f t="shared" si="5"/>
        <v>6.95</v>
      </c>
      <c r="I43" s="14">
        <f>H43/B3</f>
        <v>0.4633333333</v>
      </c>
      <c r="J43" s="2">
        <v>0.0</v>
      </c>
      <c r="K43" s="2">
        <v>0.0</v>
      </c>
      <c r="L43" s="2">
        <v>0.0</v>
      </c>
      <c r="M43" s="7"/>
      <c r="N43" s="7"/>
    </row>
    <row r="44">
      <c r="A44" s="12">
        <v>45431.0</v>
      </c>
      <c r="B44" s="6" t="s">
        <v>28</v>
      </c>
      <c r="C44" s="2">
        <v>0.8</v>
      </c>
      <c r="D44" s="16">
        <f t="shared" si="3"/>
        <v>7.93</v>
      </c>
      <c r="E44" s="17">
        <f>D44/B1</f>
        <v>0.5286666667</v>
      </c>
      <c r="F44" s="16">
        <f t="shared" si="4"/>
        <v>6.36</v>
      </c>
      <c r="G44" s="17">
        <f>F44/B2</f>
        <v>0.424</v>
      </c>
      <c r="H44" s="15">
        <f t="shared" si="5"/>
        <v>6.15</v>
      </c>
      <c r="I44" s="14">
        <f>H44/B3</f>
        <v>0.41</v>
      </c>
      <c r="J44" s="2">
        <v>0.0</v>
      </c>
      <c r="K44" s="2">
        <v>0.0</v>
      </c>
      <c r="L44" s="2">
        <v>0.0</v>
      </c>
      <c r="M44" s="7"/>
      <c r="N44" s="7"/>
    </row>
    <row r="45">
      <c r="A45" s="12">
        <v>45432.0</v>
      </c>
      <c r="B45" s="6" t="s">
        <v>17</v>
      </c>
      <c r="C45" s="2">
        <v>0.62</v>
      </c>
      <c r="D45" s="16">
        <f t="shared" si="3"/>
        <v>7.31</v>
      </c>
      <c r="E45" s="17">
        <f>D45/B1</f>
        <v>0.4873333333</v>
      </c>
      <c r="F45" s="16">
        <f t="shared" si="4"/>
        <v>6.36</v>
      </c>
      <c r="G45" s="17">
        <f>F45/B2</f>
        <v>0.424</v>
      </c>
      <c r="H45" s="15">
        <f t="shared" si="5"/>
        <v>6.15</v>
      </c>
      <c r="I45" s="14">
        <f>H45/B3</f>
        <v>0.41</v>
      </c>
      <c r="J45" s="2">
        <v>0.0</v>
      </c>
      <c r="K45" s="2">
        <v>0.0</v>
      </c>
      <c r="L45" s="2">
        <v>0.0</v>
      </c>
      <c r="M45" s="7"/>
      <c r="N45" s="7"/>
    </row>
    <row r="46">
      <c r="A46" s="12">
        <v>45432.0</v>
      </c>
      <c r="B46" s="6" t="s">
        <v>27</v>
      </c>
      <c r="C46" s="2">
        <v>0.69</v>
      </c>
      <c r="D46" s="16">
        <f t="shared" si="3"/>
        <v>7.31</v>
      </c>
      <c r="E46" s="17">
        <f>D46/B1</f>
        <v>0.4873333333</v>
      </c>
      <c r="F46" s="16">
        <f t="shared" si="4"/>
        <v>5.67</v>
      </c>
      <c r="G46" s="17">
        <f>F46/B2</f>
        <v>0.378</v>
      </c>
      <c r="H46" s="15">
        <f t="shared" si="5"/>
        <v>6.15</v>
      </c>
      <c r="I46" s="14">
        <f>H46/B3</f>
        <v>0.41</v>
      </c>
      <c r="J46" s="2">
        <v>0.0</v>
      </c>
      <c r="K46" s="2">
        <v>0.0</v>
      </c>
      <c r="L46" s="2">
        <v>0.0</v>
      </c>
      <c r="M46" s="7"/>
      <c r="N46" s="7"/>
    </row>
    <row r="47">
      <c r="A47" s="12">
        <v>45432.0</v>
      </c>
      <c r="B47" s="6" t="s">
        <v>28</v>
      </c>
      <c r="C47" s="2">
        <v>0.72</v>
      </c>
      <c r="D47" s="16">
        <f t="shared" si="3"/>
        <v>7.31</v>
      </c>
      <c r="E47" s="17">
        <f>D47/B1</f>
        <v>0.4873333333</v>
      </c>
      <c r="F47" s="16">
        <f t="shared" si="4"/>
        <v>5.67</v>
      </c>
      <c r="G47" s="17">
        <f>F47/B2</f>
        <v>0.378</v>
      </c>
      <c r="H47" s="15">
        <f t="shared" si="5"/>
        <v>5.43</v>
      </c>
      <c r="I47" s="14">
        <f>H47/B3</f>
        <v>0.362</v>
      </c>
      <c r="J47" s="2">
        <v>0.0</v>
      </c>
      <c r="K47" s="2">
        <v>0.0</v>
      </c>
      <c r="L47" s="2">
        <v>0.0</v>
      </c>
      <c r="M47" s="7"/>
      <c r="N47" s="7"/>
    </row>
    <row r="48">
      <c r="A48" s="12">
        <v>45433.0</v>
      </c>
      <c r="B48" s="6" t="s">
        <v>17</v>
      </c>
      <c r="C48" s="2">
        <v>0.59</v>
      </c>
      <c r="D48" s="16">
        <f t="shared" si="3"/>
        <v>6.72</v>
      </c>
      <c r="E48" s="17">
        <f>D48/B1</f>
        <v>0.448</v>
      </c>
      <c r="F48" s="16">
        <f t="shared" si="4"/>
        <v>5.67</v>
      </c>
      <c r="G48" s="17">
        <f>F48/B2</f>
        <v>0.378</v>
      </c>
      <c r="H48" s="15">
        <f t="shared" si="5"/>
        <v>5.43</v>
      </c>
      <c r="I48" s="14">
        <f>H48/B3</f>
        <v>0.362</v>
      </c>
      <c r="J48" s="2">
        <v>0.0</v>
      </c>
      <c r="K48" s="2">
        <v>0.0</v>
      </c>
      <c r="L48" s="2">
        <v>0.0</v>
      </c>
      <c r="M48" s="7"/>
      <c r="N48" s="7"/>
    </row>
    <row r="49">
      <c r="A49" s="12">
        <v>45433.0</v>
      </c>
      <c r="B49" s="6" t="s">
        <v>27</v>
      </c>
      <c r="C49" s="2">
        <v>0.74</v>
      </c>
      <c r="D49" s="16">
        <f t="shared" si="3"/>
        <v>6.72</v>
      </c>
      <c r="E49" s="17">
        <f>D49/B1</f>
        <v>0.448</v>
      </c>
      <c r="F49" s="16">
        <f t="shared" si="4"/>
        <v>4.93</v>
      </c>
      <c r="G49" s="17">
        <f>F49/B2</f>
        <v>0.3286666667</v>
      </c>
      <c r="H49" s="15">
        <f t="shared" si="5"/>
        <v>5.43</v>
      </c>
      <c r="I49" s="14">
        <f>H49/B3</f>
        <v>0.362</v>
      </c>
      <c r="J49" s="2">
        <v>0.0</v>
      </c>
      <c r="K49" s="2">
        <v>0.0</v>
      </c>
      <c r="L49" s="2">
        <v>0.0</v>
      </c>
      <c r="M49" s="7"/>
      <c r="N49" s="7"/>
    </row>
    <row r="50">
      <c r="A50" s="12">
        <v>45433.0</v>
      </c>
      <c r="B50" s="6" t="s">
        <v>28</v>
      </c>
      <c r="C50" s="2">
        <v>0.72</v>
      </c>
      <c r="D50" s="16">
        <f t="shared" si="3"/>
        <v>6.72</v>
      </c>
      <c r="E50" s="17">
        <f>D50/B1</f>
        <v>0.448</v>
      </c>
      <c r="F50" s="16">
        <f t="shared" si="4"/>
        <v>4.93</v>
      </c>
      <c r="G50" s="17">
        <f>F50/B2</f>
        <v>0.3286666667</v>
      </c>
      <c r="H50" s="15">
        <f t="shared" si="5"/>
        <v>4.71</v>
      </c>
      <c r="I50" s="14">
        <f>H50/B3</f>
        <v>0.314</v>
      </c>
      <c r="J50" s="2">
        <v>0.0</v>
      </c>
      <c r="K50" s="2">
        <v>0.0</v>
      </c>
      <c r="L50" s="2">
        <v>0.0</v>
      </c>
      <c r="M50" s="7"/>
      <c r="N50" s="7"/>
    </row>
    <row r="51">
      <c r="A51" s="12">
        <v>45434.0</v>
      </c>
      <c r="B51" s="6" t="s">
        <v>17</v>
      </c>
      <c r="C51" s="2">
        <v>0.74</v>
      </c>
      <c r="D51" s="16">
        <f t="shared" si="3"/>
        <v>5.98</v>
      </c>
      <c r="E51" s="17">
        <f>D51/B1</f>
        <v>0.3986666667</v>
      </c>
      <c r="F51" s="16">
        <f t="shared" si="4"/>
        <v>4.93</v>
      </c>
      <c r="G51" s="17">
        <f>F51/B2</f>
        <v>0.3286666667</v>
      </c>
      <c r="H51" s="15">
        <f t="shared" si="5"/>
        <v>4.71</v>
      </c>
      <c r="I51" s="14">
        <f>H51/B3</f>
        <v>0.314</v>
      </c>
      <c r="J51" s="2">
        <v>0.0</v>
      </c>
      <c r="K51" s="2">
        <v>0.0</v>
      </c>
      <c r="L51" s="2">
        <v>0.0</v>
      </c>
      <c r="M51" s="7"/>
      <c r="N51" s="7"/>
    </row>
    <row r="52">
      <c r="A52" s="12">
        <v>45434.0</v>
      </c>
      <c r="B52" s="6" t="s">
        <v>27</v>
      </c>
      <c r="C52" s="2">
        <v>0.71</v>
      </c>
      <c r="D52" s="16">
        <f t="shared" si="3"/>
        <v>5.98</v>
      </c>
      <c r="E52" s="17">
        <f>D52/B1</f>
        <v>0.3986666667</v>
      </c>
      <c r="F52" s="16">
        <f t="shared" si="4"/>
        <v>4.22</v>
      </c>
      <c r="G52" s="17">
        <f>F52/B2</f>
        <v>0.2813333333</v>
      </c>
      <c r="H52" s="15">
        <f t="shared" si="5"/>
        <v>4.71</v>
      </c>
      <c r="I52" s="14">
        <f>H52/B3</f>
        <v>0.314</v>
      </c>
      <c r="J52" s="2">
        <v>0.0</v>
      </c>
      <c r="K52" s="2">
        <v>0.0</v>
      </c>
      <c r="L52" s="2">
        <v>0.0</v>
      </c>
      <c r="M52" s="7"/>
      <c r="N52" s="7"/>
    </row>
    <row r="53">
      <c r="A53" s="12">
        <v>45434.0</v>
      </c>
      <c r="B53" s="6" t="s">
        <v>28</v>
      </c>
      <c r="C53" s="2">
        <v>0.69</v>
      </c>
      <c r="D53" s="16">
        <f t="shared" si="3"/>
        <v>5.98</v>
      </c>
      <c r="E53" s="17">
        <f>D53/B1</f>
        <v>0.3986666667</v>
      </c>
      <c r="F53" s="16">
        <f t="shared" si="4"/>
        <v>4.22</v>
      </c>
      <c r="G53" s="17">
        <f>F53/B2</f>
        <v>0.2813333333</v>
      </c>
      <c r="H53" s="15">
        <f t="shared" si="5"/>
        <v>4.02</v>
      </c>
      <c r="I53" s="14">
        <f>H53/B3</f>
        <v>0.268</v>
      </c>
      <c r="J53" s="2">
        <v>0.0</v>
      </c>
      <c r="K53" s="2">
        <v>0.0</v>
      </c>
      <c r="L53" s="2">
        <v>0.0</v>
      </c>
      <c r="M53" s="7"/>
      <c r="N53" s="7"/>
    </row>
    <row r="54">
      <c r="A54" s="12">
        <v>45435.0</v>
      </c>
      <c r="B54" s="6" t="s">
        <v>17</v>
      </c>
      <c r="C54" s="2">
        <v>0.98</v>
      </c>
      <c r="D54" s="16">
        <f t="shared" si="3"/>
        <v>5</v>
      </c>
      <c r="E54" s="17">
        <f>D54/B1</f>
        <v>0.3333333333</v>
      </c>
      <c r="F54" s="16">
        <f t="shared" si="4"/>
        <v>4.22</v>
      </c>
      <c r="G54" s="17">
        <f>F54/B2</f>
        <v>0.2813333333</v>
      </c>
      <c r="H54" s="15">
        <f t="shared" si="5"/>
        <v>4.02</v>
      </c>
      <c r="I54" s="14">
        <f>H54/B3</f>
        <v>0.268</v>
      </c>
      <c r="J54" s="2">
        <v>0.0</v>
      </c>
      <c r="K54" s="2">
        <v>0.0</v>
      </c>
      <c r="L54" s="2">
        <v>0.0</v>
      </c>
      <c r="M54" s="7"/>
      <c r="N54" s="7"/>
    </row>
    <row r="55">
      <c r="A55" s="12">
        <v>45435.0</v>
      </c>
      <c r="B55" s="6" t="s">
        <v>27</v>
      </c>
      <c r="C55" s="2">
        <v>0.62</v>
      </c>
      <c r="D55" s="16">
        <f t="shared" si="3"/>
        <v>5</v>
      </c>
      <c r="E55" s="17">
        <f>D55/B1</f>
        <v>0.3333333333</v>
      </c>
      <c r="F55" s="16">
        <f t="shared" si="4"/>
        <v>3.6</v>
      </c>
      <c r="G55" s="17">
        <f>F55/B2</f>
        <v>0.24</v>
      </c>
      <c r="H55" s="15">
        <f t="shared" si="5"/>
        <v>4.02</v>
      </c>
      <c r="I55" s="14">
        <f>H55/B3</f>
        <v>0.268</v>
      </c>
      <c r="J55" s="2">
        <v>0.0</v>
      </c>
      <c r="K55" s="2">
        <v>0.0</v>
      </c>
      <c r="L55" s="2">
        <v>0.0</v>
      </c>
      <c r="M55" s="7"/>
      <c r="N55" s="7"/>
    </row>
    <row r="56">
      <c r="A56" s="12">
        <v>45435.0</v>
      </c>
      <c r="B56" s="6" t="s">
        <v>28</v>
      </c>
      <c r="C56" s="2">
        <v>0.96</v>
      </c>
      <c r="D56" s="16">
        <f t="shared" si="3"/>
        <v>5</v>
      </c>
      <c r="E56" s="17">
        <f>D56/B1</f>
        <v>0.3333333333</v>
      </c>
      <c r="F56" s="16">
        <f t="shared" si="4"/>
        <v>3.6</v>
      </c>
      <c r="G56" s="17">
        <f>F56/B2</f>
        <v>0.24</v>
      </c>
      <c r="H56" s="15">
        <f t="shared" si="5"/>
        <v>3.06</v>
      </c>
      <c r="I56" s="14">
        <f>H56/B3</f>
        <v>0.204</v>
      </c>
      <c r="J56" s="2">
        <v>0.0</v>
      </c>
      <c r="K56" s="2">
        <v>0.0</v>
      </c>
      <c r="L56" s="2">
        <v>0.0</v>
      </c>
      <c r="M56" s="7"/>
      <c r="N56" s="7"/>
    </row>
    <row r="57">
      <c r="A57" s="12">
        <v>45436.0</v>
      </c>
      <c r="B57" s="6" t="s">
        <v>17</v>
      </c>
      <c r="C57" s="2">
        <v>0.62</v>
      </c>
      <c r="D57" s="16">
        <f t="shared" si="3"/>
        <v>4.38</v>
      </c>
      <c r="E57" s="17">
        <f>D57/B1</f>
        <v>0.292</v>
      </c>
      <c r="F57" s="16">
        <f t="shared" si="4"/>
        <v>3.6</v>
      </c>
      <c r="G57" s="17">
        <f>F57/B2</f>
        <v>0.24</v>
      </c>
      <c r="H57" s="15">
        <f t="shared" si="5"/>
        <v>3.06</v>
      </c>
      <c r="I57" s="14">
        <f>H57/B3</f>
        <v>0.204</v>
      </c>
      <c r="J57" s="2">
        <v>0.0</v>
      </c>
      <c r="K57" s="2">
        <v>0.0</v>
      </c>
      <c r="L57" s="2">
        <v>0.0</v>
      </c>
      <c r="M57" s="7"/>
      <c r="N57" s="7"/>
    </row>
    <row r="58">
      <c r="A58" s="12">
        <v>45436.0</v>
      </c>
      <c r="B58" s="6" t="s">
        <v>27</v>
      </c>
      <c r="C58" s="2">
        <v>0.69</v>
      </c>
      <c r="D58" s="16">
        <f t="shared" si="3"/>
        <v>4.38</v>
      </c>
      <c r="E58" s="17">
        <f>D58/B1</f>
        <v>0.292</v>
      </c>
      <c r="F58" s="16">
        <f t="shared" si="4"/>
        <v>2.91</v>
      </c>
      <c r="G58" s="17">
        <f>F58/B2</f>
        <v>0.194</v>
      </c>
      <c r="H58" s="15">
        <f t="shared" si="5"/>
        <v>3.06</v>
      </c>
      <c r="I58" s="14">
        <f>H58/B3</f>
        <v>0.204</v>
      </c>
      <c r="J58" s="2">
        <v>0.0</v>
      </c>
      <c r="K58" s="2">
        <v>0.0</v>
      </c>
      <c r="L58" s="2">
        <v>0.0</v>
      </c>
      <c r="M58" s="7"/>
      <c r="N58" s="7"/>
    </row>
    <row r="59">
      <c r="A59" s="12">
        <v>45436.0</v>
      </c>
      <c r="B59" s="6" t="s">
        <v>28</v>
      </c>
      <c r="C59" s="2">
        <v>0.71</v>
      </c>
      <c r="D59" s="16">
        <f t="shared" si="3"/>
        <v>4.38</v>
      </c>
      <c r="E59" s="17">
        <f>D59/B1</f>
        <v>0.292</v>
      </c>
      <c r="F59" s="16">
        <f t="shared" si="4"/>
        <v>2.91</v>
      </c>
      <c r="G59" s="17">
        <f>F59/B2</f>
        <v>0.194</v>
      </c>
      <c r="H59" s="15">
        <f t="shared" si="5"/>
        <v>2.35</v>
      </c>
      <c r="I59" s="14">
        <f>H59/B3</f>
        <v>0.1566666667</v>
      </c>
      <c r="J59" s="2">
        <v>0.0</v>
      </c>
      <c r="K59" s="2">
        <v>0.0</v>
      </c>
      <c r="L59" s="2">
        <v>0.0</v>
      </c>
    </row>
    <row r="60">
      <c r="A60" s="12">
        <v>45437.0</v>
      </c>
      <c r="B60" s="6" t="s">
        <v>17</v>
      </c>
      <c r="C60" s="2">
        <v>0.69</v>
      </c>
      <c r="D60" s="16">
        <f t="shared" si="3"/>
        <v>3.69</v>
      </c>
      <c r="E60" s="17">
        <f>D60/B1</f>
        <v>0.246</v>
      </c>
      <c r="F60" s="16">
        <f t="shared" si="4"/>
        <v>2.91</v>
      </c>
      <c r="G60" s="17">
        <f>F60/B2</f>
        <v>0.194</v>
      </c>
      <c r="H60" s="15">
        <f t="shared" si="5"/>
        <v>2.35</v>
      </c>
      <c r="I60" s="14">
        <f>H60/B3</f>
        <v>0.1566666667</v>
      </c>
      <c r="J60" s="2">
        <v>0.0</v>
      </c>
      <c r="K60" s="2">
        <v>0.0</v>
      </c>
      <c r="L60" s="2">
        <v>0.0</v>
      </c>
    </row>
    <row r="61">
      <c r="A61" s="12">
        <v>45437.0</v>
      </c>
      <c r="B61" s="6" t="s">
        <v>27</v>
      </c>
      <c r="C61" s="2">
        <v>0.68</v>
      </c>
      <c r="D61" s="16">
        <f t="shared" si="3"/>
        <v>3.69</v>
      </c>
      <c r="E61" s="17">
        <f>D61/B1</f>
        <v>0.246</v>
      </c>
      <c r="F61" s="16">
        <f t="shared" si="4"/>
        <v>2.23</v>
      </c>
      <c r="G61" s="17">
        <f>F61/B2</f>
        <v>0.1486666667</v>
      </c>
      <c r="H61" s="15">
        <f t="shared" si="5"/>
        <v>2.35</v>
      </c>
      <c r="I61" s="14">
        <f>H61/B3</f>
        <v>0.1566666667</v>
      </c>
      <c r="J61" s="2">
        <v>0.0</v>
      </c>
      <c r="K61" s="2">
        <v>0.0</v>
      </c>
      <c r="L61" s="2">
        <v>0.0</v>
      </c>
    </row>
    <row r="62">
      <c r="A62" s="12">
        <v>45437.0</v>
      </c>
      <c r="B62" s="6" t="s">
        <v>28</v>
      </c>
      <c r="C62" s="2">
        <v>0.69</v>
      </c>
      <c r="D62" s="16">
        <f t="shared" si="3"/>
        <v>3.69</v>
      </c>
      <c r="E62" s="17">
        <f>D62/B1</f>
        <v>0.246</v>
      </c>
      <c r="F62" s="16">
        <f t="shared" si="4"/>
        <v>2.23</v>
      </c>
      <c r="G62" s="17">
        <f>F62/B2</f>
        <v>0.1486666667</v>
      </c>
      <c r="H62" s="15">
        <f t="shared" si="5"/>
        <v>1.66</v>
      </c>
      <c r="I62" s="14">
        <f>H62/B3</f>
        <v>0.1106666667</v>
      </c>
      <c r="J62" s="2">
        <v>0.0</v>
      </c>
      <c r="K62" s="2">
        <v>0.0</v>
      </c>
      <c r="L62" s="2">
        <v>0.0</v>
      </c>
    </row>
    <row r="63">
      <c r="A63" s="12">
        <v>45438.0</v>
      </c>
      <c r="B63" s="6" t="s">
        <v>17</v>
      </c>
      <c r="C63" s="2">
        <v>0.0</v>
      </c>
      <c r="D63" s="16">
        <f t="shared" si="3"/>
        <v>3.69</v>
      </c>
      <c r="E63" s="17">
        <f>D63/B1</f>
        <v>0.246</v>
      </c>
      <c r="F63" s="16">
        <f t="shared" si="4"/>
        <v>2.23</v>
      </c>
      <c r="G63" s="17">
        <f>F63/B2</f>
        <v>0.1486666667</v>
      </c>
      <c r="H63" s="15">
        <f t="shared" si="5"/>
        <v>1.66</v>
      </c>
      <c r="I63" s="14">
        <f>H63/B3</f>
        <v>0.1106666667</v>
      </c>
      <c r="J63" s="2">
        <v>0.0</v>
      </c>
      <c r="K63" s="2">
        <v>0.0</v>
      </c>
      <c r="L63" s="2">
        <v>0.0</v>
      </c>
    </row>
    <row r="64">
      <c r="A64" s="12">
        <v>45438.0</v>
      </c>
      <c r="B64" s="6" t="s">
        <v>27</v>
      </c>
      <c r="C64" s="2">
        <v>0.68</v>
      </c>
      <c r="D64" s="16">
        <f t="shared" si="3"/>
        <v>3.69</v>
      </c>
      <c r="E64" s="17">
        <f>D64/B1</f>
        <v>0.246</v>
      </c>
      <c r="F64" s="16">
        <f t="shared" si="4"/>
        <v>1.55</v>
      </c>
      <c r="G64" s="17">
        <f>F64/B2</f>
        <v>0.1033333333</v>
      </c>
      <c r="H64" s="15">
        <f t="shared" si="5"/>
        <v>1.66</v>
      </c>
      <c r="I64" s="14">
        <f>H64/B3</f>
        <v>0.1106666667</v>
      </c>
      <c r="J64" s="2">
        <v>0.0</v>
      </c>
      <c r="K64" s="2">
        <v>0.0</v>
      </c>
      <c r="L64" s="2">
        <v>0.0</v>
      </c>
    </row>
    <row r="65">
      <c r="A65" s="12">
        <v>45438.0</v>
      </c>
      <c r="B65" s="6" t="s">
        <v>28</v>
      </c>
      <c r="C65" s="2">
        <v>0.69</v>
      </c>
      <c r="D65" s="16">
        <f t="shared" si="3"/>
        <v>3.69</v>
      </c>
      <c r="E65" s="17">
        <f>D65/B1</f>
        <v>0.246</v>
      </c>
      <c r="F65" s="16">
        <f t="shared" si="4"/>
        <v>1.55</v>
      </c>
      <c r="G65" s="17">
        <f>F65/B2</f>
        <v>0.1033333333</v>
      </c>
      <c r="H65" s="15">
        <f t="shared" si="5"/>
        <v>0.97</v>
      </c>
      <c r="I65" s="14">
        <f>H65/B3</f>
        <v>0.06466666667</v>
      </c>
      <c r="J65" s="2">
        <v>0.0</v>
      </c>
      <c r="K65" s="2">
        <v>0.0</v>
      </c>
      <c r="L65" s="2">
        <v>0.0</v>
      </c>
    </row>
    <row r="66">
      <c r="A66" s="12">
        <v>45439.0</v>
      </c>
      <c r="B66" s="6" t="s">
        <v>17</v>
      </c>
      <c r="C66" s="2">
        <v>0.75</v>
      </c>
      <c r="D66" s="16">
        <f t="shared" si="3"/>
        <v>2.94</v>
      </c>
      <c r="E66" s="17">
        <f>D66/B1</f>
        <v>0.196</v>
      </c>
      <c r="F66" s="16">
        <f t="shared" si="4"/>
        <v>1.55</v>
      </c>
      <c r="G66" s="17">
        <f>F66/B2</f>
        <v>0.1033333333</v>
      </c>
      <c r="H66" s="15">
        <f t="shared" si="5"/>
        <v>0.97</v>
      </c>
      <c r="I66" s="14">
        <f>H66/B3</f>
        <v>0.06466666667</v>
      </c>
      <c r="J66" s="2">
        <v>0.0</v>
      </c>
      <c r="K66" s="2">
        <v>0.0</v>
      </c>
      <c r="L66" s="2">
        <v>0.0</v>
      </c>
    </row>
    <row r="67">
      <c r="A67" s="12">
        <v>45439.0</v>
      </c>
      <c r="B67" s="6" t="s">
        <v>27</v>
      </c>
      <c r="C67" s="2">
        <v>0.76</v>
      </c>
      <c r="D67" s="16">
        <f t="shared" si="3"/>
        <v>2.94</v>
      </c>
      <c r="E67" s="17">
        <f>D67/B1</f>
        <v>0.196</v>
      </c>
      <c r="F67" s="16">
        <f t="shared" si="4"/>
        <v>0.79</v>
      </c>
      <c r="G67" s="17">
        <f>F67/B2</f>
        <v>0.05266666667</v>
      </c>
      <c r="H67" s="15">
        <f t="shared" si="5"/>
        <v>0.97</v>
      </c>
      <c r="I67" s="14">
        <f>H67/B3</f>
        <v>0.06466666667</v>
      </c>
      <c r="J67" s="2">
        <v>0.0</v>
      </c>
      <c r="K67" s="2">
        <v>0.0</v>
      </c>
      <c r="L67" s="2">
        <v>0.0</v>
      </c>
    </row>
    <row r="68">
      <c r="A68" s="12">
        <v>45439.0</v>
      </c>
      <c r="B68" s="6" t="s">
        <v>28</v>
      </c>
      <c r="C68" s="2">
        <v>0.74</v>
      </c>
      <c r="D68" s="16">
        <f t="shared" si="3"/>
        <v>2.94</v>
      </c>
      <c r="E68" s="17">
        <f>D68/B1</f>
        <v>0.196</v>
      </c>
      <c r="F68" s="16">
        <f t="shared" si="4"/>
        <v>0.79</v>
      </c>
      <c r="G68" s="17">
        <f>F68/B2</f>
        <v>0.05266666667</v>
      </c>
      <c r="H68" s="15">
        <f t="shared" si="5"/>
        <v>0.23</v>
      </c>
      <c r="I68" s="14">
        <f>H68/B3</f>
        <v>0.01533333333</v>
      </c>
      <c r="J68" s="2">
        <v>0.0</v>
      </c>
      <c r="K68" s="2">
        <v>0.0</v>
      </c>
      <c r="L68" s="2">
        <v>0.0</v>
      </c>
    </row>
    <row r="69">
      <c r="A69" s="12">
        <v>45440.0</v>
      </c>
      <c r="B69" s="6" t="s">
        <v>17</v>
      </c>
      <c r="C69" s="2">
        <v>0.66</v>
      </c>
      <c r="D69" s="16">
        <f t="shared" si="3"/>
        <v>2.28</v>
      </c>
      <c r="E69" s="17">
        <f>D69/B1</f>
        <v>0.152</v>
      </c>
      <c r="F69" s="16">
        <f t="shared" si="4"/>
        <v>0.79</v>
      </c>
      <c r="G69" s="17">
        <f>F69/B2</f>
        <v>0.05266666667</v>
      </c>
      <c r="H69" s="15">
        <f t="shared" si="5"/>
        <v>0.23</v>
      </c>
      <c r="I69" s="14">
        <f>H69/B3</f>
        <v>0.01533333333</v>
      </c>
      <c r="J69" s="2">
        <v>0.0</v>
      </c>
      <c r="K69" s="2">
        <v>0.0</v>
      </c>
      <c r="L69" s="2">
        <v>0.0</v>
      </c>
    </row>
    <row r="70">
      <c r="A70" s="12">
        <v>45440.0</v>
      </c>
      <c r="B70" s="6" t="s">
        <v>27</v>
      </c>
      <c r="C70" s="2">
        <v>0.79</v>
      </c>
      <c r="D70" s="16">
        <f t="shared" si="3"/>
        <v>2.28</v>
      </c>
      <c r="E70" s="17">
        <f>D70/B1</f>
        <v>0.152</v>
      </c>
      <c r="F70" s="16">
        <f t="shared" si="4"/>
        <v>0</v>
      </c>
      <c r="G70" s="17">
        <f>F70/B2</f>
        <v>0</v>
      </c>
      <c r="H70" s="15">
        <f t="shared" si="5"/>
        <v>0.23</v>
      </c>
      <c r="I70" s="14">
        <f>H70/B3</f>
        <v>0.01533333333</v>
      </c>
      <c r="J70" s="2">
        <v>0.0</v>
      </c>
      <c r="K70" s="2">
        <v>0.0</v>
      </c>
      <c r="L70" s="2">
        <v>0.0</v>
      </c>
    </row>
    <row r="71">
      <c r="A71" s="12">
        <v>45440.0</v>
      </c>
      <c r="B71" s="6" t="s">
        <v>28</v>
      </c>
      <c r="C71" s="2">
        <v>0.23</v>
      </c>
      <c r="D71" s="16">
        <f t="shared" si="3"/>
        <v>2.28</v>
      </c>
      <c r="E71" s="17">
        <f>D71/B1</f>
        <v>0.152</v>
      </c>
      <c r="F71" s="16">
        <f t="shared" si="4"/>
        <v>0</v>
      </c>
      <c r="G71" s="17">
        <f>F71/B2</f>
        <v>0</v>
      </c>
      <c r="H71" s="15">
        <f t="shared" si="5"/>
        <v>0</v>
      </c>
      <c r="I71" s="14">
        <f>H71/B3</f>
        <v>0</v>
      </c>
      <c r="J71" s="2">
        <v>0.0</v>
      </c>
      <c r="K71" s="2">
        <v>0.0</v>
      </c>
      <c r="L71" s="2">
        <v>0.0</v>
      </c>
    </row>
    <row r="72">
      <c r="A72" s="12">
        <v>45441.0</v>
      </c>
      <c r="B72" s="6" t="s">
        <v>17</v>
      </c>
      <c r="C72" s="2">
        <v>0.83</v>
      </c>
      <c r="D72" s="16">
        <f t="shared" si="3"/>
        <v>1.45</v>
      </c>
      <c r="E72" s="17">
        <f>D72/B1</f>
        <v>0.09666666667</v>
      </c>
      <c r="F72" s="16">
        <f t="shared" si="4"/>
        <v>0</v>
      </c>
      <c r="G72" s="17">
        <f>F72/B2</f>
        <v>0</v>
      </c>
      <c r="H72" s="15">
        <f t="shared" si="5"/>
        <v>0</v>
      </c>
      <c r="I72" s="14">
        <f>H72/B3</f>
        <v>0</v>
      </c>
      <c r="J72" s="2">
        <v>0.0</v>
      </c>
      <c r="K72" s="2">
        <v>0.0</v>
      </c>
      <c r="L72" s="2">
        <v>0.0</v>
      </c>
    </row>
    <row r="73">
      <c r="A73" s="12">
        <v>45441.0</v>
      </c>
      <c r="B73" s="6" t="s">
        <v>27</v>
      </c>
      <c r="C73" s="2">
        <v>0.0</v>
      </c>
      <c r="D73" s="16">
        <f t="shared" si="3"/>
        <v>1.45</v>
      </c>
      <c r="E73" s="17">
        <f>D73/B1</f>
        <v>0.09666666667</v>
      </c>
      <c r="F73" s="16">
        <f t="shared" si="4"/>
        <v>0</v>
      </c>
      <c r="G73" s="17">
        <f>F73/B2</f>
        <v>0</v>
      </c>
      <c r="H73" s="15">
        <f t="shared" si="5"/>
        <v>0</v>
      </c>
      <c r="I73" s="14">
        <f>H73/B3</f>
        <v>0</v>
      </c>
      <c r="J73" s="2">
        <v>0.0</v>
      </c>
      <c r="K73" s="2">
        <v>0.0</v>
      </c>
      <c r="L73" s="2">
        <v>0.0</v>
      </c>
    </row>
    <row r="74">
      <c r="A74" s="12">
        <v>45441.0</v>
      </c>
      <c r="B74" s="6" t="s">
        <v>28</v>
      </c>
      <c r="C74" s="2">
        <v>0.0</v>
      </c>
      <c r="D74" s="16">
        <f t="shared" si="3"/>
        <v>1.45</v>
      </c>
      <c r="E74" s="17">
        <f>D74/B1</f>
        <v>0.09666666667</v>
      </c>
      <c r="F74" s="16">
        <f t="shared" si="4"/>
        <v>0</v>
      </c>
      <c r="G74" s="17">
        <f>F74/B2</f>
        <v>0</v>
      </c>
      <c r="H74" s="15">
        <f t="shared" si="5"/>
        <v>0</v>
      </c>
      <c r="I74" s="14">
        <f>H74/B3</f>
        <v>0</v>
      </c>
      <c r="J74" s="2">
        <v>0.0</v>
      </c>
      <c r="K74" s="2">
        <v>0.0</v>
      </c>
      <c r="L74" s="2">
        <v>0.0</v>
      </c>
    </row>
    <row r="75">
      <c r="A75" s="12">
        <v>45442.0</v>
      </c>
      <c r="B75" s="6" t="s">
        <v>17</v>
      </c>
      <c r="C75" s="2">
        <v>0.76</v>
      </c>
      <c r="D75" s="16">
        <f t="shared" si="3"/>
        <v>0.69</v>
      </c>
      <c r="E75" s="17">
        <f>D75/B1</f>
        <v>0.046</v>
      </c>
      <c r="F75" s="16">
        <f t="shared" si="4"/>
        <v>0</v>
      </c>
      <c r="G75" s="17">
        <f>F75/B2</f>
        <v>0</v>
      </c>
      <c r="H75" s="15">
        <f t="shared" si="5"/>
        <v>0</v>
      </c>
      <c r="I75" s="14">
        <f>H75/B3</f>
        <v>0</v>
      </c>
      <c r="J75" s="2">
        <v>0.0</v>
      </c>
      <c r="K75" s="2">
        <v>0.0</v>
      </c>
      <c r="L75" s="2">
        <v>0.0</v>
      </c>
    </row>
    <row r="76">
      <c r="A76" s="12">
        <v>45442.0</v>
      </c>
      <c r="B76" s="6" t="s">
        <v>27</v>
      </c>
      <c r="C76" s="2">
        <v>0.0</v>
      </c>
      <c r="D76" s="16">
        <f t="shared" si="3"/>
        <v>0.69</v>
      </c>
      <c r="E76" s="17">
        <f>D76/B1</f>
        <v>0.046</v>
      </c>
      <c r="F76" s="16">
        <f t="shared" si="4"/>
        <v>0</v>
      </c>
      <c r="G76" s="17">
        <f>F76/B2</f>
        <v>0</v>
      </c>
      <c r="H76" s="15">
        <f t="shared" si="5"/>
        <v>0</v>
      </c>
      <c r="I76" s="14">
        <f>H76/B3</f>
        <v>0</v>
      </c>
      <c r="J76" s="2">
        <v>0.0</v>
      </c>
      <c r="K76" s="2">
        <v>0.0</v>
      </c>
      <c r="L76" s="2">
        <v>0.0</v>
      </c>
    </row>
    <row r="77">
      <c r="A77" s="12">
        <v>45442.0</v>
      </c>
      <c r="B77" s="6" t="s">
        <v>28</v>
      </c>
      <c r="C77" s="2">
        <v>0.0</v>
      </c>
      <c r="D77" s="16">
        <f t="shared" si="3"/>
        <v>0.69</v>
      </c>
      <c r="E77" s="17">
        <f>D77/B1</f>
        <v>0.046</v>
      </c>
      <c r="F77" s="16">
        <f t="shared" si="4"/>
        <v>0</v>
      </c>
      <c r="G77" s="17">
        <f>F77/B2</f>
        <v>0</v>
      </c>
      <c r="H77" s="15">
        <f t="shared" si="5"/>
        <v>0</v>
      </c>
      <c r="I77" s="14">
        <f>H77/B3</f>
        <v>0</v>
      </c>
      <c r="J77" s="2">
        <v>0.0</v>
      </c>
      <c r="K77" s="2">
        <v>0.0</v>
      </c>
      <c r="L77" s="2">
        <v>0.0</v>
      </c>
    </row>
    <row r="78">
      <c r="A78" s="12">
        <v>45443.0</v>
      </c>
      <c r="B78" s="6" t="s">
        <v>17</v>
      </c>
      <c r="C78" s="2">
        <v>0.69</v>
      </c>
      <c r="D78" s="16">
        <f t="shared" si="3"/>
        <v>0</v>
      </c>
      <c r="E78" s="17">
        <f>D78/B1</f>
        <v>0</v>
      </c>
      <c r="F78" s="16">
        <f t="shared" si="4"/>
        <v>0</v>
      </c>
      <c r="G78" s="17">
        <f>F78/B2</f>
        <v>0</v>
      </c>
      <c r="H78" s="15">
        <f t="shared" si="5"/>
        <v>0</v>
      </c>
      <c r="I78" s="14">
        <f>H78/B3</f>
        <v>0</v>
      </c>
      <c r="J78" s="2">
        <v>0.0</v>
      </c>
      <c r="K78" s="2">
        <v>0.0</v>
      </c>
      <c r="L78" s="2">
        <v>0.0</v>
      </c>
    </row>
    <row r="79">
      <c r="A79" s="12">
        <v>45443.0</v>
      </c>
      <c r="B79" s="6" t="s">
        <v>27</v>
      </c>
      <c r="C79" s="2">
        <v>0.0</v>
      </c>
      <c r="D79" s="16">
        <f t="shared" si="3"/>
        <v>0</v>
      </c>
      <c r="E79" s="17">
        <f>D79/B1</f>
        <v>0</v>
      </c>
      <c r="F79" s="16">
        <f t="shared" si="4"/>
        <v>0</v>
      </c>
      <c r="G79" s="17">
        <f>F79/B2</f>
        <v>0</v>
      </c>
      <c r="H79" s="15">
        <f t="shared" si="5"/>
        <v>0</v>
      </c>
      <c r="I79" s="14">
        <f>H79/B3</f>
        <v>0</v>
      </c>
      <c r="J79" s="2">
        <v>0.0</v>
      </c>
      <c r="K79" s="2">
        <v>0.0</v>
      </c>
      <c r="L79" s="2">
        <v>0.0</v>
      </c>
    </row>
    <row r="80">
      <c r="A80" s="12">
        <v>45443.0</v>
      </c>
      <c r="B80" s="6" t="s">
        <v>28</v>
      </c>
      <c r="C80" s="2">
        <v>0.0</v>
      </c>
      <c r="D80" s="16">
        <f t="shared" si="3"/>
        <v>0</v>
      </c>
      <c r="E80" s="17">
        <f>D80/B1</f>
        <v>0</v>
      </c>
      <c r="F80" s="16">
        <f t="shared" si="4"/>
        <v>0</v>
      </c>
      <c r="G80" s="17">
        <f>F80/B2</f>
        <v>0</v>
      </c>
      <c r="H80" s="15">
        <f t="shared" si="5"/>
        <v>0</v>
      </c>
      <c r="I80" s="14">
        <f>H80/B3</f>
        <v>0</v>
      </c>
      <c r="J80" s="2">
        <v>0.0</v>
      </c>
      <c r="K80" s="2">
        <v>0.0</v>
      </c>
      <c r="L80" s="2">
        <v>0.0</v>
      </c>
    </row>
  </sheetData>
  <dataValidations>
    <dataValidation type="list" allowBlank="1" showErrorMessage="1" sqref="B6:B80">
      <formula1>"Hindu Kush,Ghost Train Haze,Frozen Lemon Mints"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46.0"/>
    <col customWidth="1" min="2" max="2" width="22.63"/>
    <col customWidth="1" min="3" max="3" width="10.25"/>
    <col customWidth="1" min="4" max="4" width="17.0"/>
    <col customWidth="1" min="5" max="5" width="15.0"/>
    <col customWidth="1" min="6" max="6" width="17.0"/>
    <col customWidth="1" min="7" max="7" width="16.13"/>
    <col customWidth="1" min="8" max="9" width="16.38"/>
    <col customWidth="1" min="10" max="10" width="12.63"/>
    <col customWidth="1" min="11" max="11" width="14.88"/>
    <col customWidth="1" min="12" max="12" width="13.0"/>
  </cols>
  <sheetData>
    <row r="1">
      <c r="A1" s="1" t="s">
        <v>29</v>
      </c>
      <c r="B1" s="2">
        <v>15.0</v>
      </c>
      <c r="C1" s="4">
        <f>D92</f>
        <v>0</v>
      </c>
      <c r="D1" s="5">
        <f t="shared" ref="D1:D4" si="1">C1/B1</f>
        <v>0</v>
      </c>
      <c r="G1" s="1" t="s">
        <v>1</v>
      </c>
      <c r="H1" s="3">
        <f>IFERROR(__xludf.DUMMYFUNCTION("COUNTUNIQUE(A6:A92)"),29.0)</f>
        <v>29</v>
      </c>
      <c r="I1" s="3"/>
      <c r="J1" s="6"/>
      <c r="K1" s="3"/>
      <c r="L1" s="3"/>
      <c r="M1" s="7"/>
      <c r="N1" s="7"/>
    </row>
    <row r="2">
      <c r="A2" s="1" t="s">
        <v>21</v>
      </c>
      <c r="B2" s="2">
        <v>15.0</v>
      </c>
      <c r="C2" s="4">
        <f>F92</f>
        <v>0</v>
      </c>
      <c r="D2" s="5">
        <f t="shared" si="1"/>
        <v>0</v>
      </c>
      <c r="G2" s="1" t="s">
        <v>5</v>
      </c>
      <c r="H2" s="3">
        <f>(B1+B2+B3)/F4</f>
        <v>29</v>
      </c>
      <c r="I2" s="3"/>
      <c r="J2" s="3"/>
      <c r="K2" s="3"/>
      <c r="L2" s="3"/>
      <c r="M2" s="7"/>
      <c r="N2" s="7"/>
    </row>
    <row r="3">
      <c r="A3" s="1" t="s">
        <v>30</v>
      </c>
      <c r="B3" s="2">
        <v>15.0</v>
      </c>
      <c r="C3" s="4">
        <f>H92</f>
        <v>0</v>
      </c>
      <c r="D3" s="8">
        <f t="shared" si="1"/>
        <v>0</v>
      </c>
      <c r="E3" s="3"/>
      <c r="F3" s="6"/>
      <c r="G3" s="3"/>
      <c r="H3" s="3"/>
      <c r="I3" s="3"/>
      <c r="J3" s="3"/>
      <c r="K3" s="3"/>
      <c r="L3" s="3"/>
      <c r="M3" s="7"/>
      <c r="N3" s="7"/>
    </row>
    <row r="4">
      <c r="A4" s="3"/>
      <c r="B4" s="9">
        <f t="shared" ref="B4:C4" si="2">SUM(B1:B3)</f>
        <v>45</v>
      </c>
      <c r="C4" s="9">
        <f t="shared" si="2"/>
        <v>0</v>
      </c>
      <c r="D4" s="5">
        <f t="shared" si="1"/>
        <v>0</v>
      </c>
      <c r="E4" s="1" t="s">
        <v>7</v>
      </c>
      <c r="F4" s="3">
        <f>SUM(C6:C92)/H1</f>
        <v>1.551724138</v>
      </c>
      <c r="G4" s="3"/>
      <c r="H4" s="3"/>
      <c r="I4" s="3"/>
      <c r="J4" s="3"/>
      <c r="K4" s="3"/>
      <c r="L4" s="3"/>
      <c r="M4" s="7"/>
      <c r="N4" s="7"/>
    </row>
    <row r="5">
      <c r="A5" s="10" t="s">
        <v>8</v>
      </c>
      <c r="B5" s="10" t="s">
        <v>9</v>
      </c>
      <c r="C5" s="10" t="s">
        <v>10</v>
      </c>
      <c r="D5" s="10" t="s">
        <v>31</v>
      </c>
      <c r="E5" s="10" t="s">
        <v>31</v>
      </c>
      <c r="F5" s="10" t="s">
        <v>23</v>
      </c>
      <c r="G5" s="10" t="s">
        <v>23</v>
      </c>
      <c r="H5" s="10" t="s">
        <v>32</v>
      </c>
      <c r="I5" s="10" t="s">
        <v>32</v>
      </c>
      <c r="J5" s="10" t="s">
        <v>33</v>
      </c>
      <c r="K5" s="10" t="s">
        <v>25</v>
      </c>
      <c r="L5" s="10" t="s">
        <v>34</v>
      </c>
      <c r="M5" s="7"/>
      <c r="N5" s="7"/>
    </row>
    <row r="6">
      <c r="A6" s="12">
        <v>45443.0</v>
      </c>
      <c r="B6" s="6" t="s">
        <v>35</v>
      </c>
      <c r="C6" s="2">
        <v>0.62</v>
      </c>
      <c r="D6" s="4">
        <f>IF(B6="Master Kush",B1-C6,B1)</f>
        <v>14.38</v>
      </c>
      <c r="E6" s="13">
        <f>D6/B1</f>
        <v>0.9586666667</v>
      </c>
      <c r="F6" s="2">
        <f>IF(B6="Ghost Train Haze",B2-C6,B2)</f>
        <v>15</v>
      </c>
      <c r="G6" s="14">
        <f>F6/B2</f>
        <v>1</v>
      </c>
      <c r="H6" s="15">
        <f>IF(B6="Bucket List",B3-C6,B3)</f>
        <v>15</v>
      </c>
      <c r="I6" s="14">
        <f>H6/B3</f>
        <v>1</v>
      </c>
      <c r="J6" s="2">
        <v>0.0</v>
      </c>
      <c r="K6" s="2">
        <v>0.0</v>
      </c>
      <c r="L6" s="2">
        <v>0.0</v>
      </c>
      <c r="M6" s="7"/>
      <c r="N6" s="7"/>
    </row>
    <row r="7">
      <c r="A7" s="12">
        <v>45443.0</v>
      </c>
      <c r="B7" s="6" t="s">
        <v>27</v>
      </c>
      <c r="C7" s="2">
        <v>0.62</v>
      </c>
      <c r="D7" s="16">
        <f t="shared" ref="D7:D92" si="3">IF(B7="Master Kush",D6-C7,D6)</f>
        <v>14.38</v>
      </c>
      <c r="E7" s="17">
        <f>D7/B1</f>
        <v>0.9586666667</v>
      </c>
      <c r="F7" s="16">
        <f t="shared" ref="F7:F92" si="4">IF(B7="Ghost Train Haze",F6-C7,F6)</f>
        <v>14.38</v>
      </c>
      <c r="G7" s="17">
        <f>F7/B2</f>
        <v>0.9586666667</v>
      </c>
      <c r="H7" s="15">
        <f t="shared" ref="H7:H92" si="5">IF(B7="Bucket List",H6-C7,H6)</f>
        <v>15</v>
      </c>
      <c r="I7" s="14">
        <f>H7/B3</f>
        <v>1</v>
      </c>
      <c r="J7" s="2">
        <v>0.0</v>
      </c>
      <c r="K7" s="2">
        <v>0.0</v>
      </c>
      <c r="L7" s="2">
        <v>0.0</v>
      </c>
      <c r="M7" s="7"/>
      <c r="N7" s="7"/>
    </row>
    <row r="8">
      <c r="A8" s="12">
        <v>45443.0</v>
      </c>
      <c r="B8" s="6" t="s">
        <v>36</v>
      </c>
      <c r="C8" s="2">
        <v>0.64</v>
      </c>
      <c r="D8" s="16">
        <f t="shared" si="3"/>
        <v>14.38</v>
      </c>
      <c r="E8" s="17">
        <f>D8/B1</f>
        <v>0.9586666667</v>
      </c>
      <c r="F8" s="16">
        <f t="shared" si="4"/>
        <v>14.38</v>
      </c>
      <c r="G8" s="17">
        <f>F8/B2</f>
        <v>0.9586666667</v>
      </c>
      <c r="H8" s="15">
        <f t="shared" si="5"/>
        <v>14.36</v>
      </c>
      <c r="I8" s="14">
        <f>H8/B3</f>
        <v>0.9573333333</v>
      </c>
      <c r="J8" s="2">
        <v>0.0</v>
      </c>
      <c r="K8" s="2">
        <v>0.0</v>
      </c>
      <c r="L8" s="2">
        <v>0.0</v>
      </c>
      <c r="M8" s="7"/>
      <c r="N8" s="7"/>
    </row>
    <row r="9">
      <c r="A9" s="12">
        <v>45444.0</v>
      </c>
      <c r="B9" s="6" t="s">
        <v>35</v>
      </c>
      <c r="C9" s="2">
        <v>0.69</v>
      </c>
      <c r="D9" s="16">
        <f t="shared" si="3"/>
        <v>13.69</v>
      </c>
      <c r="E9" s="17">
        <f>D9/B1</f>
        <v>0.9126666667</v>
      </c>
      <c r="F9" s="16">
        <f t="shared" si="4"/>
        <v>14.38</v>
      </c>
      <c r="G9" s="17">
        <f>F9/B2</f>
        <v>0.9586666667</v>
      </c>
      <c r="H9" s="15">
        <f t="shared" si="5"/>
        <v>14.36</v>
      </c>
      <c r="I9" s="14">
        <f>H9/B3</f>
        <v>0.9573333333</v>
      </c>
      <c r="J9" s="2">
        <v>0.0</v>
      </c>
      <c r="K9" s="2">
        <v>0.0</v>
      </c>
      <c r="L9" s="2">
        <v>0.0</v>
      </c>
      <c r="M9" s="7"/>
      <c r="N9" s="7"/>
    </row>
    <row r="10">
      <c r="A10" s="12">
        <v>45444.0</v>
      </c>
      <c r="B10" s="6" t="s">
        <v>27</v>
      </c>
      <c r="C10" s="2">
        <v>0.73</v>
      </c>
      <c r="D10" s="16">
        <f t="shared" si="3"/>
        <v>13.69</v>
      </c>
      <c r="E10" s="17">
        <f>D10/B1</f>
        <v>0.9126666667</v>
      </c>
      <c r="F10" s="16">
        <f t="shared" si="4"/>
        <v>13.65</v>
      </c>
      <c r="G10" s="17">
        <f>F10/B2</f>
        <v>0.91</v>
      </c>
      <c r="H10" s="15">
        <f t="shared" si="5"/>
        <v>14.36</v>
      </c>
      <c r="I10" s="14">
        <f>H10/B3</f>
        <v>0.9573333333</v>
      </c>
      <c r="J10" s="2">
        <v>0.0</v>
      </c>
      <c r="K10" s="2">
        <v>0.0</v>
      </c>
      <c r="L10" s="2">
        <v>0.0</v>
      </c>
      <c r="M10" s="7"/>
      <c r="N10" s="7"/>
    </row>
    <row r="11">
      <c r="A11" s="12">
        <v>45444.0</v>
      </c>
      <c r="B11" s="6" t="s">
        <v>36</v>
      </c>
      <c r="C11" s="2">
        <v>0.74</v>
      </c>
      <c r="D11" s="16">
        <f t="shared" si="3"/>
        <v>13.69</v>
      </c>
      <c r="E11" s="17">
        <f>D11/B1</f>
        <v>0.9126666667</v>
      </c>
      <c r="F11" s="16">
        <f t="shared" si="4"/>
        <v>13.65</v>
      </c>
      <c r="G11" s="17">
        <f>F11/B2</f>
        <v>0.91</v>
      </c>
      <c r="H11" s="15">
        <f t="shared" si="5"/>
        <v>13.62</v>
      </c>
      <c r="I11" s="14">
        <f>H11/B3</f>
        <v>0.908</v>
      </c>
      <c r="J11" s="2">
        <v>0.0</v>
      </c>
      <c r="K11" s="2">
        <v>0.0</v>
      </c>
      <c r="L11" s="2">
        <v>0.0</v>
      </c>
      <c r="M11" s="7"/>
      <c r="N11" s="7"/>
    </row>
    <row r="12">
      <c r="A12" s="12">
        <v>45445.0</v>
      </c>
      <c r="B12" s="6" t="s">
        <v>35</v>
      </c>
      <c r="C12" s="2">
        <v>0.61</v>
      </c>
      <c r="D12" s="16">
        <f t="shared" si="3"/>
        <v>13.08</v>
      </c>
      <c r="E12" s="17">
        <f>D12/B1</f>
        <v>0.872</v>
      </c>
      <c r="F12" s="16">
        <f t="shared" si="4"/>
        <v>13.65</v>
      </c>
      <c r="G12" s="17">
        <f>F12/B2</f>
        <v>0.91</v>
      </c>
      <c r="H12" s="15">
        <f t="shared" si="5"/>
        <v>13.62</v>
      </c>
      <c r="I12" s="14">
        <f>H12/B3</f>
        <v>0.908</v>
      </c>
      <c r="J12" s="2">
        <v>0.0</v>
      </c>
      <c r="K12" s="2">
        <v>0.0</v>
      </c>
      <c r="L12" s="2">
        <v>0.0</v>
      </c>
      <c r="M12" s="7"/>
      <c r="N12" s="7"/>
    </row>
    <row r="13">
      <c r="A13" s="12">
        <v>45445.0</v>
      </c>
      <c r="B13" s="6" t="s">
        <v>27</v>
      </c>
      <c r="C13" s="2">
        <v>0.71</v>
      </c>
      <c r="D13" s="16">
        <f t="shared" si="3"/>
        <v>13.08</v>
      </c>
      <c r="E13" s="17">
        <f>D13/B1</f>
        <v>0.872</v>
      </c>
      <c r="F13" s="16">
        <f t="shared" si="4"/>
        <v>12.94</v>
      </c>
      <c r="G13" s="17">
        <f>F13/B2</f>
        <v>0.8626666667</v>
      </c>
      <c r="H13" s="15">
        <f t="shared" si="5"/>
        <v>13.62</v>
      </c>
      <c r="I13" s="14">
        <f>H13/B3</f>
        <v>0.908</v>
      </c>
      <c r="J13" s="2">
        <v>0.0</v>
      </c>
      <c r="K13" s="2">
        <v>0.0</v>
      </c>
      <c r="L13" s="2">
        <v>0.0</v>
      </c>
      <c r="M13" s="7"/>
      <c r="N13" s="7"/>
    </row>
    <row r="14">
      <c r="A14" s="12">
        <v>45445.0</v>
      </c>
      <c r="B14" s="6" t="s">
        <v>36</v>
      </c>
      <c r="C14" s="2">
        <v>0.77</v>
      </c>
      <c r="D14" s="16">
        <f t="shared" si="3"/>
        <v>13.08</v>
      </c>
      <c r="E14" s="17">
        <f>D14/B1</f>
        <v>0.872</v>
      </c>
      <c r="F14" s="16">
        <f t="shared" si="4"/>
        <v>12.94</v>
      </c>
      <c r="G14" s="17">
        <f>F14/B2</f>
        <v>0.8626666667</v>
      </c>
      <c r="H14" s="15">
        <f t="shared" si="5"/>
        <v>12.85</v>
      </c>
      <c r="I14" s="14">
        <f>H14/B3</f>
        <v>0.8566666667</v>
      </c>
      <c r="J14" s="2">
        <v>0.0</v>
      </c>
      <c r="K14" s="2">
        <v>0.0</v>
      </c>
      <c r="L14" s="2">
        <v>0.0</v>
      </c>
      <c r="M14" s="7"/>
      <c r="N14" s="7"/>
    </row>
    <row r="15">
      <c r="A15" s="12">
        <v>45446.0</v>
      </c>
      <c r="B15" s="6" t="s">
        <v>35</v>
      </c>
      <c r="C15" s="2">
        <v>0.0</v>
      </c>
      <c r="D15" s="16">
        <f t="shared" si="3"/>
        <v>13.08</v>
      </c>
      <c r="E15" s="17">
        <f>D15/B1</f>
        <v>0.872</v>
      </c>
      <c r="F15" s="16">
        <f t="shared" si="4"/>
        <v>12.94</v>
      </c>
      <c r="G15" s="17">
        <f>F15/B2</f>
        <v>0.8626666667</v>
      </c>
      <c r="H15" s="15">
        <f t="shared" si="5"/>
        <v>12.85</v>
      </c>
      <c r="I15" s="14">
        <f>H15/B3</f>
        <v>0.8566666667</v>
      </c>
      <c r="J15" s="2">
        <v>0.0</v>
      </c>
      <c r="K15" s="2">
        <v>0.0</v>
      </c>
      <c r="L15" s="2">
        <v>0.0</v>
      </c>
      <c r="M15" s="7"/>
      <c r="N15" s="7"/>
    </row>
    <row r="16">
      <c r="A16" s="12">
        <v>45446.0</v>
      </c>
      <c r="B16" s="6" t="s">
        <v>27</v>
      </c>
      <c r="C16" s="2">
        <v>0.0</v>
      </c>
      <c r="D16" s="16">
        <f t="shared" si="3"/>
        <v>13.08</v>
      </c>
      <c r="E16" s="17">
        <f>D16/B1</f>
        <v>0.872</v>
      </c>
      <c r="F16" s="16">
        <f t="shared" si="4"/>
        <v>12.94</v>
      </c>
      <c r="G16" s="17">
        <f>F16/B2</f>
        <v>0.8626666667</v>
      </c>
      <c r="H16" s="15">
        <f t="shared" si="5"/>
        <v>12.85</v>
      </c>
      <c r="I16" s="14">
        <f>H16/B3</f>
        <v>0.8566666667</v>
      </c>
      <c r="J16" s="2">
        <v>0.0</v>
      </c>
      <c r="K16" s="2">
        <v>0.0</v>
      </c>
      <c r="L16" s="2">
        <v>0.0</v>
      </c>
      <c r="M16" s="7"/>
      <c r="N16" s="7"/>
    </row>
    <row r="17">
      <c r="A17" s="12">
        <v>45446.0</v>
      </c>
      <c r="B17" s="6" t="s">
        <v>36</v>
      </c>
      <c r="C17" s="2">
        <v>0.0</v>
      </c>
      <c r="D17" s="16">
        <f t="shared" si="3"/>
        <v>13.08</v>
      </c>
      <c r="E17" s="17">
        <f>D17/B1</f>
        <v>0.872</v>
      </c>
      <c r="F17" s="16">
        <f t="shared" si="4"/>
        <v>12.94</v>
      </c>
      <c r="G17" s="17">
        <f>F17/B2</f>
        <v>0.8626666667</v>
      </c>
      <c r="H17" s="15">
        <f t="shared" si="5"/>
        <v>12.85</v>
      </c>
      <c r="I17" s="14">
        <f>H17/B3</f>
        <v>0.8566666667</v>
      </c>
      <c r="J17" s="2">
        <v>0.0</v>
      </c>
      <c r="K17" s="2">
        <v>0.0</v>
      </c>
      <c r="L17" s="2">
        <v>0.0</v>
      </c>
      <c r="M17" s="7"/>
      <c r="N17" s="7"/>
    </row>
    <row r="18">
      <c r="A18" s="12">
        <v>45447.0</v>
      </c>
      <c r="B18" s="6" t="s">
        <v>35</v>
      </c>
      <c r="C18" s="2">
        <v>0.6</v>
      </c>
      <c r="D18" s="16">
        <f t="shared" si="3"/>
        <v>12.48</v>
      </c>
      <c r="E18" s="17">
        <f>D18/B1</f>
        <v>0.832</v>
      </c>
      <c r="F18" s="16">
        <f t="shared" si="4"/>
        <v>12.94</v>
      </c>
      <c r="G18" s="17">
        <f>F18/B2</f>
        <v>0.8626666667</v>
      </c>
      <c r="H18" s="15">
        <f t="shared" si="5"/>
        <v>12.85</v>
      </c>
      <c r="I18" s="14">
        <f>H18/B3</f>
        <v>0.8566666667</v>
      </c>
      <c r="J18" s="2">
        <v>0.0</v>
      </c>
      <c r="K18" s="2">
        <v>0.0</v>
      </c>
      <c r="L18" s="2">
        <v>0.0</v>
      </c>
      <c r="M18" s="7"/>
      <c r="N18" s="7"/>
    </row>
    <row r="19">
      <c r="A19" s="12">
        <v>45447.0</v>
      </c>
      <c r="B19" s="6" t="s">
        <v>27</v>
      </c>
      <c r="C19" s="2">
        <v>0.63</v>
      </c>
      <c r="D19" s="16">
        <f t="shared" si="3"/>
        <v>12.48</v>
      </c>
      <c r="E19" s="17">
        <f>D19/B1</f>
        <v>0.832</v>
      </c>
      <c r="F19" s="16">
        <f t="shared" si="4"/>
        <v>12.31</v>
      </c>
      <c r="G19" s="17">
        <f>F19/B2</f>
        <v>0.8206666667</v>
      </c>
      <c r="H19" s="15">
        <f t="shared" si="5"/>
        <v>12.85</v>
      </c>
      <c r="I19" s="14">
        <f>H19/B3</f>
        <v>0.8566666667</v>
      </c>
      <c r="J19" s="2">
        <v>0.0</v>
      </c>
      <c r="K19" s="2">
        <v>0.0</v>
      </c>
      <c r="L19" s="2">
        <v>0.0</v>
      </c>
      <c r="M19" s="7"/>
      <c r="N19" s="7"/>
    </row>
    <row r="20">
      <c r="A20" s="12">
        <v>45447.0</v>
      </c>
      <c r="B20" s="6" t="s">
        <v>36</v>
      </c>
      <c r="C20" s="2">
        <v>0.64</v>
      </c>
      <c r="D20" s="16">
        <f t="shared" si="3"/>
        <v>12.48</v>
      </c>
      <c r="E20" s="17">
        <f>D20/B1</f>
        <v>0.832</v>
      </c>
      <c r="F20" s="16">
        <f t="shared" si="4"/>
        <v>12.31</v>
      </c>
      <c r="G20" s="17">
        <f>F20/B2</f>
        <v>0.8206666667</v>
      </c>
      <c r="H20" s="15">
        <f t="shared" si="5"/>
        <v>12.21</v>
      </c>
      <c r="I20" s="14">
        <f>H20/B3</f>
        <v>0.814</v>
      </c>
      <c r="J20" s="2">
        <v>0.0</v>
      </c>
      <c r="K20" s="2">
        <v>0.0</v>
      </c>
      <c r="L20" s="2">
        <v>0.0</v>
      </c>
      <c r="M20" s="7"/>
      <c r="N20" s="7"/>
    </row>
    <row r="21">
      <c r="A21" s="12">
        <v>45448.0</v>
      </c>
      <c r="B21" s="6" t="s">
        <v>35</v>
      </c>
      <c r="C21" s="2">
        <v>0.55</v>
      </c>
      <c r="D21" s="16">
        <f t="shared" si="3"/>
        <v>11.93</v>
      </c>
      <c r="E21" s="17">
        <f>D21/B1</f>
        <v>0.7953333333</v>
      </c>
      <c r="F21" s="16">
        <f t="shared" si="4"/>
        <v>12.31</v>
      </c>
      <c r="G21" s="17">
        <f>F21/B2</f>
        <v>0.8206666667</v>
      </c>
      <c r="H21" s="15">
        <f t="shared" si="5"/>
        <v>12.21</v>
      </c>
      <c r="I21" s="14">
        <f>H21/B3</f>
        <v>0.814</v>
      </c>
      <c r="J21" s="2">
        <v>0.0</v>
      </c>
      <c r="K21" s="2">
        <v>0.0</v>
      </c>
      <c r="L21" s="2">
        <v>0.0</v>
      </c>
      <c r="M21" s="7"/>
      <c r="N21" s="7"/>
    </row>
    <row r="22">
      <c r="A22" s="12">
        <v>45448.0</v>
      </c>
      <c r="B22" s="6" t="s">
        <v>27</v>
      </c>
      <c r="C22" s="2">
        <v>0.51</v>
      </c>
      <c r="D22" s="16">
        <f t="shared" si="3"/>
        <v>11.93</v>
      </c>
      <c r="E22" s="17">
        <f>D22/B1</f>
        <v>0.7953333333</v>
      </c>
      <c r="F22" s="16">
        <f t="shared" si="4"/>
        <v>11.8</v>
      </c>
      <c r="G22" s="17">
        <f>F22/B2</f>
        <v>0.7866666667</v>
      </c>
      <c r="H22" s="15">
        <f t="shared" si="5"/>
        <v>12.21</v>
      </c>
      <c r="I22" s="14">
        <f>H22/B3</f>
        <v>0.814</v>
      </c>
      <c r="J22" s="2">
        <v>0.0</v>
      </c>
      <c r="K22" s="2">
        <v>0.0</v>
      </c>
      <c r="L22" s="2">
        <v>0.0</v>
      </c>
      <c r="M22" s="7"/>
      <c r="N22" s="7"/>
    </row>
    <row r="23">
      <c r="A23" s="12">
        <v>45448.0</v>
      </c>
      <c r="B23" s="6" t="s">
        <v>36</v>
      </c>
      <c r="C23" s="2">
        <v>0.55</v>
      </c>
      <c r="D23" s="16">
        <f t="shared" si="3"/>
        <v>11.93</v>
      </c>
      <c r="E23" s="17">
        <f>D23/B1</f>
        <v>0.7953333333</v>
      </c>
      <c r="F23" s="16">
        <f t="shared" si="4"/>
        <v>11.8</v>
      </c>
      <c r="G23" s="17">
        <f>F23/B2</f>
        <v>0.7866666667</v>
      </c>
      <c r="H23" s="15">
        <f t="shared" si="5"/>
        <v>11.66</v>
      </c>
      <c r="I23" s="14">
        <f>H23/B3</f>
        <v>0.7773333333</v>
      </c>
      <c r="J23" s="2">
        <v>0.0</v>
      </c>
      <c r="K23" s="2">
        <v>0.0</v>
      </c>
      <c r="L23" s="2">
        <v>0.0</v>
      </c>
      <c r="M23" s="7"/>
      <c r="N23" s="7"/>
    </row>
    <row r="24">
      <c r="A24" s="12">
        <v>45449.0</v>
      </c>
      <c r="B24" s="6" t="s">
        <v>35</v>
      </c>
      <c r="C24" s="2">
        <v>0.66</v>
      </c>
      <c r="D24" s="16">
        <f t="shared" si="3"/>
        <v>11.27</v>
      </c>
      <c r="E24" s="17">
        <f>D24/B1</f>
        <v>0.7513333333</v>
      </c>
      <c r="F24" s="16">
        <f t="shared" si="4"/>
        <v>11.8</v>
      </c>
      <c r="G24" s="17">
        <f>F24/B2</f>
        <v>0.7866666667</v>
      </c>
      <c r="H24" s="15">
        <f t="shared" si="5"/>
        <v>11.66</v>
      </c>
      <c r="I24" s="14">
        <f>H24/B3</f>
        <v>0.7773333333</v>
      </c>
      <c r="J24" s="2">
        <v>0.0</v>
      </c>
      <c r="K24" s="2">
        <v>0.0</v>
      </c>
      <c r="L24" s="2">
        <v>0.0</v>
      </c>
      <c r="M24" s="7"/>
      <c r="N24" s="7"/>
    </row>
    <row r="25">
      <c r="A25" s="12">
        <v>45449.0</v>
      </c>
      <c r="B25" s="6" t="s">
        <v>27</v>
      </c>
      <c r="C25" s="2">
        <v>0.69</v>
      </c>
      <c r="D25" s="16">
        <f t="shared" si="3"/>
        <v>11.27</v>
      </c>
      <c r="E25" s="17">
        <f>D25/B1</f>
        <v>0.7513333333</v>
      </c>
      <c r="F25" s="16">
        <f t="shared" si="4"/>
        <v>11.11</v>
      </c>
      <c r="G25" s="17">
        <f>F25/B2</f>
        <v>0.7406666667</v>
      </c>
      <c r="H25" s="15">
        <f t="shared" si="5"/>
        <v>11.66</v>
      </c>
      <c r="I25" s="14">
        <f>H25/B3</f>
        <v>0.7773333333</v>
      </c>
      <c r="J25" s="2">
        <v>0.0</v>
      </c>
      <c r="K25" s="2">
        <v>0.0</v>
      </c>
      <c r="L25" s="2">
        <v>0.0</v>
      </c>
      <c r="M25" s="7"/>
      <c r="N25" s="7"/>
    </row>
    <row r="26">
      <c r="A26" s="12">
        <v>45449.0</v>
      </c>
      <c r="B26" s="6" t="s">
        <v>36</v>
      </c>
      <c r="C26" s="2">
        <v>0.69</v>
      </c>
      <c r="D26" s="16">
        <f t="shared" si="3"/>
        <v>11.27</v>
      </c>
      <c r="E26" s="17">
        <f>D26/B1</f>
        <v>0.7513333333</v>
      </c>
      <c r="F26" s="16">
        <f t="shared" si="4"/>
        <v>11.11</v>
      </c>
      <c r="G26" s="17">
        <f>F26/B2</f>
        <v>0.7406666667</v>
      </c>
      <c r="H26" s="15">
        <f t="shared" si="5"/>
        <v>10.97</v>
      </c>
      <c r="I26" s="14">
        <f>H26/B3</f>
        <v>0.7313333333</v>
      </c>
      <c r="J26" s="2">
        <v>0.0</v>
      </c>
      <c r="K26" s="2">
        <v>0.0</v>
      </c>
      <c r="L26" s="2">
        <v>0.0</v>
      </c>
      <c r="M26" s="7"/>
      <c r="N26" s="7"/>
    </row>
    <row r="27">
      <c r="A27" s="12">
        <v>45450.0</v>
      </c>
      <c r="B27" s="6" t="s">
        <v>35</v>
      </c>
      <c r="C27" s="2">
        <v>0.59</v>
      </c>
      <c r="D27" s="16">
        <f t="shared" si="3"/>
        <v>10.68</v>
      </c>
      <c r="E27" s="17">
        <f>D27/B1</f>
        <v>0.712</v>
      </c>
      <c r="F27" s="16">
        <f t="shared" si="4"/>
        <v>11.11</v>
      </c>
      <c r="G27" s="17">
        <f>F27/B2</f>
        <v>0.7406666667</v>
      </c>
      <c r="H27" s="15">
        <f t="shared" si="5"/>
        <v>10.97</v>
      </c>
      <c r="I27" s="14">
        <f>H27/B3</f>
        <v>0.7313333333</v>
      </c>
      <c r="J27" s="2">
        <v>0.0</v>
      </c>
      <c r="K27" s="2">
        <v>0.0</v>
      </c>
      <c r="L27" s="2">
        <v>0.0</v>
      </c>
      <c r="M27" s="7"/>
      <c r="N27" s="7"/>
    </row>
    <row r="28">
      <c r="A28" s="12">
        <v>45450.0</v>
      </c>
      <c r="B28" s="6" t="s">
        <v>27</v>
      </c>
      <c r="C28" s="2">
        <v>0.6</v>
      </c>
      <c r="D28" s="16">
        <f t="shared" si="3"/>
        <v>10.68</v>
      </c>
      <c r="E28" s="17">
        <f>D28/B1</f>
        <v>0.712</v>
      </c>
      <c r="F28" s="16">
        <f t="shared" si="4"/>
        <v>10.51</v>
      </c>
      <c r="G28" s="17">
        <f>F28/B2</f>
        <v>0.7006666667</v>
      </c>
      <c r="H28" s="15">
        <f t="shared" si="5"/>
        <v>10.97</v>
      </c>
      <c r="I28" s="14">
        <f>H28/B3</f>
        <v>0.7313333333</v>
      </c>
      <c r="J28" s="2">
        <v>0.0</v>
      </c>
      <c r="K28" s="2">
        <v>0.0</v>
      </c>
      <c r="L28" s="2">
        <v>0.0</v>
      </c>
      <c r="M28" s="7"/>
      <c r="N28" s="7"/>
    </row>
    <row r="29">
      <c r="A29" s="12">
        <v>45450.0</v>
      </c>
      <c r="B29" s="6" t="s">
        <v>36</v>
      </c>
      <c r="C29" s="2">
        <v>0.65</v>
      </c>
      <c r="D29" s="16">
        <f t="shared" si="3"/>
        <v>10.68</v>
      </c>
      <c r="E29" s="17">
        <f>D29/B1</f>
        <v>0.712</v>
      </c>
      <c r="F29" s="16">
        <f t="shared" si="4"/>
        <v>10.51</v>
      </c>
      <c r="G29" s="17">
        <f>F29/B2</f>
        <v>0.7006666667</v>
      </c>
      <c r="H29" s="15">
        <f t="shared" si="5"/>
        <v>10.32</v>
      </c>
      <c r="I29" s="14">
        <f>H29/B3</f>
        <v>0.688</v>
      </c>
      <c r="J29" s="2">
        <v>0.0</v>
      </c>
      <c r="K29" s="2">
        <v>0.0</v>
      </c>
      <c r="L29" s="2">
        <v>0.0</v>
      </c>
      <c r="M29" s="7"/>
      <c r="N29" s="7"/>
    </row>
    <row r="30">
      <c r="A30" s="12">
        <v>45451.0</v>
      </c>
      <c r="B30" s="6" t="s">
        <v>35</v>
      </c>
      <c r="C30" s="2">
        <v>0.53</v>
      </c>
      <c r="D30" s="16">
        <f t="shared" si="3"/>
        <v>10.15</v>
      </c>
      <c r="E30" s="17">
        <f>D30/B1</f>
        <v>0.6766666667</v>
      </c>
      <c r="F30" s="16">
        <f t="shared" si="4"/>
        <v>10.51</v>
      </c>
      <c r="G30" s="17">
        <f>F30/B2</f>
        <v>0.7006666667</v>
      </c>
      <c r="H30" s="15">
        <f t="shared" si="5"/>
        <v>10.32</v>
      </c>
      <c r="I30" s="14">
        <f>H30/B3</f>
        <v>0.688</v>
      </c>
      <c r="J30" s="2">
        <v>0.0</v>
      </c>
      <c r="K30" s="2">
        <v>0.0</v>
      </c>
      <c r="L30" s="2">
        <v>0.0</v>
      </c>
      <c r="M30" s="7"/>
      <c r="N30" s="7"/>
    </row>
    <row r="31">
      <c r="A31" s="12">
        <v>45451.0</v>
      </c>
      <c r="B31" s="6" t="s">
        <v>27</v>
      </c>
      <c r="C31" s="2">
        <v>0.61</v>
      </c>
      <c r="D31" s="16">
        <f t="shared" si="3"/>
        <v>10.15</v>
      </c>
      <c r="E31" s="17">
        <f>D31/B1</f>
        <v>0.6766666667</v>
      </c>
      <c r="F31" s="16">
        <f t="shared" si="4"/>
        <v>9.9</v>
      </c>
      <c r="G31" s="17">
        <f>F31/B2</f>
        <v>0.66</v>
      </c>
      <c r="H31" s="15">
        <f t="shared" si="5"/>
        <v>10.32</v>
      </c>
      <c r="I31" s="14">
        <f>H31/B3</f>
        <v>0.688</v>
      </c>
      <c r="J31" s="2">
        <v>0.0</v>
      </c>
      <c r="K31" s="2">
        <v>0.0</v>
      </c>
      <c r="L31" s="2">
        <v>0.0</v>
      </c>
      <c r="M31" s="7"/>
      <c r="N31" s="7"/>
    </row>
    <row r="32">
      <c r="A32" s="12">
        <v>45451.0</v>
      </c>
      <c r="B32" s="6" t="s">
        <v>36</v>
      </c>
      <c r="C32" s="2">
        <v>0.62</v>
      </c>
      <c r="D32" s="16">
        <f t="shared" si="3"/>
        <v>10.15</v>
      </c>
      <c r="E32" s="17">
        <f>D32/B1</f>
        <v>0.6766666667</v>
      </c>
      <c r="F32" s="16">
        <f t="shared" si="4"/>
        <v>9.9</v>
      </c>
      <c r="G32" s="17">
        <f>F32/B2</f>
        <v>0.66</v>
      </c>
      <c r="H32" s="15">
        <f t="shared" si="5"/>
        <v>9.7</v>
      </c>
      <c r="I32" s="14">
        <f>H32/B3</f>
        <v>0.6466666667</v>
      </c>
      <c r="J32" s="2">
        <v>0.0</v>
      </c>
      <c r="K32" s="2">
        <v>0.0</v>
      </c>
      <c r="L32" s="2">
        <v>0.0</v>
      </c>
      <c r="M32" s="7"/>
      <c r="N32" s="7"/>
    </row>
    <row r="33">
      <c r="A33" s="12">
        <v>45452.0</v>
      </c>
      <c r="B33" s="6" t="s">
        <v>35</v>
      </c>
      <c r="C33" s="2">
        <v>0.72</v>
      </c>
      <c r="D33" s="16">
        <f t="shared" si="3"/>
        <v>9.43</v>
      </c>
      <c r="E33" s="17">
        <f>D33/B1</f>
        <v>0.6286666667</v>
      </c>
      <c r="F33" s="16">
        <f t="shared" si="4"/>
        <v>9.9</v>
      </c>
      <c r="G33" s="17">
        <f>F33/B2</f>
        <v>0.66</v>
      </c>
      <c r="H33" s="15">
        <f t="shared" si="5"/>
        <v>9.7</v>
      </c>
      <c r="I33" s="14">
        <f>H33/B3</f>
        <v>0.6466666667</v>
      </c>
      <c r="J33" s="2">
        <v>0.0</v>
      </c>
      <c r="K33" s="2">
        <v>0.0</v>
      </c>
      <c r="L33" s="2">
        <v>0.0</v>
      </c>
      <c r="M33" s="7"/>
      <c r="N33" s="7"/>
    </row>
    <row r="34">
      <c r="A34" s="12">
        <v>45452.0</v>
      </c>
      <c r="B34" s="6" t="s">
        <v>27</v>
      </c>
      <c r="C34" s="2">
        <v>0.75</v>
      </c>
      <c r="D34" s="16">
        <f t="shared" si="3"/>
        <v>9.43</v>
      </c>
      <c r="E34" s="17">
        <f>D34/B1</f>
        <v>0.6286666667</v>
      </c>
      <c r="F34" s="16">
        <f t="shared" si="4"/>
        <v>9.15</v>
      </c>
      <c r="G34" s="17">
        <f>F34/B2</f>
        <v>0.61</v>
      </c>
      <c r="H34" s="15">
        <f t="shared" si="5"/>
        <v>9.7</v>
      </c>
      <c r="I34" s="14">
        <f>H34/B3</f>
        <v>0.6466666667</v>
      </c>
      <c r="J34" s="2">
        <v>0.0</v>
      </c>
      <c r="K34" s="2">
        <v>0.0</v>
      </c>
      <c r="L34" s="2">
        <v>0.0</v>
      </c>
      <c r="M34" s="7"/>
      <c r="N34" s="7"/>
    </row>
    <row r="35">
      <c r="A35" s="12">
        <v>45452.0</v>
      </c>
      <c r="B35" s="6" t="s">
        <v>36</v>
      </c>
      <c r="C35" s="2">
        <v>0.75</v>
      </c>
      <c r="D35" s="16">
        <f t="shared" si="3"/>
        <v>9.43</v>
      </c>
      <c r="E35" s="17">
        <f>D35/B1</f>
        <v>0.6286666667</v>
      </c>
      <c r="F35" s="16">
        <f t="shared" si="4"/>
        <v>9.15</v>
      </c>
      <c r="G35" s="17">
        <f>F35/B2</f>
        <v>0.61</v>
      </c>
      <c r="H35" s="15">
        <f t="shared" si="5"/>
        <v>8.95</v>
      </c>
      <c r="I35" s="14">
        <f>H35/B3</f>
        <v>0.5966666667</v>
      </c>
      <c r="J35" s="2">
        <v>0.0</v>
      </c>
      <c r="K35" s="2">
        <v>0.0</v>
      </c>
      <c r="L35" s="2">
        <v>0.0</v>
      </c>
      <c r="M35" s="7"/>
      <c r="N35" s="7"/>
    </row>
    <row r="36">
      <c r="A36" s="12">
        <v>45453.0</v>
      </c>
      <c r="B36" s="6" t="s">
        <v>35</v>
      </c>
      <c r="C36" s="2">
        <v>0.0</v>
      </c>
      <c r="D36" s="16">
        <f t="shared" si="3"/>
        <v>9.43</v>
      </c>
      <c r="E36" s="17">
        <f>D36/B1</f>
        <v>0.6286666667</v>
      </c>
      <c r="F36" s="16">
        <f t="shared" si="4"/>
        <v>9.15</v>
      </c>
      <c r="G36" s="17">
        <f>F36/B2</f>
        <v>0.61</v>
      </c>
      <c r="H36" s="15">
        <f t="shared" si="5"/>
        <v>8.95</v>
      </c>
      <c r="I36" s="14">
        <f>H36/B3</f>
        <v>0.5966666667</v>
      </c>
      <c r="J36" s="2">
        <v>0.0</v>
      </c>
      <c r="K36" s="2">
        <v>0.0</v>
      </c>
      <c r="L36" s="2">
        <v>0.0</v>
      </c>
      <c r="M36" s="7"/>
      <c r="N36" s="7"/>
    </row>
    <row r="37">
      <c r="A37" s="12">
        <v>45453.0</v>
      </c>
      <c r="B37" s="6" t="s">
        <v>27</v>
      </c>
      <c r="C37" s="2">
        <v>0.0</v>
      </c>
      <c r="D37" s="16">
        <f t="shared" si="3"/>
        <v>9.43</v>
      </c>
      <c r="E37" s="17">
        <f>D37/B1</f>
        <v>0.6286666667</v>
      </c>
      <c r="F37" s="16">
        <f t="shared" si="4"/>
        <v>9.15</v>
      </c>
      <c r="G37" s="17">
        <f>F37/B2</f>
        <v>0.61</v>
      </c>
      <c r="H37" s="15">
        <f t="shared" si="5"/>
        <v>8.95</v>
      </c>
      <c r="I37" s="14">
        <f>H37/B3</f>
        <v>0.5966666667</v>
      </c>
      <c r="J37" s="2">
        <v>0.0</v>
      </c>
      <c r="K37" s="2">
        <v>0.0</v>
      </c>
      <c r="L37" s="2">
        <v>0.0</v>
      </c>
      <c r="M37" s="7"/>
      <c r="N37" s="7"/>
    </row>
    <row r="38">
      <c r="A38" s="12">
        <v>45453.0</v>
      </c>
      <c r="B38" s="6" t="s">
        <v>36</v>
      </c>
      <c r="C38" s="2">
        <v>0.0</v>
      </c>
      <c r="D38" s="16">
        <f t="shared" si="3"/>
        <v>9.43</v>
      </c>
      <c r="E38" s="17">
        <f>D38/B1</f>
        <v>0.6286666667</v>
      </c>
      <c r="F38" s="16">
        <f t="shared" si="4"/>
        <v>9.15</v>
      </c>
      <c r="G38" s="17">
        <f>F38/B2</f>
        <v>0.61</v>
      </c>
      <c r="H38" s="15">
        <f t="shared" si="5"/>
        <v>8.95</v>
      </c>
      <c r="I38" s="14">
        <f>H38/B3</f>
        <v>0.5966666667</v>
      </c>
      <c r="J38" s="2">
        <v>0.0</v>
      </c>
      <c r="K38" s="2">
        <v>0.0</v>
      </c>
      <c r="L38" s="2">
        <v>0.0</v>
      </c>
      <c r="M38" s="7"/>
      <c r="N38" s="7"/>
    </row>
    <row r="39">
      <c r="A39" s="12">
        <v>45454.0</v>
      </c>
      <c r="B39" s="6" t="s">
        <v>35</v>
      </c>
      <c r="C39" s="2">
        <v>0.73</v>
      </c>
      <c r="D39" s="16">
        <f t="shared" si="3"/>
        <v>8.7</v>
      </c>
      <c r="E39" s="17">
        <f>D39/B1</f>
        <v>0.58</v>
      </c>
      <c r="F39" s="16">
        <f t="shared" si="4"/>
        <v>9.15</v>
      </c>
      <c r="G39" s="17">
        <f>F39/B2</f>
        <v>0.61</v>
      </c>
      <c r="H39" s="15">
        <f t="shared" si="5"/>
        <v>8.95</v>
      </c>
      <c r="I39" s="14">
        <f>H39/B3</f>
        <v>0.5966666667</v>
      </c>
      <c r="J39" s="2">
        <v>0.0</v>
      </c>
      <c r="K39" s="2">
        <v>0.0</v>
      </c>
      <c r="L39" s="2">
        <v>0.0</v>
      </c>
      <c r="M39" s="7"/>
      <c r="N39" s="7"/>
    </row>
    <row r="40">
      <c r="A40" s="12">
        <v>45454.0</v>
      </c>
      <c r="B40" s="6" t="s">
        <v>27</v>
      </c>
      <c r="C40" s="2">
        <v>0.74</v>
      </c>
      <c r="D40" s="16">
        <f t="shared" si="3"/>
        <v>8.7</v>
      </c>
      <c r="E40" s="17">
        <f>D40/B1</f>
        <v>0.58</v>
      </c>
      <c r="F40" s="16">
        <f t="shared" si="4"/>
        <v>8.41</v>
      </c>
      <c r="G40" s="17">
        <f>F40/B2</f>
        <v>0.5606666667</v>
      </c>
      <c r="H40" s="15">
        <f t="shared" si="5"/>
        <v>8.95</v>
      </c>
      <c r="I40" s="14">
        <f>H40/B3</f>
        <v>0.5966666667</v>
      </c>
      <c r="J40" s="2">
        <v>0.0</v>
      </c>
      <c r="K40" s="2">
        <v>0.0</v>
      </c>
      <c r="L40" s="2">
        <v>0.0</v>
      </c>
      <c r="M40" s="7"/>
      <c r="N40" s="7"/>
    </row>
    <row r="41">
      <c r="A41" s="12">
        <v>45454.0</v>
      </c>
      <c r="B41" s="6" t="s">
        <v>36</v>
      </c>
      <c r="C41" s="2">
        <v>0.76</v>
      </c>
      <c r="D41" s="16">
        <f t="shared" si="3"/>
        <v>8.7</v>
      </c>
      <c r="E41" s="17">
        <f>D41/B1</f>
        <v>0.58</v>
      </c>
      <c r="F41" s="16">
        <f t="shared" si="4"/>
        <v>8.41</v>
      </c>
      <c r="G41" s="17">
        <f>F41/B2</f>
        <v>0.5606666667</v>
      </c>
      <c r="H41" s="15">
        <f t="shared" si="5"/>
        <v>8.19</v>
      </c>
      <c r="I41" s="14">
        <f>H41/B3</f>
        <v>0.546</v>
      </c>
      <c r="J41" s="2">
        <v>0.0</v>
      </c>
      <c r="K41" s="2">
        <v>0.0</v>
      </c>
      <c r="L41" s="2">
        <v>0.0</v>
      </c>
      <c r="M41" s="7"/>
      <c r="N41" s="7"/>
    </row>
    <row r="42">
      <c r="A42" s="12">
        <v>45455.0</v>
      </c>
      <c r="B42" s="6" t="s">
        <v>35</v>
      </c>
      <c r="C42" s="2">
        <v>0.74</v>
      </c>
      <c r="D42" s="16">
        <f t="shared" si="3"/>
        <v>7.96</v>
      </c>
      <c r="E42" s="17">
        <f>D42/B1</f>
        <v>0.5306666667</v>
      </c>
      <c r="F42" s="16">
        <f t="shared" si="4"/>
        <v>8.41</v>
      </c>
      <c r="G42" s="17">
        <f>F42/B2</f>
        <v>0.5606666667</v>
      </c>
      <c r="H42" s="15">
        <f t="shared" si="5"/>
        <v>8.19</v>
      </c>
      <c r="I42" s="14">
        <f>H42/B3</f>
        <v>0.546</v>
      </c>
      <c r="J42" s="2">
        <v>0.0</v>
      </c>
      <c r="K42" s="2">
        <v>0.0</v>
      </c>
      <c r="L42" s="2">
        <v>0.0</v>
      </c>
      <c r="M42" s="7"/>
      <c r="N42" s="7"/>
    </row>
    <row r="43">
      <c r="A43" s="12">
        <v>45455.0</v>
      </c>
      <c r="B43" s="6" t="s">
        <v>27</v>
      </c>
      <c r="C43" s="2">
        <v>0.76</v>
      </c>
      <c r="D43" s="16">
        <f t="shared" si="3"/>
        <v>7.96</v>
      </c>
      <c r="E43" s="17">
        <f>D43/B1</f>
        <v>0.5306666667</v>
      </c>
      <c r="F43" s="16">
        <f t="shared" si="4"/>
        <v>7.65</v>
      </c>
      <c r="G43" s="17">
        <f>F43/B2</f>
        <v>0.51</v>
      </c>
      <c r="H43" s="15">
        <f t="shared" si="5"/>
        <v>8.19</v>
      </c>
      <c r="I43" s="14">
        <f>H43/B3</f>
        <v>0.546</v>
      </c>
      <c r="J43" s="2">
        <v>0.0</v>
      </c>
      <c r="K43" s="2">
        <v>0.0</v>
      </c>
      <c r="L43" s="2">
        <v>0.0</v>
      </c>
      <c r="M43" s="7"/>
      <c r="N43" s="7"/>
    </row>
    <row r="44">
      <c r="A44" s="12">
        <v>45455.0</v>
      </c>
      <c r="B44" s="6" t="s">
        <v>36</v>
      </c>
      <c r="C44" s="2">
        <v>0.79</v>
      </c>
      <c r="D44" s="16">
        <f t="shared" si="3"/>
        <v>7.96</v>
      </c>
      <c r="E44" s="17">
        <f>D44/B1</f>
        <v>0.5306666667</v>
      </c>
      <c r="F44" s="16">
        <f t="shared" si="4"/>
        <v>7.65</v>
      </c>
      <c r="G44" s="17">
        <f>F44/B2</f>
        <v>0.51</v>
      </c>
      <c r="H44" s="15">
        <f t="shared" si="5"/>
        <v>7.4</v>
      </c>
      <c r="I44" s="14">
        <f>H44/B3</f>
        <v>0.4933333333</v>
      </c>
      <c r="J44" s="2">
        <v>0.0</v>
      </c>
      <c r="K44" s="2">
        <v>0.0</v>
      </c>
      <c r="L44" s="2">
        <v>0.0</v>
      </c>
      <c r="M44" s="7"/>
      <c r="N44" s="7"/>
    </row>
    <row r="45">
      <c r="A45" s="12">
        <v>45456.0</v>
      </c>
      <c r="B45" s="6" t="s">
        <v>35</v>
      </c>
      <c r="C45" s="2">
        <v>0.68</v>
      </c>
      <c r="D45" s="16">
        <f t="shared" si="3"/>
        <v>7.28</v>
      </c>
      <c r="E45" s="17">
        <f>D45/B1</f>
        <v>0.4853333333</v>
      </c>
      <c r="F45" s="16">
        <f t="shared" si="4"/>
        <v>7.65</v>
      </c>
      <c r="G45" s="17">
        <f>F45/B2</f>
        <v>0.51</v>
      </c>
      <c r="H45" s="15">
        <f t="shared" si="5"/>
        <v>7.4</v>
      </c>
      <c r="I45" s="14">
        <f>H45/B3</f>
        <v>0.4933333333</v>
      </c>
      <c r="J45" s="2">
        <v>0.0</v>
      </c>
      <c r="K45" s="2">
        <v>0.0</v>
      </c>
      <c r="L45" s="2">
        <v>0.0</v>
      </c>
      <c r="M45" s="7"/>
      <c r="N45" s="7"/>
    </row>
    <row r="46">
      <c r="A46" s="12">
        <v>45456.0</v>
      </c>
      <c r="B46" s="6" t="s">
        <v>27</v>
      </c>
      <c r="C46" s="2">
        <v>0.63</v>
      </c>
      <c r="D46" s="16">
        <f t="shared" si="3"/>
        <v>7.28</v>
      </c>
      <c r="E46" s="17">
        <f>D46/B1</f>
        <v>0.4853333333</v>
      </c>
      <c r="F46" s="16">
        <f t="shared" si="4"/>
        <v>7.02</v>
      </c>
      <c r="G46" s="17">
        <f>F46/B2</f>
        <v>0.468</v>
      </c>
      <c r="H46" s="15">
        <f t="shared" si="5"/>
        <v>7.4</v>
      </c>
      <c r="I46" s="14">
        <f>H46/B3</f>
        <v>0.4933333333</v>
      </c>
      <c r="J46" s="2">
        <v>0.0</v>
      </c>
      <c r="K46" s="2">
        <v>0.0</v>
      </c>
      <c r="L46" s="2">
        <v>0.0</v>
      </c>
      <c r="M46" s="7"/>
      <c r="N46" s="7"/>
    </row>
    <row r="47">
      <c r="A47" s="12">
        <v>45456.0</v>
      </c>
      <c r="B47" s="6" t="s">
        <v>36</v>
      </c>
      <c r="C47" s="2">
        <v>0.62</v>
      </c>
      <c r="D47" s="16">
        <f t="shared" si="3"/>
        <v>7.28</v>
      </c>
      <c r="E47" s="17">
        <f>D47/B1</f>
        <v>0.4853333333</v>
      </c>
      <c r="F47" s="16">
        <f t="shared" si="4"/>
        <v>7.02</v>
      </c>
      <c r="G47" s="17">
        <f>F47/B2</f>
        <v>0.468</v>
      </c>
      <c r="H47" s="15">
        <f t="shared" si="5"/>
        <v>6.78</v>
      </c>
      <c r="I47" s="14">
        <f>H47/B3</f>
        <v>0.452</v>
      </c>
      <c r="J47" s="2">
        <v>0.0</v>
      </c>
      <c r="K47" s="2">
        <v>0.0</v>
      </c>
      <c r="L47" s="2">
        <v>0.0</v>
      </c>
      <c r="M47" s="7"/>
      <c r="N47" s="7"/>
    </row>
    <row r="48">
      <c r="A48" s="12">
        <v>45457.0</v>
      </c>
      <c r="B48" s="6" t="s">
        <v>35</v>
      </c>
      <c r="C48" s="2">
        <v>0.51</v>
      </c>
      <c r="D48" s="16">
        <f t="shared" si="3"/>
        <v>6.77</v>
      </c>
      <c r="E48" s="17">
        <f>D48/B1</f>
        <v>0.4513333333</v>
      </c>
      <c r="F48" s="16">
        <f t="shared" si="4"/>
        <v>7.02</v>
      </c>
      <c r="G48" s="17">
        <f>F48/B2</f>
        <v>0.468</v>
      </c>
      <c r="H48" s="15">
        <f t="shared" si="5"/>
        <v>6.78</v>
      </c>
      <c r="I48" s="14">
        <f>H48/B3</f>
        <v>0.452</v>
      </c>
      <c r="J48" s="2">
        <v>0.0</v>
      </c>
      <c r="K48" s="2">
        <v>0.0</v>
      </c>
      <c r="L48" s="2">
        <v>0.0</v>
      </c>
      <c r="M48" s="7"/>
      <c r="N48" s="7"/>
    </row>
    <row r="49">
      <c r="A49" s="12">
        <v>45457.0</v>
      </c>
      <c r="B49" s="6" t="s">
        <v>27</v>
      </c>
      <c r="C49" s="2">
        <v>0.54</v>
      </c>
      <c r="D49" s="16">
        <f t="shared" si="3"/>
        <v>6.77</v>
      </c>
      <c r="E49" s="17">
        <f>D49/B1</f>
        <v>0.4513333333</v>
      </c>
      <c r="F49" s="16">
        <f t="shared" si="4"/>
        <v>6.48</v>
      </c>
      <c r="G49" s="17">
        <f>F49/B2</f>
        <v>0.432</v>
      </c>
      <c r="H49" s="15">
        <f t="shared" si="5"/>
        <v>6.78</v>
      </c>
      <c r="I49" s="14">
        <f>H49/B3</f>
        <v>0.452</v>
      </c>
      <c r="J49" s="2">
        <v>0.0</v>
      </c>
      <c r="K49" s="2">
        <v>0.0</v>
      </c>
      <c r="L49" s="2">
        <v>0.0</v>
      </c>
      <c r="M49" s="7"/>
      <c r="N49" s="7"/>
    </row>
    <row r="50">
      <c r="A50" s="12">
        <v>45457.0</v>
      </c>
      <c r="B50" s="6" t="s">
        <v>36</v>
      </c>
      <c r="C50" s="2">
        <v>0.52</v>
      </c>
      <c r="D50" s="16">
        <f t="shared" si="3"/>
        <v>6.77</v>
      </c>
      <c r="E50" s="17">
        <f>D50/B1</f>
        <v>0.4513333333</v>
      </c>
      <c r="F50" s="16">
        <f t="shared" si="4"/>
        <v>6.48</v>
      </c>
      <c r="G50" s="17">
        <f>F50/B2</f>
        <v>0.432</v>
      </c>
      <c r="H50" s="15">
        <f t="shared" si="5"/>
        <v>6.26</v>
      </c>
      <c r="I50" s="14">
        <f>H50/B3</f>
        <v>0.4173333333</v>
      </c>
      <c r="J50" s="2">
        <v>0.0</v>
      </c>
      <c r="K50" s="2">
        <v>0.0</v>
      </c>
      <c r="L50" s="2">
        <v>0.0</v>
      </c>
      <c r="M50" s="7"/>
      <c r="N50" s="7"/>
    </row>
    <row r="51">
      <c r="A51" s="12">
        <v>45458.0</v>
      </c>
      <c r="B51" s="6" t="s">
        <v>35</v>
      </c>
      <c r="C51" s="2">
        <v>0.0</v>
      </c>
      <c r="D51" s="16">
        <f t="shared" si="3"/>
        <v>6.77</v>
      </c>
      <c r="E51" s="17">
        <f>D51/B1</f>
        <v>0.4513333333</v>
      </c>
      <c r="F51" s="16">
        <f t="shared" si="4"/>
        <v>6.48</v>
      </c>
      <c r="G51" s="17">
        <f>F51/B2</f>
        <v>0.432</v>
      </c>
      <c r="H51" s="15">
        <f t="shared" si="5"/>
        <v>6.26</v>
      </c>
      <c r="I51" s="14">
        <f>H51/B3</f>
        <v>0.4173333333</v>
      </c>
      <c r="J51" s="2">
        <v>0.0</v>
      </c>
      <c r="K51" s="2">
        <v>0.0</v>
      </c>
      <c r="L51" s="2">
        <v>0.0</v>
      </c>
      <c r="M51" s="7"/>
      <c r="N51" s="7"/>
    </row>
    <row r="52">
      <c r="A52" s="12">
        <v>45458.0</v>
      </c>
      <c r="B52" s="6" t="s">
        <v>27</v>
      </c>
      <c r="C52" s="2">
        <v>0.63</v>
      </c>
      <c r="D52" s="16">
        <f t="shared" si="3"/>
        <v>6.77</v>
      </c>
      <c r="E52" s="17">
        <f>D52/B1</f>
        <v>0.4513333333</v>
      </c>
      <c r="F52" s="16">
        <f t="shared" si="4"/>
        <v>5.85</v>
      </c>
      <c r="G52" s="17">
        <f>F52/B2</f>
        <v>0.39</v>
      </c>
      <c r="H52" s="15">
        <f t="shared" si="5"/>
        <v>6.26</v>
      </c>
      <c r="I52" s="14">
        <f>H52/B3</f>
        <v>0.4173333333</v>
      </c>
      <c r="J52" s="2">
        <v>0.0</v>
      </c>
      <c r="K52" s="2">
        <v>0.0</v>
      </c>
      <c r="L52" s="2">
        <v>0.0</v>
      </c>
      <c r="M52" s="7"/>
      <c r="N52" s="7"/>
    </row>
    <row r="53">
      <c r="A53" s="12">
        <v>45458.0</v>
      </c>
      <c r="B53" s="6" t="s">
        <v>36</v>
      </c>
      <c r="C53" s="2">
        <v>0.67</v>
      </c>
      <c r="D53" s="16">
        <f t="shared" si="3"/>
        <v>6.77</v>
      </c>
      <c r="E53" s="17">
        <f>D53/B1</f>
        <v>0.4513333333</v>
      </c>
      <c r="F53" s="16">
        <f t="shared" si="4"/>
        <v>5.85</v>
      </c>
      <c r="G53" s="17">
        <f>F53/B2</f>
        <v>0.39</v>
      </c>
      <c r="H53" s="15">
        <f t="shared" si="5"/>
        <v>5.59</v>
      </c>
      <c r="I53" s="14">
        <f>H53/B3</f>
        <v>0.3726666667</v>
      </c>
      <c r="J53" s="2">
        <v>0.0</v>
      </c>
      <c r="K53" s="2">
        <v>0.0</v>
      </c>
      <c r="L53" s="2">
        <v>0.0</v>
      </c>
      <c r="M53" s="7"/>
      <c r="N53" s="7"/>
    </row>
    <row r="54">
      <c r="A54" s="12">
        <v>45459.0</v>
      </c>
      <c r="B54" s="6" t="s">
        <v>35</v>
      </c>
      <c r="C54" s="2">
        <v>0.63</v>
      </c>
      <c r="D54" s="16">
        <f t="shared" si="3"/>
        <v>6.14</v>
      </c>
      <c r="E54" s="17">
        <f>D54/B1</f>
        <v>0.4093333333</v>
      </c>
      <c r="F54" s="16">
        <f t="shared" si="4"/>
        <v>5.85</v>
      </c>
      <c r="G54" s="17">
        <f>F54/B2</f>
        <v>0.39</v>
      </c>
      <c r="H54" s="15">
        <f t="shared" si="5"/>
        <v>5.59</v>
      </c>
      <c r="I54" s="14">
        <f>H54/B3</f>
        <v>0.3726666667</v>
      </c>
      <c r="J54" s="2">
        <v>0.0</v>
      </c>
      <c r="K54" s="2">
        <v>0.0</v>
      </c>
      <c r="L54" s="2">
        <v>0.0</v>
      </c>
      <c r="M54" s="7"/>
      <c r="N54" s="7"/>
    </row>
    <row r="55">
      <c r="A55" s="12">
        <v>45459.0</v>
      </c>
      <c r="B55" s="6" t="s">
        <v>27</v>
      </c>
      <c r="C55" s="2">
        <v>0.69</v>
      </c>
      <c r="D55" s="16">
        <f t="shared" si="3"/>
        <v>6.14</v>
      </c>
      <c r="E55" s="17">
        <f>D55/B1</f>
        <v>0.4093333333</v>
      </c>
      <c r="F55" s="16">
        <f t="shared" si="4"/>
        <v>5.16</v>
      </c>
      <c r="G55" s="17">
        <f>F55/B2</f>
        <v>0.344</v>
      </c>
      <c r="H55" s="15">
        <f t="shared" si="5"/>
        <v>5.59</v>
      </c>
      <c r="I55" s="14">
        <f>H55/B3</f>
        <v>0.3726666667</v>
      </c>
      <c r="J55" s="2">
        <v>0.0</v>
      </c>
      <c r="K55" s="2">
        <v>0.0</v>
      </c>
      <c r="L55" s="2">
        <v>0.0</v>
      </c>
      <c r="M55" s="7"/>
      <c r="N55" s="7"/>
    </row>
    <row r="56">
      <c r="A56" s="12">
        <v>45459.0</v>
      </c>
      <c r="B56" s="6" t="s">
        <v>36</v>
      </c>
      <c r="C56" s="2">
        <v>0.55</v>
      </c>
      <c r="D56" s="16">
        <f t="shared" si="3"/>
        <v>6.14</v>
      </c>
      <c r="E56" s="17">
        <f>D56/B1</f>
        <v>0.4093333333</v>
      </c>
      <c r="F56" s="16">
        <f t="shared" si="4"/>
        <v>5.16</v>
      </c>
      <c r="G56" s="17">
        <f>F56/B2</f>
        <v>0.344</v>
      </c>
      <c r="H56" s="15">
        <f t="shared" si="5"/>
        <v>5.04</v>
      </c>
      <c r="I56" s="14">
        <f>H56/B3</f>
        <v>0.336</v>
      </c>
      <c r="J56" s="2">
        <v>0.0</v>
      </c>
      <c r="K56" s="2">
        <v>0.0</v>
      </c>
      <c r="L56" s="2">
        <v>0.0</v>
      </c>
      <c r="M56" s="7"/>
      <c r="N56" s="7"/>
    </row>
    <row r="57">
      <c r="A57" s="12">
        <v>45460.0</v>
      </c>
      <c r="B57" s="6" t="s">
        <v>35</v>
      </c>
      <c r="C57" s="2">
        <v>0.69</v>
      </c>
      <c r="D57" s="16">
        <f t="shared" si="3"/>
        <v>5.45</v>
      </c>
      <c r="E57" s="17">
        <f>D57/B1</f>
        <v>0.3633333333</v>
      </c>
      <c r="F57" s="16">
        <f t="shared" si="4"/>
        <v>5.16</v>
      </c>
      <c r="G57" s="17">
        <f>F57/B2</f>
        <v>0.344</v>
      </c>
      <c r="H57" s="15">
        <f t="shared" si="5"/>
        <v>5.04</v>
      </c>
      <c r="I57" s="14">
        <f>H57/B3</f>
        <v>0.336</v>
      </c>
      <c r="J57" s="2">
        <v>0.0</v>
      </c>
      <c r="K57" s="2">
        <v>0.0</v>
      </c>
      <c r="L57" s="2">
        <v>0.0</v>
      </c>
      <c r="M57" s="7"/>
      <c r="N57" s="7"/>
    </row>
    <row r="58">
      <c r="A58" s="12">
        <v>45460.0</v>
      </c>
      <c r="B58" s="6" t="s">
        <v>27</v>
      </c>
      <c r="C58" s="2">
        <v>0.0</v>
      </c>
      <c r="D58" s="16">
        <f t="shared" si="3"/>
        <v>5.45</v>
      </c>
      <c r="E58" s="17">
        <f>D58/B1</f>
        <v>0.3633333333</v>
      </c>
      <c r="F58" s="16">
        <f t="shared" si="4"/>
        <v>5.16</v>
      </c>
      <c r="G58" s="17">
        <f>F58/B2</f>
        <v>0.344</v>
      </c>
      <c r="H58" s="15">
        <f t="shared" si="5"/>
        <v>5.04</v>
      </c>
      <c r="I58" s="14">
        <f>H58/B3</f>
        <v>0.336</v>
      </c>
      <c r="J58" s="2">
        <v>0.0</v>
      </c>
      <c r="K58" s="2">
        <v>0.0</v>
      </c>
      <c r="L58" s="2">
        <v>0.0</v>
      </c>
      <c r="M58" s="7"/>
      <c r="N58" s="7"/>
    </row>
    <row r="59">
      <c r="A59" s="12">
        <v>45460.0</v>
      </c>
      <c r="B59" s="6" t="s">
        <v>36</v>
      </c>
      <c r="C59" s="2">
        <v>0.0</v>
      </c>
      <c r="D59" s="16">
        <f t="shared" si="3"/>
        <v>5.45</v>
      </c>
      <c r="E59" s="17">
        <f>D59/B1</f>
        <v>0.3633333333</v>
      </c>
      <c r="F59" s="16">
        <f t="shared" si="4"/>
        <v>5.16</v>
      </c>
      <c r="G59" s="17">
        <f>F59/B2</f>
        <v>0.344</v>
      </c>
      <c r="H59" s="15">
        <f t="shared" si="5"/>
        <v>5.04</v>
      </c>
      <c r="I59" s="14">
        <f>H59/B3</f>
        <v>0.336</v>
      </c>
      <c r="J59" s="2">
        <v>0.0</v>
      </c>
      <c r="K59" s="2">
        <v>0.0</v>
      </c>
      <c r="L59" s="2">
        <v>0.0</v>
      </c>
    </row>
    <row r="60">
      <c r="A60" s="12">
        <v>45461.0</v>
      </c>
      <c r="B60" s="6" t="s">
        <v>35</v>
      </c>
      <c r="C60" s="2">
        <v>0.72</v>
      </c>
      <c r="D60" s="16">
        <f t="shared" si="3"/>
        <v>4.73</v>
      </c>
      <c r="E60" s="17">
        <f>D60/B1</f>
        <v>0.3153333333</v>
      </c>
      <c r="F60" s="16">
        <f t="shared" si="4"/>
        <v>5.16</v>
      </c>
      <c r="G60" s="17">
        <f>F60/B2</f>
        <v>0.344</v>
      </c>
      <c r="H60" s="15">
        <f t="shared" si="5"/>
        <v>5.04</v>
      </c>
      <c r="I60" s="14">
        <f>H60/B3</f>
        <v>0.336</v>
      </c>
      <c r="J60" s="2">
        <v>0.0</v>
      </c>
      <c r="K60" s="2">
        <v>0.0</v>
      </c>
      <c r="L60" s="2">
        <v>0.0</v>
      </c>
    </row>
    <row r="61">
      <c r="A61" s="12">
        <v>45461.0</v>
      </c>
      <c r="B61" s="6" t="s">
        <v>27</v>
      </c>
      <c r="C61" s="2">
        <v>0.62</v>
      </c>
      <c r="D61" s="16">
        <f t="shared" si="3"/>
        <v>4.73</v>
      </c>
      <c r="E61" s="17">
        <f>D61/B1</f>
        <v>0.3153333333</v>
      </c>
      <c r="F61" s="16">
        <f t="shared" si="4"/>
        <v>4.54</v>
      </c>
      <c r="G61" s="17">
        <f>F61/B2</f>
        <v>0.3026666667</v>
      </c>
      <c r="H61" s="15">
        <f t="shared" si="5"/>
        <v>5.04</v>
      </c>
      <c r="I61" s="14">
        <f>H61/B3</f>
        <v>0.336</v>
      </c>
      <c r="J61" s="2">
        <v>0.0</v>
      </c>
      <c r="K61" s="2">
        <v>0.0</v>
      </c>
      <c r="L61" s="2">
        <v>0.0</v>
      </c>
    </row>
    <row r="62">
      <c r="A62" s="12">
        <v>45461.0</v>
      </c>
      <c r="B62" s="6" t="s">
        <v>36</v>
      </c>
      <c r="C62" s="2">
        <v>0.75</v>
      </c>
      <c r="D62" s="16">
        <f t="shared" si="3"/>
        <v>4.73</v>
      </c>
      <c r="E62" s="17">
        <f>D62/B1</f>
        <v>0.3153333333</v>
      </c>
      <c r="F62" s="16">
        <f t="shared" si="4"/>
        <v>4.54</v>
      </c>
      <c r="G62" s="17">
        <f>F62/B2</f>
        <v>0.3026666667</v>
      </c>
      <c r="H62" s="15">
        <f t="shared" si="5"/>
        <v>4.29</v>
      </c>
      <c r="I62" s="14">
        <f>H62/B3</f>
        <v>0.286</v>
      </c>
      <c r="J62" s="2">
        <v>0.0</v>
      </c>
      <c r="K62" s="2">
        <v>0.0</v>
      </c>
      <c r="L62" s="2">
        <v>0.0</v>
      </c>
    </row>
    <row r="63">
      <c r="A63" s="12">
        <v>45462.0</v>
      </c>
      <c r="B63" s="6" t="s">
        <v>35</v>
      </c>
      <c r="C63" s="2">
        <v>0.68</v>
      </c>
      <c r="D63" s="16">
        <f t="shared" si="3"/>
        <v>4.05</v>
      </c>
      <c r="E63" s="17">
        <f>D63/B1</f>
        <v>0.27</v>
      </c>
      <c r="F63" s="16">
        <f t="shared" si="4"/>
        <v>4.54</v>
      </c>
      <c r="G63" s="17">
        <f>F63/B2</f>
        <v>0.3026666667</v>
      </c>
      <c r="H63" s="15">
        <f t="shared" si="5"/>
        <v>4.29</v>
      </c>
      <c r="I63" s="14">
        <f>H63/B3</f>
        <v>0.286</v>
      </c>
      <c r="J63" s="2">
        <v>0.0</v>
      </c>
      <c r="K63" s="2">
        <v>0.0</v>
      </c>
      <c r="L63" s="2">
        <v>0.0</v>
      </c>
    </row>
    <row r="64">
      <c r="A64" s="12">
        <v>45462.0</v>
      </c>
      <c r="B64" s="6" t="s">
        <v>27</v>
      </c>
      <c r="C64" s="2">
        <v>0.7</v>
      </c>
      <c r="D64" s="16">
        <f t="shared" si="3"/>
        <v>4.05</v>
      </c>
      <c r="E64" s="17">
        <f>D64/B1</f>
        <v>0.27</v>
      </c>
      <c r="F64" s="16">
        <f t="shared" si="4"/>
        <v>3.84</v>
      </c>
      <c r="G64" s="17">
        <f>F64/B2</f>
        <v>0.256</v>
      </c>
      <c r="H64" s="15">
        <f t="shared" si="5"/>
        <v>4.29</v>
      </c>
      <c r="I64" s="14">
        <f>H64/B3</f>
        <v>0.286</v>
      </c>
      <c r="J64" s="2">
        <v>0.0</v>
      </c>
      <c r="K64" s="2">
        <v>0.0</v>
      </c>
      <c r="L64" s="2">
        <v>0.0</v>
      </c>
    </row>
    <row r="65">
      <c r="A65" s="12">
        <v>45462.0</v>
      </c>
      <c r="B65" s="6" t="s">
        <v>36</v>
      </c>
      <c r="C65" s="2">
        <v>0.84</v>
      </c>
      <c r="D65" s="16">
        <f t="shared" si="3"/>
        <v>4.05</v>
      </c>
      <c r="E65" s="17">
        <f>D65/B1</f>
        <v>0.27</v>
      </c>
      <c r="F65" s="16">
        <f t="shared" si="4"/>
        <v>3.84</v>
      </c>
      <c r="G65" s="17">
        <f>F65/B2</f>
        <v>0.256</v>
      </c>
      <c r="H65" s="15">
        <f t="shared" si="5"/>
        <v>3.45</v>
      </c>
      <c r="I65" s="14">
        <f>H65/B3</f>
        <v>0.23</v>
      </c>
      <c r="J65" s="2">
        <v>0.0</v>
      </c>
      <c r="K65" s="2">
        <v>0.0</v>
      </c>
      <c r="L65" s="2">
        <v>0.0</v>
      </c>
    </row>
    <row r="66">
      <c r="A66" s="12">
        <v>45463.0</v>
      </c>
      <c r="B66" s="6" t="s">
        <v>35</v>
      </c>
      <c r="C66" s="2">
        <v>0.0</v>
      </c>
      <c r="D66" s="16">
        <f t="shared" si="3"/>
        <v>4.05</v>
      </c>
      <c r="E66" s="17">
        <f>D66/B1</f>
        <v>0.27</v>
      </c>
      <c r="F66" s="16">
        <f t="shared" si="4"/>
        <v>3.84</v>
      </c>
      <c r="G66" s="17">
        <f>F66/B2</f>
        <v>0.256</v>
      </c>
      <c r="H66" s="15">
        <f t="shared" si="5"/>
        <v>3.45</v>
      </c>
      <c r="I66" s="14">
        <f>H66/B3</f>
        <v>0.23</v>
      </c>
      <c r="J66" s="2">
        <v>0.0</v>
      </c>
      <c r="K66" s="2">
        <v>0.0</v>
      </c>
      <c r="L66" s="2">
        <v>0.0</v>
      </c>
    </row>
    <row r="67">
      <c r="A67" s="12">
        <v>45463.0</v>
      </c>
      <c r="B67" s="6" t="s">
        <v>27</v>
      </c>
      <c r="C67" s="2">
        <v>0.55</v>
      </c>
      <c r="D67" s="16">
        <f t="shared" si="3"/>
        <v>4.05</v>
      </c>
      <c r="E67" s="17">
        <f>D67/B1</f>
        <v>0.27</v>
      </c>
      <c r="F67" s="16">
        <f t="shared" si="4"/>
        <v>3.29</v>
      </c>
      <c r="G67" s="17">
        <f>F67/B2</f>
        <v>0.2193333333</v>
      </c>
      <c r="H67" s="15">
        <f t="shared" si="5"/>
        <v>3.45</v>
      </c>
      <c r="I67" s="14">
        <f>H67/B3</f>
        <v>0.23</v>
      </c>
      <c r="J67" s="2">
        <v>0.0</v>
      </c>
      <c r="K67" s="2">
        <v>0.0</v>
      </c>
      <c r="L67" s="2">
        <v>0.0</v>
      </c>
    </row>
    <row r="68">
      <c r="A68" s="12">
        <v>45463.0</v>
      </c>
      <c r="B68" s="6" t="s">
        <v>36</v>
      </c>
      <c r="C68" s="2">
        <v>0.6</v>
      </c>
      <c r="D68" s="16">
        <f t="shared" si="3"/>
        <v>4.05</v>
      </c>
      <c r="E68" s="17">
        <f>D68/B1</f>
        <v>0.27</v>
      </c>
      <c r="F68" s="16">
        <f t="shared" si="4"/>
        <v>3.29</v>
      </c>
      <c r="G68" s="17">
        <f>F68/B2</f>
        <v>0.2193333333</v>
      </c>
      <c r="H68" s="15">
        <f t="shared" si="5"/>
        <v>2.85</v>
      </c>
      <c r="I68" s="14">
        <f>H68/B3</f>
        <v>0.19</v>
      </c>
      <c r="J68" s="2">
        <v>0.0</v>
      </c>
      <c r="K68" s="2">
        <v>0.0</v>
      </c>
      <c r="L68" s="2">
        <v>0.0</v>
      </c>
    </row>
    <row r="69">
      <c r="A69" s="12">
        <v>45464.0</v>
      </c>
      <c r="B69" s="6" t="s">
        <v>35</v>
      </c>
      <c r="C69" s="2">
        <v>0.62</v>
      </c>
      <c r="D69" s="16">
        <f t="shared" si="3"/>
        <v>3.43</v>
      </c>
      <c r="E69" s="17">
        <f>D69/B1</f>
        <v>0.2286666667</v>
      </c>
      <c r="F69" s="16">
        <f t="shared" si="4"/>
        <v>3.29</v>
      </c>
      <c r="G69" s="17">
        <f>F69/B2</f>
        <v>0.2193333333</v>
      </c>
      <c r="H69" s="15">
        <f t="shared" si="5"/>
        <v>2.85</v>
      </c>
      <c r="I69" s="14">
        <f>H69/B3</f>
        <v>0.19</v>
      </c>
      <c r="J69" s="2">
        <v>0.0</v>
      </c>
      <c r="K69" s="2">
        <v>0.0</v>
      </c>
      <c r="L69" s="2">
        <v>0.0</v>
      </c>
    </row>
    <row r="70">
      <c r="A70" s="12">
        <v>45464.0</v>
      </c>
      <c r="B70" s="6" t="s">
        <v>27</v>
      </c>
      <c r="C70" s="2">
        <v>0.51</v>
      </c>
      <c r="D70" s="16">
        <f t="shared" si="3"/>
        <v>3.43</v>
      </c>
      <c r="E70" s="17">
        <f>D70/B1</f>
        <v>0.2286666667</v>
      </c>
      <c r="F70" s="16">
        <f t="shared" si="4"/>
        <v>2.78</v>
      </c>
      <c r="G70" s="17">
        <f>F70/B2</f>
        <v>0.1853333333</v>
      </c>
      <c r="H70" s="15">
        <f t="shared" si="5"/>
        <v>2.85</v>
      </c>
      <c r="I70" s="14">
        <f>H70/B3</f>
        <v>0.19</v>
      </c>
      <c r="J70" s="2">
        <v>0.0</v>
      </c>
      <c r="K70" s="2">
        <v>0.0</v>
      </c>
      <c r="L70" s="2">
        <v>0.0</v>
      </c>
    </row>
    <row r="71">
      <c r="A71" s="12">
        <v>45464.0</v>
      </c>
      <c r="B71" s="6" t="s">
        <v>36</v>
      </c>
      <c r="C71" s="2">
        <v>0.54</v>
      </c>
      <c r="D71" s="16">
        <f t="shared" si="3"/>
        <v>3.43</v>
      </c>
      <c r="E71" s="17">
        <f>D71/B1</f>
        <v>0.2286666667</v>
      </c>
      <c r="F71" s="16">
        <f t="shared" si="4"/>
        <v>2.78</v>
      </c>
      <c r="G71" s="17">
        <f>F71/B2</f>
        <v>0.1853333333</v>
      </c>
      <c r="H71" s="15">
        <f t="shared" si="5"/>
        <v>2.31</v>
      </c>
      <c r="I71" s="14">
        <f>H71/B3</f>
        <v>0.154</v>
      </c>
      <c r="J71" s="2">
        <v>0.0</v>
      </c>
      <c r="K71" s="2">
        <v>0.0</v>
      </c>
      <c r="L71" s="2">
        <v>0.0</v>
      </c>
    </row>
    <row r="72">
      <c r="A72" s="12">
        <v>45465.0</v>
      </c>
      <c r="B72" s="6" t="s">
        <v>35</v>
      </c>
      <c r="C72" s="2">
        <v>0.0</v>
      </c>
      <c r="D72" s="16">
        <f t="shared" si="3"/>
        <v>3.43</v>
      </c>
      <c r="E72" s="17">
        <f>D72/B1</f>
        <v>0.2286666667</v>
      </c>
      <c r="F72" s="16">
        <f t="shared" si="4"/>
        <v>2.78</v>
      </c>
      <c r="G72" s="17">
        <f>F72/B2</f>
        <v>0.1853333333</v>
      </c>
      <c r="H72" s="15">
        <f t="shared" si="5"/>
        <v>2.31</v>
      </c>
      <c r="I72" s="14">
        <f>H72/B3</f>
        <v>0.154</v>
      </c>
      <c r="J72" s="2">
        <v>0.0</v>
      </c>
      <c r="K72" s="2">
        <v>0.0</v>
      </c>
      <c r="L72" s="2">
        <v>0.0</v>
      </c>
    </row>
    <row r="73">
      <c r="A73" s="12">
        <v>45465.0</v>
      </c>
      <c r="B73" s="6" t="s">
        <v>27</v>
      </c>
      <c r="C73" s="2">
        <v>0.0</v>
      </c>
      <c r="D73" s="16">
        <f t="shared" si="3"/>
        <v>3.43</v>
      </c>
      <c r="E73" s="17">
        <f>D73/B1</f>
        <v>0.2286666667</v>
      </c>
      <c r="F73" s="16">
        <f t="shared" si="4"/>
        <v>2.78</v>
      </c>
      <c r="G73" s="17">
        <f>F73/B2</f>
        <v>0.1853333333</v>
      </c>
      <c r="H73" s="15">
        <f t="shared" si="5"/>
        <v>2.31</v>
      </c>
      <c r="I73" s="14">
        <f>H73/B3</f>
        <v>0.154</v>
      </c>
      <c r="J73" s="2">
        <v>0.0</v>
      </c>
      <c r="K73" s="2">
        <v>0.0</v>
      </c>
      <c r="L73" s="2">
        <v>0.0</v>
      </c>
    </row>
    <row r="74">
      <c r="A74" s="12">
        <v>45465.0</v>
      </c>
      <c r="B74" s="6" t="s">
        <v>36</v>
      </c>
      <c r="C74" s="2">
        <v>0.0</v>
      </c>
      <c r="D74" s="16">
        <f t="shared" si="3"/>
        <v>3.43</v>
      </c>
      <c r="E74" s="17">
        <f>D74/B1</f>
        <v>0.2286666667</v>
      </c>
      <c r="F74" s="16">
        <f t="shared" si="4"/>
        <v>2.78</v>
      </c>
      <c r="G74" s="17">
        <f>F74/B2</f>
        <v>0.1853333333</v>
      </c>
      <c r="H74" s="15">
        <f t="shared" si="5"/>
        <v>2.31</v>
      </c>
      <c r="I74" s="14">
        <f>H74/B3</f>
        <v>0.154</v>
      </c>
      <c r="J74" s="2">
        <v>0.0</v>
      </c>
      <c r="K74" s="2">
        <v>0.0</v>
      </c>
      <c r="L74" s="2">
        <v>0.0</v>
      </c>
    </row>
    <row r="75">
      <c r="A75" s="12">
        <v>45466.0</v>
      </c>
      <c r="B75" s="6" t="s">
        <v>35</v>
      </c>
      <c r="C75" s="2">
        <v>0.59</v>
      </c>
      <c r="D75" s="16">
        <f t="shared" si="3"/>
        <v>2.84</v>
      </c>
      <c r="E75" s="17">
        <f>D75/B1</f>
        <v>0.1893333333</v>
      </c>
      <c r="F75" s="16">
        <f t="shared" si="4"/>
        <v>2.78</v>
      </c>
      <c r="G75" s="17">
        <f>F75/B2</f>
        <v>0.1853333333</v>
      </c>
      <c r="H75" s="15">
        <f t="shared" si="5"/>
        <v>2.31</v>
      </c>
      <c r="I75" s="14">
        <f>H75/B3</f>
        <v>0.154</v>
      </c>
      <c r="J75" s="2">
        <v>0.0</v>
      </c>
      <c r="K75" s="2">
        <v>0.0</v>
      </c>
      <c r="L75" s="2">
        <v>0.0</v>
      </c>
    </row>
    <row r="76">
      <c r="A76" s="12">
        <v>45466.0</v>
      </c>
      <c r="B76" s="6" t="s">
        <v>27</v>
      </c>
      <c r="C76" s="2">
        <v>0.61</v>
      </c>
      <c r="D76" s="16">
        <f t="shared" si="3"/>
        <v>2.84</v>
      </c>
      <c r="E76" s="17">
        <f>D76/B1</f>
        <v>0.1893333333</v>
      </c>
      <c r="F76" s="16">
        <f t="shared" si="4"/>
        <v>2.17</v>
      </c>
      <c r="G76" s="17">
        <f>F76/B2</f>
        <v>0.1446666667</v>
      </c>
      <c r="H76" s="15">
        <f t="shared" si="5"/>
        <v>2.31</v>
      </c>
      <c r="I76" s="14">
        <f>H76/B3</f>
        <v>0.154</v>
      </c>
      <c r="J76" s="2">
        <v>0.0</v>
      </c>
      <c r="K76" s="2">
        <v>0.0</v>
      </c>
      <c r="L76" s="2">
        <v>0.0</v>
      </c>
    </row>
    <row r="77">
      <c r="A77" s="12">
        <v>45466.0</v>
      </c>
      <c r="B77" s="6" t="s">
        <v>36</v>
      </c>
      <c r="C77" s="2">
        <v>0.66</v>
      </c>
      <c r="D77" s="16">
        <f t="shared" si="3"/>
        <v>2.84</v>
      </c>
      <c r="E77" s="17">
        <f>D77/B1</f>
        <v>0.1893333333</v>
      </c>
      <c r="F77" s="16">
        <f t="shared" si="4"/>
        <v>2.17</v>
      </c>
      <c r="G77" s="17">
        <f>F77/B2</f>
        <v>0.1446666667</v>
      </c>
      <c r="H77" s="15">
        <f t="shared" si="5"/>
        <v>1.65</v>
      </c>
      <c r="I77" s="14">
        <f>H77/B3</f>
        <v>0.11</v>
      </c>
      <c r="J77" s="2">
        <v>0.0</v>
      </c>
      <c r="K77" s="2">
        <v>0.0</v>
      </c>
      <c r="L77" s="2">
        <v>0.0</v>
      </c>
    </row>
    <row r="78">
      <c r="A78" s="12">
        <v>45467.0</v>
      </c>
      <c r="B78" s="6" t="s">
        <v>35</v>
      </c>
      <c r="C78" s="2">
        <v>0.58</v>
      </c>
      <c r="D78" s="16">
        <f t="shared" si="3"/>
        <v>2.26</v>
      </c>
      <c r="E78" s="17">
        <f>D78/B1</f>
        <v>0.1506666667</v>
      </c>
      <c r="F78" s="16">
        <f t="shared" si="4"/>
        <v>2.17</v>
      </c>
      <c r="G78" s="17">
        <f>F78/B2</f>
        <v>0.1446666667</v>
      </c>
      <c r="H78" s="15">
        <f t="shared" si="5"/>
        <v>1.65</v>
      </c>
      <c r="I78" s="14">
        <f>H78/B3</f>
        <v>0.11</v>
      </c>
      <c r="J78" s="2">
        <v>0.0</v>
      </c>
      <c r="K78" s="2">
        <v>0.0</v>
      </c>
      <c r="L78" s="2">
        <v>0.0</v>
      </c>
    </row>
    <row r="79">
      <c r="A79" s="12">
        <v>45467.0</v>
      </c>
      <c r="B79" s="6" t="s">
        <v>27</v>
      </c>
      <c r="C79" s="2">
        <v>0.53</v>
      </c>
      <c r="D79" s="16">
        <f t="shared" si="3"/>
        <v>2.26</v>
      </c>
      <c r="E79" s="17">
        <f>D79/B1</f>
        <v>0.1506666667</v>
      </c>
      <c r="F79" s="16">
        <f t="shared" si="4"/>
        <v>1.64</v>
      </c>
      <c r="G79" s="17">
        <f>F79/B2</f>
        <v>0.1093333333</v>
      </c>
      <c r="H79" s="15">
        <f t="shared" si="5"/>
        <v>1.65</v>
      </c>
      <c r="I79" s="14">
        <f>H79/B3</f>
        <v>0.11</v>
      </c>
      <c r="J79" s="2">
        <v>0.0</v>
      </c>
      <c r="K79" s="2">
        <v>0.0</v>
      </c>
      <c r="L79" s="2">
        <v>0.0</v>
      </c>
    </row>
    <row r="80">
      <c r="A80" s="12">
        <v>45467.0</v>
      </c>
      <c r="B80" s="6" t="s">
        <v>36</v>
      </c>
      <c r="C80" s="2">
        <v>0.56</v>
      </c>
      <c r="D80" s="16">
        <f t="shared" si="3"/>
        <v>2.26</v>
      </c>
      <c r="E80" s="17">
        <f>D80/B1</f>
        <v>0.1506666667</v>
      </c>
      <c r="F80" s="16">
        <f t="shared" si="4"/>
        <v>1.64</v>
      </c>
      <c r="G80" s="17">
        <f>F80/B2</f>
        <v>0.1093333333</v>
      </c>
      <c r="H80" s="15">
        <f t="shared" si="5"/>
        <v>1.09</v>
      </c>
      <c r="I80" s="14">
        <f>H80/B3</f>
        <v>0.07266666667</v>
      </c>
      <c r="J80" s="2">
        <v>0.0</v>
      </c>
      <c r="K80" s="2">
        <v>0.0</v>
      </c>
      <c r="L80" s="2">
        <v>0.0</v>
      </c>
    </row>
    <row r="81">
      <c r="A81" s="12">
        <v>45468.0</v>
      </c>
      <c r="B81" s="6" t="s">
        <v>35</v>
      </c>
      <c r="C81" s="2">
        <v>0.0</v>
      </c>
      <c r="D81" s="16">
        <f t="shared" si="3"/>
        <v>2.26</v>
      </c>
      <c r="E81" s="17">
        <f>D81/B1</f>
        <v>0.1506666667</v>
      </c>
      <c r="F81" s="16">
        <f t="shared" si="4"/>
        <v>1.64</v>
      </c>
      <c r="G81" s="17">
        <f>F81/B2</f>
        <v>0.1093333333</v>
      </c>
      <c r="H81" s="15">
        <f t="shared" si="5"/>
        <v>1.09</v>
      </c>
      <c r="I81" s="14">
        <f>H81/B3</f>
        <v>0.07266666667</v>
      </c>
      <c r="J81" s="2">
        <v>0.0</v>
      </c>
      <c r="K81" s="2">
        <v>0.0</v>
      </c>
      <c r="L81" s="2">
        <v>0.0</v>
      </c>
    </row>
    <row r="82">
      <c r="A82" s="12">
        <v>45468.0</v>
      </c>
      <c r="B82" s="6" t="s">
        <v>27</v>
      </c>
      <c r="C82" s="2">
        <v>0.71</v>
      </c>
      <c r="D82" s="16">
        <f t="shared" si="3"/>
        <v>2.26</v>
      </c>
      <c r="E82" s="17">
        <f>D82/B1</f>
        <v>0.1506666667</v>
      </c>
      <c r="F82" s="16">
        <f t="shared" si="4"/>
        <v>0.93</v>
      </c>
      <c r="G82" s="17">
        <f>F82/B2</f>
        <v>0.062</v>
      </c>
      <c r="H82" s="15">
        <f t="shared" si="5"/>
        <v>1.09</v>
      </c>
      <c r="I82" s="14">
        <f>H82/B3</f>
        <v>0.07266666667</v>
      </c>
      <c r="J82" s="2">
        <v>0.0</v>
      </c>
      <c r="K82" s="2">
        <v>0.0</v>
      </c>
      <c r="L82" s="2">
        <v>0.0</v>
      </c>
    </row>
    <row r="83">
      <c r="A83" s="12">
        <v>45468.0</v>
      </c>
      <c r="B83" s="6" t="s">
        <v>36</v>
      </c>
      <c r="C83" s="2">
        <v>0.56</v>
      </c>
      <c r="D83" s="16">
        <f t="shared" si="3"/>
        <v>2.26</v>
      </c>
      <c r="E83" s="17">
        <f>D83/B1</f>
        <v>0.1506666667</v>
      </c>
      <c r="F83" s="16">
        <f t="shared" si="4"/>
        <v>0.93</v>
      </c>
      <c r="G83" s="17">
        <f>F83/B2</f>
        <v>0.062</v>
      </c>
      <c r="H83" s="15">
        <f t="shared" si="5"/>
        <v>0.53</v>
      </c>
      <c r="I83" s="14">
        <f>H83/B3</f>
        <v>0.03533333333</v>
      </c>
      <c r="J83" s="2">
        <v>0.0</v>
      </c>
      <c r="K83" s="2">
        <v>0.0</v>
      </c>
      <c r="L83" s="2">
        <v>0.0</v>
      </c>
    </row>
    <row r="84">
      <c r="A84" s="12">
        <v>45469.0</v>
      </c>
      <c r="B84" s="6" t="s">
        <v>35</v>
      </c>
      <c r="C84" s="2">
        <v>0.46</v>
      </c>
      <c r="D84" s="16">
        <f t="shared" si="3"/>
        <v>1.8</v>
      </c>
      <c r="E84" s="17">
        <f>D84/B1</f>
        <v>0.12</v>
      </c>
      <c r="F84" s="16">
        <f t="shared" si="4"/>
        <v>0.93</v>
      </c>
      <c r="G84" s="17">
        <f>F84/B2</f>
        <v>0.062</v>
      </c>
      <c r="H84" s="15">
        <f t="shared" si="5"/>
        <v>0.53</v>
      </c>
      <c r="I84" s="14">
        <f>H84/B3</f>
        <v>0.03533333333</v>
      </c>
      <c r="J84" s="2">
        <v>0.0</v>
      </c>
      <c r="K84" s="2">
        <v>0.0</v>
      </c>
      <c r="L84" s="2">
        <v>0.0</v>
      </c>
    </row>
    <row r="85">
      <c r="A85" s="12">
        <v>45469.0</v>
      </c>
      <c r="B85" s="6" t="s">
        <v>27</v>
      </c>
      <c r="C85" s="2">
        <v>0.57</v>
      </c>
      <c r="D85" s="16">
        <f t="shared" si="3"/>
        <v>1.8</v>
      </c>
      <c r="E85" s="17">
        <f>D85/B1</f>
        <v>0.12</v>
      </c>
      <c r="F85" s="16">
        <f t="shared" si="4"/>
        <v>0.36</v>
      </c>
      <c r="G85" s="17">
        <f>F85/B2</f>
        <v>0.024</v>
      </c>
      <c r="H85" s="15">
        <f t="shared" si="5"/>
        <v>0.53</v>
      </c>
      <c r="I85" s="14">
        <f>H85/B3</f>
        <v>0.03533333333</v>
      </c>
      <c r="J85" s="2">
        <v>0.0</v>
      </c>
      <c r="K85" s="2">
        <v>0.0</v>
      </c>
      <c r="L85" s="2">
        <v>0.0</v>
      </c>
    </row>
    <row r="86">
      <c r="A86" s="12">
        <v>45469.0</v>
      </c>
      <c r="B86" s="6" t="s">
        <v>36</v>
      </c>
      <c r="C86" s="2">
        <v>0.53</v>
      </c>
      <c r="D86" s="16">
        <f t="shared" si="3"/>
        <v>1.8</v>
      </c>
      <c r="E86" s="17">
        <f>D86/B1</f>
        <v>0.12</v>
      </c>
      <c r="F86" s="16">
        <f t="shared" si="4"/>
        <v>0.36</v>
      </c>
      <c r="G86" s="17">
        <f>F86/B2</f>
        <v>0.024</v>
      </c>
      <c r="H86" s="15">
        <f t="shared" si="5"/>
        <v>0</v>
      </c>
      <c r="I86" s="14">
        <f>H86/B3</f>
        <v>0</v>
      </c>
      <c r="J86" s="2">
        <v>0.0</v>
      </c>
      <c r="K86" s="2">
        <v>0.0</v>
      </c>
      <c r="L86" s="2">
        <v>0.0</v>
      </c>
    </row>
    <row r="87">
      <c r="A87" s="12">
        <v>45470.0</v>
      </c>
      <c r="B87" s="6" t="s">
        <v>35</v>
      </c>
      <c r="C87" s="2">
        <v>0.6</v>
      </c>
      <c r="D87" s="16">
        <f t="shared" si="3"/>
        <v>1.2</v>
      </c>
      <c r="E87" s="17">
        <f>D87/B1</f>
        <v>0.08</v>
      </c>
      <c r="F87" s="16">
        <f t="shared" si="4"/>
        <v>0.36</v>
      </c>
      <c r="G87" s="17">
        <f>F87/B2</f>
        <v>0.024</v>
      </c>
      <c r="H87" s="15">
        <f t="shared" si="5"/>
        <v>0</v>
      </c>
      <c r="I87" s="14">
        <f>H87/B3</f>
        <v>0</v>
      </c>
      <c r="J87" s="2">
        <v>0.0</v>
      </c>
      <c r="K87" s="2">
        <v>0.0</v>
      </c>
      <c r="L87" s="2">
        <v>0.0</v>
      </c>
    </row>
    <row r="88">
      <c r="A88" s="12">
        <v>45470.0</v>
      </c>
      <c r="B88" s="6" t="s">
        <v>27</v>
      </c>
      <c r="C88" s="2">
        <v>0.36</v>
      </c>
      <c r="D88" s="16">
        <f t="shared" si="3"/>
        <v>1.2</v>
      </c>
      <c r="E88" s="17">
        <f>D88/B1</f>
        <v>0.08</v>
      </c>
      <c r="F88" s="16">
        <f t="shared" si="4"/>
        <v>0</v>
      </c>
      <c r="G88" s="17">
        <f>F88/B2</f>
        <v>0</v>
      </c>
      <c r="H88" s="15">
        <f t="shared" si="5"/>
        <v>0</v>
      </c>
      <c r="I88" s="14">
        <f>H88/B3</f>
        <v>0</v>
      </c>
      <c r="J88" s="2">
        <v>0.0</v>
      </c>
      <c r="K88" s="2">
        <v>0.0</v>
      </c>
      <c r="L88" s="2">
        <v>0.0</v>
      </c>
    </row>
    <row r="89">
      <c r="A89" s="12">
        <v>45470.0</v>
      </c>
      <c r="B89" s="6" t="s">
        <v>36</v>
      </c>
      <c r="C89" s="2">
        <v>0.0</v>
      </c>
      <c r="D89" s="16">
        <f t="shared" si="3"/>
        <v>1.2</v>
      </c>
      <c r="E89" s="17">
        <f>D89/B1</f>
        <v>0.08</v>
      </c>
      <c r="F89" s="16">
        <f t="shared" si="4"/>
        <v>0</v>
      </c>
      <c r="G89" s="17">
        <f>F89/B2</f>
        <v>0</v>
      </c>
      <c r="H89" s="15">
        <f t="shared" si="5"/>
        <v>0</v>
      </c>
      <c r="I89" s="14">
        <f>H89/B3</f>
        <v>0</v>
      </c>
      <c r="J89" s="2">
        <v>0.0</v>
      </c>
      <c r="K89" s="2">
        <v>0.0</v>
      </c>
      <c r="L89" s="2">
        <v>0.0</v>
      </c>
    </row>
    <row r="90">
      <c r="A90" s="12">
        <v>45471.0</v>
      </c>
      <c r="B90" s="6" t="s">
        <v>35</v>
      </c>
      <c r="C90" s="2">
        <v>1.2</v>
      </c>
      <c r="D90" s="16">
        <f t="shared" si="3"/>
        <v>0</v>
      </c>
      <c r="E90" s="17">
        <f>D90/B1</f>
        <v>0</v>
      </c>
      <c r="F90" s="16">
        <f t="shared" si="4"/>
        <v>0</v>
      </c>
      <c r="G90" s="17">
        <f>F90/B2</f>
        <v>0</v>
      </c>
      <c r="H90" s="15">
        <f t="shared" si="5"/>
        <v>0</v>
      </c>
      <c r="I90" s="14">
        <f>H90/B3</f>
        <v>0</v>
      </c>
      <c r="J90" s="2">
        <v>0.0</v>
      </c>
      <c r="K90" s="2">
        <v>0.0</v>
      </c>
      <c r="L90" s="2">
        <v>0.0</v>
      </c>
    </row>
    <row r="91">
      <c r="A91" s="12">
        <v>45471.0</v>
      </c>
      <c r="B91" s="6" t="s">
        <v>27</v>
      </c>
      <c r="C91" s="2">
        <v>0.0</v>
      </c>
      <c r="D91" s="16">
        <f t="shared" si="3"/>
        <v>0</v>
      </c>
      <c r="E91" s="17">
        <f>D91/B1</f>
        <v>0</v>
      </c>
      <c r="F91" s="16">
        <f t="shared" si="4"/>
        <v>0</v>
      </c>
      <c r="G91" s="17">
        <f>F91/B2</f>
        <v>0</v>
      </c>
      <c r="H91" s="15">
        <f t="shared" si="5"/>
        <v>0</v>
      </c>
      <c r="I91" s="14">
        <f>H91/B3</f>
        <v>0</v>
      </c>
      <c r="J91" s="2">
        <v>0.0</v>
      </c>
      <c r="K91" s="2">
        <v>0.0</v>
      </c>
      <c r="L91" s="2">
        <v>0.0</v>
      </c>
    </row>
    <row r="92">
      <c r="A92" s="12">
        <v>45471.0</v>
      </c>
      <c r="B92" s="6" t="s">
        <v>36</v>
      </c>
      <c r="C92" s="2">
        <v>0.0</v>
      </c>
      <c r="D92" s="16">
        <f t="shared" si="3"/>
        <v>0</v>
      </c>
      <c r="E92" s="17">
        <f>D92/B1</f>
        <v>0</v>
      </c>
      <c r="F92" s="16">
        <f t="shared" si="4"/>
        <v>0</v>
      </c>
      <c r="G92" s="17">
        <f>F92/B2</f>
        <v>0</v>
      </c>
      <c r="H92" s="15">
        <f t="shared" si="5"/>
        <v>0</v>
      </c>
      <c r="I92" s="14">
        <f>H92/B3</f>
        <v>0</v>
      </c>
      <c r="J92" s="2">
        <v>0.0</v>
      </c>
      <c r="K92" s="2">
        <v>0.0</v>
      </c>
      <c r="L92" s="2">
        <v>0.0</v>
      </c>
    </row>
  </sheetData>
  <dataValidations>
    <dataValidation type="list" allowBlank="1" showErrorMessage="1" sqref="B6:B92">
      <formula1>"Master Kush,Ghost Train Haze,Bucket List"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42.75"/>
    <col customWidth="1" min="2" max="2" width="22.63"/>
    <col customWidth="1" min="3" max="3" width="10.25"/>
    <col customWidth="1" min="4" max="4" width="17.0"/>
    <col customWidth="1" min="5" max="5" width="15.0"/>
    <col customWidth="1" min="6" max="6" width="17.0"/>
    <col customWidth="1" min="7" max="7" width="16.13"/>
    <col customWidth="1" min="8" max="9" width="16.38"/>
    <col customWidth="1" min="10" max="10" width="12.63"/>
    <col customWidth="1" min="11" max="11" width="14.88"/>
    <col customWidth="1" min="12" max="12" width="13.0"/>
  </cols>
  <sheetData>
    <row r="1">
      <c r="A1" s="1" t="s">
        <v>37</v>
      </c>
      <c r="B1" s="2">
        <v>15.0</v>
      </c>
      <c r="C1" s="4">
        <f>D116</f>
        <v>0</v>
      </c>
      <c r="D1" s="5">
        <f t="shared" ref="D1:D4" si="1">C1/B1</f>
        <v>0</v>
      </c>
      <c r="G1" s="1" t="s">
        <v>1</v>
      </c>
      <c r="H1" s="3">
        <f>IFERROR(__xludf.DUMMYFUNCTION("COUNTUNIQUE(A9:A80)"),24.0)</f>
        <v>24</v>
      </c>
      <c r="I1" s="3"/>
      <c r="J1" s="6"/>
      <c r="K1" s="3"/>
      <c r="L1" s="3"/>
      <c r="M1" s="7"/>
      <c r="N1" s="7"/>
    </row>
    <row r="2">
      <c r="A2" s="1" t="s">
        <v>21</v>
      </c>
      <c r="B2" s="2">
        <v>15.0</v>
      </c>
      <c r="C2" s="4">
        <f>F116</f>
        <v>0</v>
      </c>
      <c r="D2" s="5">
        <f t="shared" si="1"/>
        <v>0</v>
      </c>
      <c r="G2" s="1" t="s">
        <v>5</v>
      </c>
      <c r="H2" s="3">
        <f>(B1+B2+B3)/F4</f>
        <v>24</v>
      </c>
      <c r="I2" s="3"/>
      <c r="J2" s="3"/>
      <c r="K2" s="3"/>
      <c r="L2" s="3"/>
      <c r="M2" s="7"/>
      <c r="N2" s="7"/>
    </row>
    <row r="3">
      <c r="A3" s="1" t="s">
        <v>38</v>
      </c>
      <c r="B3" s="2">
        <v>15.0</v>
      </c>
      <c r="C3" s="4">
        <f>H116</f>
        <v>0</v>
      </c>
      <c r="D3" s="8">
        <f t="shared" si="1"/>
        <v>0</v>
      </c>
      <c r="E3" s="3"/>
      <c r="F3" s="6"/>
      <c r="G3" s="3"/>
      <c r="H3" s="3"/>
      <c r="I3" s="3"/>
      <c r="J3" s="3"/>
      <c r="K3" s="3"/>
      <c r="L3" s="3"/>
      <c r="M3" s="7"/>
      <c r="N3" s="7"/>
    </row>
    <row r="4">
      <c r="A4" s="3"/>
      <c r="B4" s="9">
        <f t="shared" ref="B4:C4" si="2">SUM(B1:B3)</f>
        <v>45</v>
      </c>
      <c r="C4" s="9">
        <f t="shared" si="2"/>
        <v>0</v>
      </c>
      <c r="D4" s="5">
        <f t="shared" si="1"/>
        <v>0</v>
      </c>
      <c r="E4" s="1" t="s">
        <v>7</v>
      </c>
      <c r="F4" s="3">
        <f>SUM(C9:C80)/H1</f>
        <v>1.875</v>
      </c>
      <c r="G4" s="3"/>
      <c r="H4" s="3"/>
      <c r="I4" s="3"/>
      <c r="J4" s="3"/>
      <c r="K4" s="3"/>
      <c r="L4" s="3"/>
      <c r="M4" s="7"/>
      <c r="N4" s="7"/>
    </row>
    <row r="5">
      <c r="A5" s="10" t="s">
        <v>8</v>
      </c>
      <c r="B5" s="10" t="s">
        <v>9</v>
      </c>
      <c r="C5" s="10" t="s">
        <v>10</v>
      </c>
      <c r="D5" s="10" t="s">
        <v>39</v>
      </c>
      <c r="E5" s="10" t="s">
        <v>39</v>
      </c>
      <c r="F5" s="10" t="s">
        <v>23</v>
      </c>
      <c r="G5" s="10" t="s">
        <v>23</v>
      </c>
      <c r="H5" s="10" t="s">
        <v>40</v>
      </c>
      <c r="I5" s="10" t="s">
        <v>40</v>
      </c>
      <c r="J5" s="10" t="s">
        <v>41</v>
      </c>
      <c r="K5" s="10" t="s">
        <v>25</v>
      </c>
      <c r="L5" s="10" t="s">
        <v>42</v>
      </c>
      <c r="M5" s="7"/>
      <c r="N5" s="7"/>
    </row>
    <row r="6">
      <c r="A6" s="12">
        <v>45488.0</v>
      </c>
      <c r="B6" s="6" t="s">
        <v>43</v>
      </c>
      <c r="C6" s="2">
        <v>0.0</v>
      </c>
      <c r="D6" s="4">
        <f>IF(B6="MAC1",B1-C6,B1)</f>
        <v>15</v>
      </c>
      <c r="E6" s="13">
        <f>D6/B1</f>
        <v>1</v>
      </c>
      <c r="F6" s="2">
        <f>IF(B6="Ghost Train Haze",B2-C6,B2)</f>
        <v>15</v>
      </c>
      <c r="G6" s="14">
        <f>F6/B2</f>
        <v>1</v>
      </c>
      <c r="H6" s="15">
        <f>IF(B6="Super Citra G",B3-C6,B3)</f>
        <v>15</v>
      </c>
      <c r="I6" s="14">
        <f>H6/B3</f>
        <v>1</v>
      </c>
      <c r="J6" s="2">
        <v>0.0</v>
      </c>
      <c r="K6" s="2">
        <v>0.0</v>
      </c>
      <c r="L6" s="2">
        <v>0.0</v>
      </c>
      <c r="M6" s="7"/>
      <c r="N6" s="7"/>
    </row>
    <row r="7">
      <c r="A7" s="12">
        <v>45488.0</v>
      </c>
      <c r="B7" s="6" t="s">
        <v>27</v>
      </c>
      <c r="C7" s="2">
        <v>0.0</v>
      </c>
      <c r="D7" s="16">
        <f t="shared" ref="D7:D116" si="3">IF(B7="MAC1",D6-C7,D6)</f>
        <v>15</v>
      </c>
      <c r="E7" s="17">
        <f>D7/B1</f>
        <v>1</v>
      </c>
      <c r="F7" s="16">
        <f t="shared" ref="F7:F116" si="4">IF(B7="Ghost Train Haze",F6-C7,F6)</f>
        <v>15</v>
      </c>
      <c r="G7" s="17">
        <f>F7/B2</f>
        <v>1</v>
      </c>
      <c r="H7" s="15">
        <f t="shared" ref="H7:H116" si="5">IF(B7="Super Citra G",H6-C7,H6)</f>
        <v>15</v>
      </c>
      <c r="I7" s="14">
        <f>H7/B3</f>
        <v>1</v>
      </c>
      <c r="J7" s="2">
        <v>0.0</v>
      </c>
      <c r="K7" s="2">
        <v>0.0</v>
      </c>
      <c r="L7" s="2">
        <v>0.0</v>
      </c>
      <c r="M7" s="7"/>
      <c r="N7" s="7"/>
    </row>
    <row r="8">
      <c r="A8" s="12">
        <v>45488.0</v>
      </c>
      <c r="B8" s="6" t="s">
        <v>44</v>
      </c>
      <c r="C8" s="2">
        <v>0.0</v>
      </c>
      <c r="D8" s="16">
        <f t="shared" si="3"/>
        <v>15</v>
      </c>
      <c r="E8" s="17">
        <f>D8/B1</f>
        <v>1</v>
      </c>
      <c r="F8" s="16">
        <f t="shared" si="4"/>
        <v>15</v>
      </c>
      <c r="G8" s="17">
        <f>F8/B2</f>
        <v>1</v>
      </c>
      <c r="H8" s="15">
        <f t="shared" si="5"/>
        <v>15</v>
      </c>
      <c r="I8" s="14">
        <f>H8/B3</f>
        <v>1</v>
      </c>
      <c r="J8" s="2">
        <v>0.0</v>
      </c>
      <c r="K8" s="2">
        <v>0.0</v>
      </c>
      <c r="L8" s="2">
        <v>0.0</v>
      </c>
      <c r="M8" s="7"/>
      <c r="N8" s="7"/>
    </row>
    <row r="9">
      <c r="A9" s="12">
        <v>45489.0</v>
      </c>
      <c r="B9" s="6" t="s">
        <v>43</v>
      </c>
      <c r="C9" s="2">
        <v>0.64</v>
      </c>
      <c r="D9" s="16">
        <f t="shared" si="3"/>
        <v>14.36</v>
      </c>
      <c r="E9" s="17">
        <f>D9/B1</f>
        <v>0.9573333333</v>
      </c>
      <c r="F9" s="16">
        <f t="shared" si="4"/>
        <v>15</v>
      </c>
      <c r="G9" s="17">
        <f>F9/B2</f>
        <v>1</v>
      </c>
      <c r="H9" s="15">
        <f t="shared" si="5"/>
        <v>15</v>
      </c>
      <c r="I9" s="14">
        <f>H9/B3</f>
        <v>1</v>
      </c>
      <c r="J9" s="2">
        <v>0.0</v>
      </c>
      <c r="K9" s="2">
        <v>0.0</v>
      </c>
      <c r="L9" s="2">
        <v>0.0</v>
      </c>
      <c r="M9" s="7"/>
      <c r="N9" s="7"/>
    </row>
    <row r="10">
      <c r="A10" s="12">
        <v>45489.0</v>
      </c>
      <c r="B10" s="6" t="s">
        <v>27</v>
      </c>
      <c r="C10" s="2">
        <v>0.63</v>
      </c>
      <c r="D10" s="16">
        <f t="shared" si="3"/>
        <v>14.36</v>
      </c>
      <c r="E10" s="17">
        <f>D10/B1</f>
        <v>0.9573333333</v>
      </c>
      <c r="F10" s="16">
        <f t="shared" si="4"/>
        <v>14.37</v>
      </c>
      <c r="G10" s="17">
        <f>F10/B2</f>
        <v>0.958</v>
      </c>
      <c r="H10" s="15">
        <f t="shared" si="5"/>
        <v>15</v>
      </c>
      <c r="I10" s="14">
        <f>H10/B3</f>
        <v>1</v>
      </c>
      <c r="J10" s="2">
        <v>0.0</v>
      </c>
      <c r="K10" s="2">
        <v>0.0</v>
      </c>
      <c r="L10" s="2">
        <v>0.0</v>
      </c>
      <c r="M10" s="7"/>
      <c r="N10" s="7"/>
    </row>
    <row r="11">
      <c r="A11" s="12">
        <v>45489.0</v>
      </c>
      <c r="B11" s="6" t="s">
        <v>44</v>
      </c>
      <c r="C11" s="2">
        <v>0.57</v>
      </c>
      <c r="D11" s="16">
        <f t="shared" si="3"/>
        <v>14.36</v>
      </c>
      <c r="E11" s="17">
        <f>D11/B1</f>
        <v>0.9573333333</v>
      </c>
      <c r="F11" s="16">
        <f t="shared" si="4"/>
        <v>14.37</v>
      </c>
      <c r="G11" s="17">
        <f>F11/B2</f>
        <v>0.958</v>
      </c>
      <c r="H11" s="15">
        <f t="shared" si="5"/>
        <v>14.43</v>
      </c>
      <c r="I11" s="14">
        <f>H11/B3</f>
        <v>0.962</v>
      </c>
      <c r="J11" s="2">
        <v>0.0</v>
      </c>
      <c r="K11" s="2">
        <v>0.0</v>
      </c>
      <c r="L11" s="2">
        <v>0.0</v>
      </c>
      <c r="M11" s="7"/>
      <c r="N11" s="7"/>
    </row>
    <row r="12">
      <c r="A12" s="12">
        <v>45490.0</v>
      </c>
      <c r="B12" s="6" t="s">
        <v>43</v>
      </c>
      <c r="C12" s="2">
        <v>0.64</v>
      </c>
      <c r="D12" s="16">
        <f t="shared" si="3"/>
        <v>13.72</v>
      </c>
      <c r="E12" s="17">
        <f>D12/B1</f>
        <v>0.9146666667</v>
      </c>
      <c r="F12" s="16">
        <f t="shared" si="4"/>
        <v>14.37</v>
      </c>
      <c r="G12" s="17">
        <f>F12/B2</f>
        <v>0.958</v>
      </c>
      <c r="H12" s="15">
        <f t="shared" si="5"/>
        <v>14.43</v>
      </c>
      <c r="I12" s="14">
        <f>H12/B3</f>
        <v>0.962</v>
      </c>
      <c r="J12" s="2">
        <v>0.0</v>
      </c>
      <c r="K12" s="2">
        <v>0.0</v>
      </c>
      <c r="L12" s="2">
        <v>0.0</v>
      </c>
      <c r="M12" s="7"/>
      <c r="N12" s="7"/>
    </row>
    <row r="13">
      <c r="A13" s="12">
        <v>45490.0</v>
      </c>
      <c r="B13" s="6" t="s">
        <v>27</v>
      </c>
      <c r="C13" s="2">
        <v>0.67</v>
      </c>
      <c r="D13" s="16">
        <f t="shared" si="3"/>
        <v>13.72</v>
      </c>
      <c r="E13" s="17">
        <f>D13/B1</f>
        <v>0.9146666667</v>
      </c>
      <c r="F13" s="16">
        <f t="shared" si="4"/>
        <v>13.7</v>
      </c>
      <c r="G13" s="17">
        <f>F13/B2</f>
        <v>0.9133333333</v>
      </c>
      <c r="H13" s="15">
        <f t="shared" si="5"/>
        <v>14.43</v>
      </c>
      <c r="I13" s="14">
        <f>H13/B3</f>
        <v>0.962</v>
      </c>
      <c r="J13" s="2">
        <v>0.0</v>
      </c>
      <c r="K13" s="2">
        <v>0.0</v>
      </c>
      <c r="L13" s="2">
        <v>0.0</v>
      </c>
      <c r="M13" s="7"/>
      <c r="N13" s="7"/>
    </row>
    <row r="14">
      <c r="A14" s="12">
        <v>45490.0</v>
      </c>
      <c r="B14" s="6" t="s">
        <v>44</v>
      </c>
      <c r="C14" s="2">
        <v>0.69</v>
      </c>
      <c r="D14" s="16">
        <f t="shared" si="3"/>
        <v>13.72</v>
      </c>
      <c r="E14" s="17">
        <f>D14/B1</f>
        <v>0.9146666667</v>
      </c>
      <c r="F14" s="16">
        <f t="shared" si="4"/>
        <v>13.7</v>
      </c>
      <c r="G14" s="17">
        <f>F14/B2</f>
        <v>0.9133333333</v>
      </c>
      <c r="H14" s="15">
        <f t="shared" si="5"/>
        <v>13.74</v>
      </c>
      <c r="I14" s="14">
        <f>H14/B3</f>
        <v>0.916</v>
      </c>
      <c r="J14" s="2">
        <v>0.0</v>
      </c>
      <c r="K14" s="2">
        <v>0.0</v>
      </c>
      <c r="L14" s="2">
        <v>0.0</v>
      </c>
      <c r="M14" s="7"/>
      <c r="N14" s="7"/>
    </row>
    <row r="15">
      <c r="A15" s="12">
        <v>45491.0</v>
      </c>
      <c r="B15" s="6" t="s">
        <v>43</v>
      </c>
      <c r="C15" s="2">
        <v>0.0</v>
      </c>
      <c r="D15" s="16">
        <f t="shared" si="3"/>
        <v>13.72</v>
      </c>
      <c r="E15" s="17">
        <f>D15/B1</f>
        <v>0.9146666667</v>
      </c>
      <c r="F15" s="16">
        <f t="shared" si="4"/>
        <v>13.7</v>
      </c>
      <c r="G15" s="17">
        <f>F15/B2</f>
        <v>0.9133333333</v>
      </c>
      <c r="H15" s="15">
        <f t="shared" si="5"/>
        <v>13.74</v>
      </c>
      <c r="I15" s="14">
        <f>H15/B3</f>
        <v>0.916</v>
      </c>
      <c r="J15" s="2">
        <v>0.0</v>
      </c>
      <c r="K15" s="2">
        <v>0.0</v>
      </c>
      <c r="L15" s="2">
        <v>0.0</v>
      </c>
      <c r="M15" s="7"/>
      <c r="N15" s="7"/>
    </row>
    <row r="16">
      <c r="A16" s="12">
        <v>45491.0</v>
      </c>
      <c r="B16" s="6" t="s">
        <v>27</v>
      </c>
      <c r="C16" s="2">
        <v>0.0</v>
      </c>
      <c r="D16" s="16">
        <f t="shared" si="3"/>
        <v>13.72</v>
      </c>
      <c r="E16" s="17">
        <f>D16/B1</f>
        <v>0.9146666667</v>
      </c>
      <c r="F16" s="16">
        <f t="shared" si="4"/>
        <v>13.7</v>
      </c>
      <c r="G16" s="17">
        <f>F16/B2</f>
        <v>0.9133333333</v>
      </c>
      <c r="H16" s="15">
        <f t="shared" si="5"/>
        <v>13.74</v>
      </c>
      <c r="I16" s="14">
        <f>H16/B3</f>
        <v>0.916</v>
      </c>
      <c r="J16" s="2">
        <v>0.0</v>
      </c>
      <c r="K16" s="2">
        <v>0.0</v>
      </c>
      <c r="L16" s="2">
        <v>0.0</v>
      </c>
      <c r="M16" s="7"/>
      <c r="N16" s="7"/>
    </row>
    <row r="17">
      <c r="A17" s="12">
        <v>45491.0</v>
      </c>
      <c r="B17" s="6" t="s">
        <v>44</v>
      </c>
      <c r="C17" s="2">
        <v>0.0</v>
      </c>
      <c r="D17" s="16">
        <f t="shared" si="3"/>
        <v>13.72</v>
      </c>
      <c r="E17" s="17">
        <f>D17/B1</f>
        <v>0.9146666667</v>
      </c>
      <c r="F17" s="16">
        <f t="shared" si="4"/>
        <v>13.7</v>
      </c>
      <c r="G17" s="17">
        <f>F17/B2</f>
        <v>0.9133333333</v>
      </c>
      <c r="H17" s="15">
        <f t="shared" si="5"/>
        <v>13.74</v>
      </c>
      <c r="I17" s="14">
        <f>H17/B3</f>
        <v>0.916</v>
      </c>
      <c r="J17" s="2">
        <v>0.0</v>
      </c>
      <c r="K17" s="2">
        <v>0.0</v>
      </c>
      <c r="L17" s="2">
        <v>0.0</v>
      </c>
      <c r="M17" s="7"/>
      <c r="N17" s="7"/>
    </row>
    <row r="18">
      <c r="A18" s="12">
        <v>45492.0</v>
      </c>
      <c r="B18" s="6" t="s">
        <v>43</v>
      </c>
      <c r="C18" s="2">
        <v>0.7</v>
      </c>
      <c r="D18" s="16">
        <f t="shared" si="3"/>
        <v>13.02</v>
      </c>
      <c r="E18" s="17">
        <f>D18/B1</f>
        <v>0.868</v>
      </c>
      <c r="F18" s="16">
        <f t="shared" si="4"/>
        <v>13.7</v>
      </c>
      <c r="G18" s="17">
        <f>F18/B2</f>
        <v>0.9133333333</v>
      </c>
      <c r="H18" s="15">
        <f t="shared" si="5"/>
        <v>13.74</v>
      </c>
      <c r="I18" s="14">
        <f>H18/B3</f>
        <v>0.916</v>
      </c>
      <c r="J18" s="2">
        <v>0.0</v>
      </c>
      <c r="K18" s="2">
        <v>0.0</v>
      </c>
      <c r="L18" s="2">
        <v>0.0</v>
      </c>
      <c r="M18" s="7"/>
      <c r="N18" s="7"/>
    </row>
    <row r="19">
      <c r="A19" s="12">
        <v>45492.0</v>
      </c>
      <c r="B19" s="6" t="s">
        <v>27</v>
      </c>
      <c r="C19" s="2">
        <v>0.86</v>
      </c>
      <c r="D19" s="16">
        <f t="shared" si="3"/>
        <v>13.02</v>
      </c>
      <c r="E19" s="17">
        <f>D19/B1</f>
        <v>0.868</v>
      </c>
      <c r="F19" s="16">
        <f t="shared" si="4"/>
        <v>12.84</v>
      </c>
      <c r="G19" s="17">
        <f>F19/B2</f>
        <v>0.856</v>
      </c>
      <c r="H19" s="15">
        <f t="shared" si="5"/>
        <v>13.74</v>
      </c>
      <c r="I19" s="14">
        <f>H19/B3</f>
        <v>0.916</v>
      </c>
      <c r="J19" s="2">
        <v>0.0</v>
      </c>
      <c r="K19" s="2">
        <v>0.0</v>
      </c>
      <c r="L19" s="2">
        <v>0.0</v>
      </c>
      <c r="M19" s="7"/>
      <c r="N19" s="7"/>
    </row>
    <row r="20">
      <c r="A20" s="12">
        <v>45492.0</v>
      </c>
      <c r="B20" s="6" t="s">
        <v>44</v>
      </c>
      <c r="C20" s="2">
        <v>0.79</v>
      </c>
      <c r="D20" s="16">
        <f t="shared" si="3"/>
        <v>13.02</v>
      </c>
      <c r="E20" s="17">
        <f>D20/B1</f>
        <v>0.868</v>
      </c>
      <c r="F20" s="16">
        <f t="shared" si="4"/>
        <v>12.84</v>
      </c>
      <c r="G20" s="17">
        <f>F20/B2</f>
        <v>0.856</v>
      </c>
      <c r="H20" s="15">
        <f t="shared" si="5"/>
        <v>12.95</v>
      </c>
      <c r="I20" s="14">
        <f>H20/B3</f>
        <v>0.8633333333</v>
      </c>
      <c r="J20" s="2">
        <v>0.0</v>
      </c>
      <c r="K20" s="2">
        <v>0.0</v>
      </c>
      <c r="L20" s="2">
        <v>0.0</v>
      </c>
      <c r="M20" s="7"/>
      <c r="N20" s="7"/>
    </row>
    <row r="21">
      <c r="A21" s="12">
        <v>45493.0</v>
      </c>
      <c r="B21" s="6" t="s">
        <v>43</v>
      </c>
      <c r="C21" s="2">
        <v>0.63</v>
      </c>
      <c r="D21" s="16">
        <f t="shared" si="3"/>
        <v>12.39</v>
      </c>
      <c r="E21" s="17">
        <f>D21/B1</f>
        <v>0.826</v>
      </c>
      <c r="F21" s="16">
        <f t="shared" si="4"/>
        <v>12.84</v>
      </c>
      <c r="G21" s="17">
        <f>F21/B2</f>
        <v>0.856</v>
      </c>
      <c r="H21" s="15">
        <f t="shared" si="5"/>
        <v>12.95</v>
      </c>
      <c r="I21" s="14">
        <f>H21/B3</f>
        <v>0.8633333333</v>
      </c>
      <c r="J21" s="2">
        <v>0.0</v>
      </c>
      <c r="K21" s="2">
        <v>0.0</v>
      </c>
      <c r="L21" s="2">
        <v>0.0</v>
      </c>
      <c r="M21" s="7"/>
      <c r="N21" s="7"/>
    </row>
    <row r="22">
      <c r="A22" s="12">
        <v>45493.0</v>
      </c>
      <c r="B22" s="6" t="s">
        <v>27</v>
      </c>
      <c r="C22" s="2">
        <v>0.0</v>
      </c>
      <c r="D22" s="16">
        <f t="shared" si="3"/>
        <v>12.39</v>
      </c>
      <c r="E22" s="17">
        <f>D22/B1</f>
        <v>0.826</v>
      </c>
      <c r="F22" s="16">
        <f t="shared" si="4"/>
        <v>12.84</v>
      </c>
      <c r="G22" s="17">
        <f>F22/B2</f>
        <v>0.856</v>
      </c>
      <c r="H22" s="15">
        <f t="shared" si="5"/>
        <v>12.95</v>
      </c>
      <c r="I22" s="14">
        <f>H22/B3</f>
        <v>0.8633333333</v>
      </c>
      <c r="J22" s="2">
        <v>0.0</v>
      </c>
      <c r="K22" s="2">
        <v>0.0</v>
      </c>
      <c r="L22" s="2">
        <v>0.0</v>
      </c>
      <c r="M22" s="7"/>
      <c r="N22" s="7"/>
    </row>
    <row r="23">
      <c r="A23" s="12">
        <v>45493.0</v>
      </c>
      <c r="B23" s="6" t="s">
        <v>44</v>
      </c>
      <c r="C23" s="2">
        <v>0.78</v>
      </c>
      <c r="D23" s="16">
        <f t="shared" si="3"/>
        <v>12.39</v>
      </c>
      <c r="E23" s="17">
        <f>D23/B1</f>
        <v>0.826</v>
      </c>
      <c r="F23" s="16">
        <f t="shared" si="4"/>
        <v>12.84</v>
      </c>
      <c r="G23" s="17">
        <f>F23/B2</f>
        <v>0.856</v>
      </c>
      <c r="H23" s="15">
        <f t="shared" si="5"/>
        <v>12.17</v>
      </c>
      <c r="I23" s="14">
        <f>H23/B3</f>
        <v>0.8113333333</v>
      </c>
      <c r="J23" s="2">
        <v>0.0</v>
      </c>
      <c r="K23" s="2">
        <v>0.0</v>
      </c>
      <c r="L23" s="2">
        <v>0.0</v>
      </c>
      <c r="M23" s="7"/>
      <c r="N23" s="7"/>
    </row>
    <row r="24">
      <c r="A24" s="12">
        <v>45494.0</v>
      </c>
      <c r="B24" s="6" t="s">
        <v>43</v>
      </c>
      <c r="C24" s="2">
        <v>0.7</v>
      </c>
      <c r="D24" s="16">
        <f t="shared" si="3"/>
        <v>11.69</v>
      </c>
      <c r="E24" s="17">
        <f>D24/B1</f>
        <v>0.7793333333</v>
      </c>
      <c r="F24" s="16">
        <f t="shared" si="4"/>
        <v>12.84</v>
      </c>
      <c r="G24" s="17">
        <f>F24/B2</f>
        <v>0.856</v>
      </c>
      <c r="H24" s="15">
        <f t="shared" si="5"/>
        <v>12.17</v>
      </c>
      <c r="I24" s="14">
        <f>H24/B3</f>
        <v>0.8113333333</v>
      </c>
      <c r="J24" s="2">
        <v>0.0</v>
      </c>
      <c r="K24" s="2">
        <v>0.0</v>
      </c>
      <c r="L24" s="2">
        <v>0.0</v>
      </c>
      <c r="M24" s="7"/>
      <c r="N24" s="7"/>
    </row>
    <row r="25">
      <c r="A25" s="12">
        <v>45494.0</v>
      </c>
      <c r="B25" s="6" t="s">
        <v>27</v>
      </c>
      <c r="C25" s="2">
        <v>0.91</v>
      </c>
      <c r="D25" s="16">
        <f t="shared" si="3"/>
        <v>11.69</v>
      </c>
      <c r="E25" s="17">
        <f>D25/B1</f>
        <v>0.7793333333</v>
      </c>
      <c r="F25" s="16">
        <f t="shared" si="4"/>
        <v>11.93</v>
      </c>
      <c r="G25" s="17">
        <f>F25/B2</f>
        <v>0.7953333333</v>
      </c>
      <c r="H25" s="15">
        <f t="shared" si="5"/>
        <v>12.17</v>
      </c>
      <c r="I25" s="14">
        <f>H25/B3</f>
        <v>0.8113333333</v>
      </c>
      <c r="J25" s="2">
        <v>0.0</v>
      </c>
      <c r="K25" s="2">
        <v>0.0</v>
      </c>
      <c r="L25" s="2">
        <v>0.0</v>
      </c>
      <c r="M25" s="7"/>
      <c r="N25" s="7"/>
    </row>
    <row r="26">
      <c r="A26" s="12">
        <v>45494.0</v>
      </c>
      <c r="B26" s="6" t="s">
        <v>44</v>
      </c>
      <c r="C26" s="2">
        <v>0.78</v>
      </c>
      <c r="D26" s="16">
        <f t="shared" si="3"/>
        <v>11.69</v>
      </c>
      <c r="E26" s="17">
        <f>D26/B1</f>
        <v>0.7793333333</v>
      </c>
      <c r="F26" s="16">
        <f t="shared" si="4"/>
        <v>11.93</v>
      </c>
      <c r="G26" s="17">
        <f>F26/B2</f>
        <v>0.7953333333</v>
      </c>
      <c r="H26" s="15">
        <f t="shared" si="5"/>
        <v>11.39</v>
      </c>
      <c r="I26" s="14">
        <f>H26/B3</f>
        <v>0.7593333333</v>
      </c>
      <c r="J26" s="2">
        <v>0.0</v>
      </c>
      <c r="K26" s="2">
        <v>0.0</v>
      </c>
      <c r="L26" s="2">
        <v>0.0</v>
      </c>
      <c r="M26" s="7"/>
      <c r="N26" s="7"/>
    </row>
    <row r="27">
      <c r="A27" s="12">
        <v>45495.0</v>
      </c>
      <c r="B27" s="6" t="s">
        <v>43</v>
      </c>
      <c r="C27" s="2">
        <v>0.73</v>
      </c>
      <c r="D27" s="16">
        <f t="shared" si="3"/>
        <v>10.96</v>
      </c>
      <c r="E27" s="17">
        <f>D27/B1</f>
        <v>0.7306666667</v>
      </c>
      <c r="F27" s="16">
        <f t="shared" si="4"/>
        <v>11.93</v>
      </c>
      <c r="G27" s="17">
        <f>F27/B2</f>
        <v>0.7953333333</v>
      </c>
      <c r="H27" s="15">
        <f t="shared" si="5"/>
        <v>11.39</v>
      </c>
      <c r="I27" s="14">
        <f>H27/B3</f>
        <v>0.7593333333</v>
      </c>
      <c r="J27" s="2">
        <v>0.0</v>
      </c>
      <c r="K27" s="2">
        <v>0.0</v>
      </c>
      <c r="L27" s="2">
        <v>0.0</v>
      </c>
      <c r="M27" s="7"/>
      <c r="N27" s="7"/>
    </row>
    <row r="28">
      <c r="A28" s="12">
        <v>45495.0</v>
      </c>
      <c r="B28" s="6" t="s">
        <v>27</v>
      </c>
      <c r="C28" s="2">
        <v>0.8</v>
      </c>
      <c r="D28" s="16">
        <f t="shared" si="3"/>
        <v>10.96</v>
      </c>
      <c r="E28" s="17">
        <f>D28/B1</f>
        <v>0.7306666667</v>
      </c>
      <c r="F28" s="16">
        <f t="shared" si="4"/>
        <v>11.13</v>
      </c>
      <c r="G28" s="17">
        <f>F28/B2</f>
        <v>0.742</v>
      </c>
      <c r="H28" s="15">
        <f t="shared" si="5"/>
        <v>11.39</v>
      </c>
      <c r="I28" s="14">
        <f>H28/B3</f>
        <v>0.7593333333</v>
      </c>
      <c r="J28" s="2">
        <v>0.0</v>
      </c>
      <c r="K28" s="2">
        <v>0.0</v>
      </c>
      <c r="L28" s="2">
        <v>0.0</v>
      </c>
      <c r="M28" s="7"/>
      <c r="N28" s="7"/>
    </row>
    <row r="29">
      <c r="A29" s="12">
        <v>45495.0</v>
      </c>
      <c r="B29" s="6" t="s">
        <v>44</v>
      </c>
      <c r="C29" s="2">
        <v>0.74</v>
      </c>
      <c r="D29" s="16">
        <f t="shared" si="3"/>
        <v>10.96</v>
      </c>
      <c r="E29" s="17">
        <f>D29/B1</f>
        <v>0.7306666667</v>
      </c>
      <c r="F29" s="16">
        <f t="shared" si="4"/>
        <v>11.13</v>
      </c>
      <c r="G29" s="17">
        <f>F29/B2</f>
        <v>0.742</v>
      </c>
      <c r="H29" s="15">
        <f t="shared" si="5"/>
        <v>10.65</v>
      </c>
      <c r="I29" s="14">
        <f>H29/B3</f>
        <v>0.71</v>
      </c>
      <c r="J29" s="2">
        <v>0.0</v>
      </c>
      <c r="K29" s="2">
        <v>0.0</v>
      </c>
      <c r="L29" s="2">
        <v>0.0</v>
      </c>
      <c r="M29" s="7"/>
      <c r="N29" s="7"/>
    </row>
    <row r="30">
      <c r="A30" s="12">
        <v>45496.0</v>
      </c>
      <c r="B30" s="6" t="s">
        <v>43</v>
      </c>
      <c r="C30" s="2">
        <v>0.0</v>
      </c>
      <c r="D30" s="16">
        <f t="shared" si="3"/>
        <v>10.96</v>
      </c>
      <c r="E30" s="17">
        <f>D30/B1</f>
        <v>0.7306666667</v>
      </c>
      <c r="F30" s="16">
        <f t="shared" si="4"/>
        <v>11.13</v>
      </c>
      <c r="G30" s="17">
        <f>F30/B2</f>
        <v>0.742</v>
      </c>
      <c r="H30" s="15">
        <f t="shared" si="5"/>
        <v>10.65</v>
      </c>
      <c r="I30" s="14">
        <f>H30/B3</f>
        <v>0.71</v>
      </c>
      <c r="J30" s="2">
        <v>0.0</v>
      </c>
      <c r="K30" s="2">
        <v>0.0</v>
      </c>
      <c r="L30" s="2">
        <v>0.0</v>
      </c>
      <c r="M30" s="7"/>
      <c r="N30" s="7"/>
    </row>
    <row r="31">
      <c r="A31" s="12">
        <v>45496.0</v>
      </c>
      <c r="B31" s="6" t="s">
        <v>27</v>
      </c>
      <c r="C31" s="2">
        <v>0.0</v>
      </c>
      <c r="D31" s="16">
        <f t="shared" si="3"/>
        <v>10.96</v>
      </c>
      <c r="E31" s="17">
        <f>D31/B1</f>
        <v>0.7306666667</v>
      </c>
      <c r="F31" s="16">
        <f t="shared" si="4"/>
        <v>11.13</v>
      </c>
      <c r="G31" s="17">
        <f>F31/B2</f>
        <v>0.742</v>
      </c>
      <c r="H31" s="15">
        <f t="shared" si="5"/>
        <v>10.65</v>
      </c>
      <c r="I31" s="14">
        <f>H31/B3</f>
        <v>0.71</v>
      </c>
      <c r="J31" s="2">
        <v>0.0</v>
      </c>
      <c r="K31" s="2">
        <v>0.0</v>
      </c>
      <c r="L31" s="2">
        <v>0.0</v>
      </c>
      <c r="M31" s="7"/>
      <c r="N31" s="7"/>
    </row>
    <row r="32">
      <c r="A32" s="12">
        <v>45496.0</v>
      </c>
      <c r="B32" s="6" t="s">
        <v>44</v>
      </c>
      <c r="C32" s="2">
        <v>0.0</v>
      </c>
      <c r="D32" s="16">
        <f t="shared" si="3"/>
        <v>10.96</v>
      </c>
      <c r="E32" s="17">
        <f>D32/B1</f>
        <v>0.7306666667</v>
      </c>
      <c r="F32" s="16">
        <f t="shared" si="4"/>
        <v>11.13</v>
      </c>
      <c r="G32" s="17">
        <f>F32/B2</f>
        <v>0.742</v>
      </c>
      <c r="H32" s="15">
        <f t="shared" si="5"/>
        <v>10.65</v>
      </c>
      <c r="I32" s="14">
        <f>H32/B3</f>
        <v>0.71</v>
      </c>
      <c r="J32" s="2">
        <v>0.0</v>
      </c>
      <c r="K32" s="2">
        <v>0.0</v>
      </c>
      <c r="L32" s="2">
        <v>0.0</v>
      </c>
      <c r="M32" s="7"/>
      <c r="N32" s="7"/>
    </row>
    <row r="33">
      <c r="A33" s="12">
        <v>45497.0</v>
      </c>
      <c r="B33" s="6" t="s">
        <v>43</v>
      </c>
      <c r="C33" s="2">
        <v>0.68</v>
      </c>
      <c r="D33" s="16">
        <f t="shared" si="3"/>
        <v>10.28</v>
      </c>
      <c r="E33" s="17">
        <f>D33/B1</f>
        <v>0.6853333333</v>
      </c>
      <c r="F33" s="16">
        <f t="shared" si="4"/>
        <v>11.13</v>
      </c>
      <c r="G33" s="17">
        <f>F33/B2</f>
        <v>0.742</v>
      </c>
      <c r="H33" s="15">
        <f t="shared" si="5"/>
        <v>10.65</v>
      </c>
      <c r="I33" s="14">
        <f>H33/B3</f>
        <v>0.71</v>
      </c>
      <c r="J33" s="2">
        <v>0.0</v>
      </c>
      <c r="K33" s="2">
        <v>0.0</v>
      </c>
      <c r="L33" s="2">
        <v>0.0</v>
      </c>
      <c r="M33" s="7"/>
      <c r="N33" s="7"/>
    </row>
    <row r="34">
      <c r="A34" s="12">
        <v>45497.0</v>
      </c>
      <c r="B34" s="6" t="s">
        <v>27</v>
      </c>
      <c r="C34" s="2">
        <v>0.66</v>
      </c>
      <c r="D34" s="16">
        <f t="shared" si="3"/>
        <v>10.28</v>
      </c>
      <c r="E34" s="17">
        <f>D34/B1</f>
        <v>0.6853333333</v>
      </c>
      <c r="F34" s="16">
        <f t="shared" si="4"/>
        <v>10.47</v>
      </c>
      <c r="G34" s="17">
        <f>F34/B2</f>
        <v>0.698</v>
      </c>
      <c r="H34" s="15">
        <f t="shared" si="5"/>
        <v>10.65</v>
      </c>
      <c r="I34" s="14">
        <f>H34/B3</f>
        <v>0.71</v>
      </c>
      <c r="J34" s="2">
        <v>0.0</v>
      </c>
      <c r="K34" s="2">
        <v>0.0</v>
      </c>
      <c r="L34" s="2">
        <v>0.0</v>
      </c>
      <c r="M34" s="7"/>
      <c r="N34" s="7"/>
    </row>
    <row r="35">
      <c r="A35" s="12">
        <v>45497.0</v>
      </c>
      <c r="B35" s="6" t="s">
        <v>44</v>
      </c>
      <c r="C35" s="2">
        <v>0.76</v>
      </c>
      <c r="D35" s="16">
        <f t="shared" si="3"/>
        <v>10.28</v>
      </c>
      <c r="E35" s="17">
        <f>D35/B1</f>
        <v>0.6853333333</v>
      </c>
      <c r="F35" s="16">
        <f t="shared" si="4"/>
        <v>10.47</v>
      </c>
      <c r="G35" s="17">
        <f>F35/B2</f>
        <v>0.698</v>
      </c>
      <c r="H35" s="15">
        <f t="shared" si="5"/>
        <v>9.89</v>
      </c>
      <c r="I35" s="14">
        <f>H35/B3</f>
        <v>0.6593333333</v>
      </c>
      <c r="J35" s="2">
        <v>0.0</v>
      </c>
      <c r="K35" s="2">
        <v>0.0</v>
      </c>
      <c r="L35" s="2">
        <v>0.0</v>
      </c>
      <c r="M35" s="7"/>
      <c r="N35" s="7"/>
    </row>
    <row r="36">
      <c r="A36" s="12">
        <v>45498.0</v>
      </c>
      <c r="B36" s="6" t="s">
        <v>43</v>
      </c>
      <c r="C36" s="2">
        <v>0.0</v>
      </c>
      <c r="D36" s="16">
        <f t="shared" si="3"/>
        <v>10.28</v>
      </c>
      <c r="E36" s="17">
        <f>D36/B1</f>
        <v>0.6853333333</v>
      </c>
      <c r="F36" s="16">
        <f t="shared" si="4"/>
        <v>10.47</v>
      </c>
      <c r="G36" s="17">
        <f>F36/B2</f>
        <v>0.698</v>
      </c>
      <c r="H36" s="15">
        <f t="shared" si="5"/>
        <v>9.89</v>
      </c>
      <c r="I36" s="14">
        <f>H36/B3</f>
        <v>0.6593333333</v>
      </c>
      <c r="J36" s="2">
        <v>0.0</v>
      </c>
      <c r="K36" s="2">
        <v>0.0</v>
      </c>
      <c r="L36" s="2">
        <v>0.0</v>
      </c>
      <c r="M36" s="7"/>
      <c r="N36" s="7"/>
    </row>
    <row r="37">
      <c r="A37" s="12">
        <v>45498.0</v>
      </c>
      <c r="B37" s="6" t="s">
        <v>27</v>
      </c>
      <c r="C37" s="2">
        <v>0.0</v>
      </c>
      <c r="D37" s="16">
        <f t="shared" si="3"/>
        <v>10.28</v>
      </c>
      <c r="E37" s="17">
        <f>D37/B1</f>
        <v>0.6853333333</v>
      </c>
      <c r="F37" s="16">
        <f t="shared" si="4"/>
        <v>10.47</v>
      </c>
      <c r="G37" s="17">
        <f>F37/B2</f>
        <v>0.698</v>
      </c>
      <c r="H37" s="15">
        <f t="shared" si="5"/>
        <v>9.89</v>
      </c>
      <c r="I37" s="14">
        <f>H37/B3</f>
        <v>0.6593333333</v>
      </c>
      <c r="J37" s="2">
        <v>0.0</v>
      </c>
      <c r="K37" s="2">
        <v>0.0</v>
      </c>
      <c r="L37" s="2">
        <v>0.0</v>
      </c>
      <c r="M37" s="7"/>
      <c r="N37" s="7"/>
    </row>
    <row r="38">
      <c r="A38" s="12">
        <v>45498.0</v>
      </c>
      <c r="B38" s="6" t="s">
        <v>44</v>
      </c>
      <c r="C38" s="2">
        <v>0.0</v>
      </c>
      <c r="D38" s="16">
        <f t="shared" si="3"/>
        <v>10.28</v>
      </c>
      <c r="E38" s="17">
        <f>D38/B1</f>
        <v>0.6853333333</v>
      </c>
      <c r="F38" s="16">
        <f t="shared" si="4"/>
        <v>10.47</v>
      </c>
      <c r="G38" s="17">
        <f>F38/B2</f>
        <v>0.698</v>
      </c>
      <c r="H38" s="15">
        <f t="shared" si="5"/>
        <v>9.89</v>
      </c>
      <c r="I38" s="14">
        <f>H38/B3</f>
        <v>0.6593333333</v>
      </c>
      <c r="J38" s="2">
        <v>0.0</v>
      </c>
      <c r="K38" s="2">
        <v>0.0</v>
      </c>
      <c r="L38" s="2">
        <v>0.0</v>
      </c>
      <c r="M38" s="7"/>
      <c r="N38" s="7"/>
    </row>
    <row r="39">
      <c r="A39" s="12">
        <v>45499.0</v>
      </c>
      <c r="B39" s="6" t="s">
        <v>43</v>
      </c>
      <c r="C39" s="2">
        <v>0.0</v>
      </c>
      <c r="D39" s="16">
        <f t="shared" si="3"/>
        <v>10.28</v>
      </c>
      <c r="E39" s="17">
        <f>D39/B1</f>
        <v>0.6853333333</v>
      </c>
      <c r="F39" s="16">
        <f t="shared" si="4"/>
        <v>10.47</v>
      </c>
      <c r="G39" s="17">
        <f>F39/B2</f>
        <v>0.698</v>
      </c>
      <c r="H39" s="15">
        <f t="shared" si="5"/>
        <v>9.89</v>
      </c>
      <c r="I39" s="14">
        <f>H39/B3</f>
        <v>0.6593333333</v>
      </c>
      <c r="J39" s="2">
        <v>0.0</v>
      </c>
      <c r="K39" s="2">
        <v>0.0</v>
      </c>
      <c r="L39" s="2">
        <v>0.0</v>
      </c>
      <c r="M39" s="7"/>
      <c r="N39" s="7"/>
    </row>
    <row r="40">
      <c r="A40" s="12">
        <v>45499.0</v>
      </c>
      <c r="B40" s="6" t="s">
        <v>27</v>
      </c>
      <c r="C40" s="2">
        <v>0.0</v>
      </c>
      <c r="D40" s="16">
        <f t="shared" si="3"/>
        <v>10.28</v>
      </c>
      <c r="E40" s="17">
        <f>D40/B1</f>
        <v>0.6853333333</v>
      </c>
      <c r="F40" s="16">
        <f t="shared" si="4"/>
        <v>10.47</v>
      </c>
      <c r="G40" s="17">
        <f>F40/B2</f>
        <v>0.698</v>
      </c>
      <c r="H40" s="15">
        <f t="shared" si="5"/>
        <v>9.89</v>
      </c>
      <c r="I40" s="14">
        <f>H40/B3</f>
        <v>0.6593333333</v>
      </c>
      <c r="J40" s="2">
        <v>0.0</v>
      </c>
      <c r="K40" s="2">
        <v>0.0</v>
      </c>
      <c r="L40" s="2">
        <v>0.0</v>
      </c>
      <c r="M40" s="7"/>
      <c r="N40" s="7"/>
    </row>
    <row r="41">
      <c r="A41" s="12">
        <v>45499.0</v>
      </c>
      <c r="B41" s="6" t="s">
        <v>44</v>
      </c>
      <c r="C41" s="2">
        <v>0.0</v>
      </c>
      <c r="D41" s="16">
        <f t="shared" si="3"/>
        <v>10.28</v>
      </c>
      <c r="E41" s="17">
        <f>D41/B1</f>
        <v>0.6853333333</v>
      </c>
      <c r="F41" s="16">
        <f t="shared" si="4"/>
        <v>10.47</v>
      </c>
      <c r="G41" s="17">
        <f>F41/B2</f>
        <v>0.698</v>
      </c>
      <c r="H41" s="15">
        <f t="shared" si="5"/>
        <v>9.89</v>
      </c>
      <c r="I41" s="14">
        <f>H41/B3</f>
        <v>0.6593333333</v>
      </c>
      <c r="J41" s="2">
        <v>0.0</v>
      </c>
      <c r="K41" s="2">
        <v>0.0</v>
      </c>
      <c r="L41" s="2">
        <v>0.0</v>
      </c>
      <c r="M41" s="7"/>
      <c r="N41" s="7"/>
    </row>
    <row r="42">
      <c r="A42" s="12">
        <v>45500.0</v>
      </c>
      <c r="B42" s="6" t="s">
        <v>43</v>
      </c>
      <c r="C42" s="2">
        <v>0.0</v>
      </c>
      <c r="D42" s="16">
        <f t="shared" si="3"/>
        <v>10.28</v>
      </c>
      <c r="E42" s="17">
        <f>D42/B1</f>
        <v>0.6853333333</v>
      </c>
      <c r="F42" s="16">
        <f t="shared" si="4"/>
        <v>10.47</v>
      </c>
      <c r="G42" s="17">
        <f>F42/B2</f>
        <v>0.698</v>
      </c>
      <c r="H42" s="15">
        <f t="shared" si="5"/>
        <v>9.89</v>
      </c>
      <c r="I42" s="14">
        <f>H42/B3</f>
        <v>0.6593333333</v>
      </c>
      <c r="J42" s="2">
        <v>0.0</v>
      </c>
      <c r="K42" s="2">
        <v>0.0</v>
      </c>
      <c r="L42" s="2">
        <v>0.0</v>
      </c>
      <c r="M42" s="7"/>
      <c r="N42" s="7"/>
    </row>
    <row r="43">
      <c r="A43" s="12">
        <v>45500.0</v>
      </c>
      <c r="B43" s="6" t="s">
        <v>27</v>
      </c>
      <c r="C43" s="2">
        <v>0.0</v>
      </c>
      <c r="D43" s="16">
        <f t="shared" si="3"/>
        <v>10.28</v>
      </c>
      <c r="E43" s="17">
        <f>D43/B1</f>
        <v>0.6853333333</v>
      </c>
      <c r="F43" s="16">
        <f t="shared" si="4"/>
        <v>10.47</v>
      </c>
      <c r="G43" s="17">
        <f>F43/B2</f>
        <v>0.698</v>
      </c>
      <c r="H43" s="15">
        <f t="shared" si="5"/>
        <v>9.89</v>
      </c>
      <c r="I43" s="14">
        <f>H43/B3</f>
        <v>0.6593333333</v>
      </c>
      <c r="J43" s="2">
        <v>0.0</v>
      </c>
      <c r="K43" s="2">
        <v>0.0</v>
      </c>
      <c r="L43" s="2">
        <v>0.0</v>
      </c>
      <c r="M43" s="7"/>
      <c r="N43" s="7"/>
    </row>
    <row r="44">
      <c r="A44" s="12">
        <v>45500.0</v>
      </c>
      <c r="B44" s="6" t="s">
        <v>44</v>
      </c>
      <c r="C44" s="2">
        <v>0.0</v>
      </c>
      <c r="D44" s="16">
        <f t="shared" si="3"/>
        <v>10.28</v>
      </c>
      <c r="E44" s="17">
        <f>D44/B1</f>
        <v>0.6853333333</v>
      </c>
      <c r="F44" s="16">
        <f t="shared" si="4"/>
        <v>10.47</v>
      </c>
      <c r="G44" s="17">
        <f>F44/B2</f>
        <v>0.698</v>
      </c>
      <c r="H44" s="15">
        <f t="shared" si="5"/>
        <v>9.89</v>
      </c>
      <c r="I44" s="14">
        <f>H44/B3</f>
        <v>0.6593333333</v>
      </c>
      <c r="J44" s="2">
        <v>0.0</v>
      </c>
      <c r="K44" s="2">
        <v>0.0</v>
      </c>
      <c r="L44" s="2">
        <v>0.0</v>
      </c>
      <c r="M44" s="7"/>
      <c r="N44" s="7"/>
    </row>
    <row r="45">
      <c r="A45" s="12">
        <v>45501.0</v>
      </c>
      <c r="B45" s="6" t="s">
        <v>43</v>
      </c>
      <c r="C45" s="2">
        <v>0.79</v>
      </c>
      <c r="D45" s="16">
        <f t="shared" si="3"/>
        <v>9.49</v>
      </c>
      <c r="E45" s="17">
        <f>D45/B1</f>
        <v>0.6326666667</v>
      </c>
      <c r="F45" s="16">
        <f t="shared" si="4"/>
        <v>10.47</v>
      </c>
      <c r="G45" s="17">
        <f>F45/B2</f>
        <v>0.698</v>
      </c>
      <c r="H45" s="15">
        <f t="shared" si="5"/>
        <v>9.89</v>
      </c>
      <c r="I45" s="14">
        <f>H45/B3</f>
        <v>0.6593333333</v>
      </c>
      <c r="J45" s="2">
        <v>0.0</v>
      </c>
      <c r="K45" s="2">
        <v>0.0</v>
      </c>
      <c r="L45" s="2">
        <v>0.0</v>
      </c>
      <c r="M45" s="7"/>
      <c r="N45" s="7"/>
    </row>
    <row r="46">
      <c r="A46" s="12">
        <v>45501.0</v>
      </c>
      <c r="B46" s="6" t="s">
        <v>27</v>
      </c>
      <c r="C46" s="2">
        <v>0.78</v>
      </c>
      <c r="D46" s="16">
        <f t="shared" si="3"/>
        <v>9.49</v>
      </c>
      <c r="E46" s="17">
        <f>D46/B1</f>
        <v>0.6326666667</v>
      </c>
      <c r="F46" s="16">
        <f t="shared" si="4"/>
        <v>9.69</v>
      </c>
      <c r="G46" s="17">
        <f>F46/B2</f>
        <v>0.646</v>
      </c>
      <c r="H46" s="15">
        <f t="shared" si="5"/>
        <v>9.89</v>
      </c>
      <c r="I46" s="14">
        <f>H46/B3</f>
        <v>0.6593333333</v>
      </c>
      <c r="J46" s="2">
        <v>0.0</v>
      </c>
      <c r="K46" s="2">
        <v>0.0</v>
      </c>
      <c r="L46" s="2">
        <v>0.0</v>
      </c>
      <c r="M46" s="7"/>
      <c r="N46" s="7"/>
    </row>
    <row r="47">
      <c r="A47" s="12">
        <v>45501.0</v>
      </c>
      <c r="B47" s="6" t="s">
        <v>44</v>
      </c>
      <c r="C47" s="2">
        <v>0.75</v>
      </c>
      <c r="D47" s="16">
        <f t="shared" si="3"/>
        <v>9.49</v>
      </c>
      <c r="E47" s="17">
        <f>D47/B1</f>
        <v>0.6326666667</v>
      </c>
      <c r="F47" s="16">
        <f t="shared" si="4"/>
        <v>9.69</v>
      </c>
      <c r="G47" s="17">
        <f>F47/B2</f>
        <v>0.646</v>
      </c>
      <c r="H47" s="15">
        <f t="shared" si="5"/>
        <v>9.14</v>
      </c>
      <c r="I47" s="14">
        <f>H47/B3</f>
        <v>0.6093333333</v>
      </c>
      <c r="J47" s="2">
        <v>0.0</v>
      </c>
      <c r="K47" s="2">
        <v>0.0</v>
      </c>
      <c r="L47" s="2">
        <v>0.0</v>
      </c>
      <c r="M47" s="7"/>
      <c r="N47" s="7"/>
    </row>
    <row r="48">
      <c r="A48" s="12">
        <v>45502.0</v>
      </c>
      <c r="B48" s="6" t="s">
        <v>43</v>
      </c>
      <c r="C48" s="2">
        <v>0.8</v>
      </c>
      <c r="D48" s="16">
        <f t="shared" si="3"/>
        <v>8.69</v>
      </c>
      <c r="E48" s="17">
        <f>D48/B1</f>
        <v>0.5793333333</v>
      </c>
      <c r="F48" s="16">
        <f t="shared" si="4"/>
        <v>9.69</v>
      </c>
      <c r="G48" s="17">
        <f>F48/B2</f>
        <v>0.646</v>
      </c>
      <c r="H48" s="15">
        <f t="shared" si="5"/>
        <v>9.14</v>
      </c>
      <c r="I48" s="14">
        <f>H48/B3</f>
        <v>0.6093333333</v>
      </c>
      <c r="J48" s="2">
        <v>0.0</v>
      </c>
      <c r="K48" s="2">
        <v>0.0</v>
      </c>
      <c r="L48" s="2">
        <v>0.0</v>
      </c>
      <c r="M48" s="7"/>
      <c r="N48" s="7"/>
    </row>
    <row r="49">
      <c r="A49" s="12">
        <v>45502.0</v>
      </c>
      <c r="B49" s="6" t="s">
        <v>27</v>
      </c>
      <c r="C49" s="2">
        <v>0.8</v>
      </c>
      <c r="D49" s="16">
        <f t="shared" si="3"/>
        <v>8.69</v>
      </c>
      <c r="E49" s="17">
        <f>D49/B1</f>
        <v>0.5793333333</v>
      </c>
      <c r="F49" s="16">
        <f t="shared" si="4"/>
        <v>8.89</v>
      </c>
      <c r="G49" s="17">
        <f>F49/B2</f>
        <v>0.5926666667</v>
      </c>
      <c r="H49" s="15">
        <f t="shared" si="5"/>
        <v>9.14</v>
      </c>
      <c r="I49" s="14">
        <f>H49/B3</f>
        <v>0.6093333333</v>
      </c>
      <c r="J49" s="2">
        <v>0.0</v>
      </c>
      <c r="K49" s="2">
        <v>0.0</v>
      </c>
      <c r="L49" s="2">
        <v>0.0</v>
      </c>
      <c r="M49" s="7"/>
      <c r="N49" s="7"/>
    </row>
    <row r="50">
      <c r="A50" s="12">
        <v>45502.0</v>
      </c>
      <c r="B50" s="6" t="s">
        <v>44</v>
      </c>
      <c r="C50" s="2">
        <v>0.8</v>
      </c>
      <c r="D50" s="16">
        <f t="shared" si="3"/>
        <v>8.69</v>
      </c>
      <c r="E50" s="17">
        <f>D50/B1</f>
        <v>0.5793333333</v>
      </c>
      <c r="F50" s="16">
        <f t="shared" si="4"/>
        <v>8.89</v>
      </c>
      <c r="G50" s="17">
        <f>F50/B2</f>
        <v>0.5926666667</v>
      </c>
      <c r="H50" s="15">
        <f t="shared" si="5"/>
        <v>8.34</v>
      </c>
      <c r="I50" s="14">
        <f>H50/B3</f>
        <v>0.556</v>
      </c>
      <c r="J50" s="2">
        <v>0.0</v>
      </c>
      <c r="K50" s="2">
        <v>0.0</v>
      </c>
      <c r="L50" s="2">
        <v>0.0</v>
      </c>
      <c r="M50" s="7"/>
      <c r="N50" s="7"/>
    </row>
    <row r="51">
      <c r="A51" s="12">
        <v>45503.0</v>
      </c>
      <c r="B51" s="6" t="s">
        <v>43</v>
      </c>
      <c r="C51" s="2">
        <v>0.0</v>
      </c>
      <c r="D51" s="16">
        <f t="shared" si="3"/>
        <v>8.69</v>
      </c>
      <c r="E51" s="17">
        <f>D51/B1</f>
        <v>0.5793333333</v>
      </c>
      <c r="F51" s="16">
        <f t="shared" si="4"/>
        <v>8.89</v>
      </c>
      <c r="G51" s="17">
        <f>F51/B2</f>
        <v>0.5926666667</v>
      </c>
      <c r="H51" s="15">
        <f t="shared" si="5"/>
        <v>8.34</v>
      </c>
      <c r="I51" s="14">
        <f>H51/B3</f>
        <v>0.556</v>
      </c>
      <c r="J51" s="2">
        <v>0.0</v>
      </c>
      <c r="K51" s="2">
        <v>0.0</v>
      </c>
      <c r="L51" s="2">
        <v>0.0</v>
      </c>
      <c r="M51" s="7"/>
      <c r="N51" s="7"/>
    </row>
    <row r="52">
      <c r="A52" s="12">
        <v>45503.0</v>
      </c>
      <c r="B52" s="6" t="s">
        <v>27</v>
      </c>
      <c r="C52" s="2">
        <v>0.0</v>
      </c>
      <c r="D52" s="16">
        <f t="shared" si="3"/>
        <v>8.69</v>
      </c>
      <c r="E52" s="17">
        <f>D52/B1</f>
        <v>0.5793333333</v>
      </c>
      <c r="F52" s="16">
        <f t="shared" si="4"/>
        <v>8.89</v>
      </c>
      <c r="G52" s="17">
        <f>F52/B2</f>
        <v>0.5926666667</v>
      </c>
      <c r="H52" s="15">
        <f t="shared" si="5"/>
        <v>8.34</v>
      </c>
      <c r="I52" s="14">
        <f>H52/B3</f>
        <v>0.556</v>
      </c>
      <c r="J52" s="2">
        <v>0.0</v>
      </c>
      <c r="K52" s="2">
        <v>0.0</v>
      </c>
      <c r="L52" s="2">
        <v>0.0</v>
      </c>
      <c r="M52" s="7"/>
      <c r="N52" s="7"/>
    </row>
    <row r="53">
      <c r="A53" s="12">
        <v>45503.0</v>
      </c>
      <c r="B53" s="6" t="s">
        <v>44</v>
      </c>
      <c r="C53" s="2">
        <v>0.0</v>
      </c>
      <c r="D53" s="16">
        <f t="shared" si="3"/>
        <v>8.69</v>
      </c>
      <c r="E53" s="17">
        <f>D53/B1</f>
        <v>0.5793333333</v>
      </c>
      <c r="F53" s="16">
        <f t="shared" si="4"/>
        <v>8.89</v>
      </c>
      <c r="G53" s="17">
        <f>F53/B2</f>
        <v>0.5926666667</v>
      </c>
      <c r="H53" s="15">
        <f t="shared" si="5"/>
        <v>8.34</v>
      </c>
      <c r="I53" s="14">
        <f>H53/B3</f>
        <v>0.556</v>
      </c>
      <c r="J53" s="2">
        <v>0.0</v>
      </c>
      <c r="K53" s="2">
        <v>0.0</v>
      </c>
      <c r="L53" s="2">
        <v>0.0</v>
      </c>
      <c r="M53" s="7"/>
      <c r="N53" s="7"/>
    </row>
    <row r="54">
      <c r="A54" s="12">
        <v>45504.0</v>
      </c>
      <c r="B54" s="6" t="s">
        <v>43</v>
      </c>
      <c r="C54" s="2">
        <v>0.77</v>
      </c>
      <c r="D54" s="16">
        <f t="shared" si="3"/>
        <v>7.92</v>
      </c>
      <c r="E54" s="17">
        <f>D54/B1</f>
        <v>0.528</v>
      </c>
      <c r="F54" s="16">
        <f t="shared" si="4"/>
        <v>8.89</v>
      </c>
      <c r="G54" s="17">
        <f>F54/B2</f>
        <v>0.5926666667</v>
      </c>
      <c r="H54" s="15">
        <f t="shared" si="5"/>
        <v>8.34</v>
      </c>
      <c r="I54" s="14">
        <f>H54/B3</f>
        <v>0.556</v>
      </c>
      <c r="J54" s="2">
        <v>0.0</v>
      </c>
      <c r="K54" s="2">
        <v>0.0</v>
      </c>
      <c r="L54" s="2">
        <v>0.0</v>
      </c>
      <c r="M54" s="7"/>
      <c r="N54" s="7"/>
    </row>
    <row r="55">
      <c r="A55" s="12">
        <v>45504.0</v>
      </c>
      <c r="B55" s="6" t="s">
        <v>27</v>
      </c>
      <c r="C55" s="2">
        <v>0.85</v>
      </c>
      <c r="D55" s="16">
        <f t="shared" si="3"/>
        <v>7.92</v>
      </c>
      <c r="E55" s="17">
        <f>D55/B1</f>
        <v>0.528</v>
      </c>
      <c r="F55" s="16">
        <f t="shared" si="4"/>
        <v>8.04</v>
      </c>
      <c r="G55" s="17">
        <f>F55/B2</f>
        <v>0.536</v>
      </c>
      <c r="H55" s="15">
        <f t="shared" si="5"/>
        <v>8.34</v>
      </c>
      <c r="I55" s="14">
        <f>H55/B3</f>
        <v>0.556</v>
      </c>
      <c r="J55" s="2">
        <v>0.0</v>
      </c>
      <c r="K55" s="2">
        <v>0.0</v>
      </c>
      <c r="L55" s="2">
        <v>0.0</v>
      </c>
      <c r="M55" s="7"/>
      <c r="N55" s="7"/>
    </row>
    <row r="56">
      <c r="A56" s="12">
        <v>45504.0</v>
      </c>
      <c r="B56" s="6" t="s">
        <v>44</v>
      </c>
      <c r="C56" s="2">
        <v>0.86</v>
      </c>
      <c r="D56" s="16">
        <f t="shared" si="3"/>
        <v>7.92</v>
      </c>
      <c r="E56" s="17">
        <f>D56/B1</f>
        <v>0.528</v>
      </c>
      <c r="F56" s="16">
        <f t="shared" si="4"/>
        <v>8.04</v>
      </c>
      <c r="G56" s="17">
        <f>F56/B2</f>
        <v>0.536</v>
      </c>
      <c r="H56" s="15">
        <f t="shared" si="5"/>
        <v>7.48</v>
      </c>
      <c r="I56" s="14">
        <f>H56/B3</f>
        <v>0.4986666667</v>
      </c>
      <c r="J56" s="2">
        <v>0.0</v>
      </c>
      <c r="K56" s="2">
        <v>0.0</v>
      </c>
      <c r="L56" s="2">
        <v>0.0</v>
      </c>
      <c r="M56" s="7"/>
      <c r="N56" s="7"/>
    </row>
    <row r="57">
      <c r="A57" s="12">
        <v>45505.0</v>
      </c>
      <c r="B57" s="6" t="s">
        <v>43</v>
      </c>
      <c r="C57" s="2">
        <v>0.73</v>
      </c>
      <c r="D57" s="16">
        <f t="shared" si="3"/>
        <v>7.19</v>
      </c>
      <c r="E57" s="17">
        <f>D57/B1</f>
        <v>0.4793333333</v>
      </c>
      <c r="F57" s="16">
        <f t="shared" si="4"/>
        <v>8.04</v>
      </c>
      <c r="G57" s="17">
        <f>F57/B2</f>
        <v>0.536</v>
      </c>
      <c r="H57" s="15">
        <f t="shared" si="5"/>
        <v>7.48</v>
      </c>
      <c r="I57" s="14">
        <f>H57/B3</f>
        <v>0.4986666667</v>
      </c>
      <c r="J57" s="2">
        <v>0.0</v>
      </c>
      <c r="K57" s="2">
        <v>0.0</v>
      </c>
      <c r="L57" s="2">
        <v>0.0</v>
      </c>
      <c r="M57" s="7"/>
      <c r="N57" s="7"/>
    </row>
    <row r="58">
      <c r="A58" s="12">
        <v>45505.0</v>
      </c>
      <c r="B58" s="6" t="s">
        <v>27</v>
      </c>
      <c r="C58" s="2">
        <v>0.77</v>
      </c>
      <c r="D58" s="16">
        <f t="shared" si="3"/>
        <v>7.19</v>
      </c>
      <c r="E58" s="17">
        <f>D58/B1</f>
        <v>0.4793333333</v>
      </c>
      <c r="F58" s="16">
        <f t="shared" si="4"/>
        <v>7.27</v>
      </c>
      <c r="G58" s="17">
        <f>F58/B2</f>
        <v>0.4846666667</v>
      </c>
      <c r="H58" s="15">
        <f t="shared" si="5"/>
        <v>7.48</v>
      </c>
      <c r="I58" s="14">
        <f>H58/B3</f>
        <v>0.4986666667</v>
      </c>
      <c r="J58" s="2">
        <v>0.0</v>
      </c>
      <c r="K58" s="2">
        <v>0.0</v>
      </c>
      <c r="L58" s="2">
        <v>0.0</v>
      </c>
      <c r="M58" s="7"/>
      <c r="N58" s="7"/>
    </row>
    <row r="59">
      <c r="A59" s="12">
        <v>45505.0</v>
      </c>
      <c r="B59" s="6" t="s">
        <v>44</v>
      </c>
      <c r="C59" s="2">
        <v>0.78</v>
      </c>
      <c r="D59" s="16">
        <f t="shared" si="3"/>
        <v>7.19</v>
      </c>
      <c r="E59" s="17">
        <f>D59/B1</f>
        <v>0.4793333333</v>
      </c>
      <c r="F59" s="16">
        <f t="shared" si="4"/>
        <v>7.27</v>
      </c>
      <c r="G59" s="17">
        <f>F59/B2</f>
        <v>0.4846666667</v>
      </c>
      <c r="H59" s="15">
        <f t="shared" si="5"/>
        <v>6.7</v>
      </c>
      <c r="I59" s="14">
        <f>H59/B3</f>
        <v>0.4466666667</v>
      </c>
      <c r="J59" s="2">
        <v>0.0</v>
      </c>
      <c r="K59" s="2">
        <v>0.0</v>
      </c>
      <c r="L59" s="2">
        <v>0.0</v>
      </c>
    </row>
    <row r="60">
      <c r="A60" s="12">
        <v>45506.0</v>
      </c>
      <c r="B60" s="6" t="s">
        <v>43</v>
      </c>
      <c r="C60" s="2">
        <v>0.8</v>
      </c>
      <c r="D60" s="16">
        <f t="shared" si="3"/>
        <v>6.39</v>
      </c>
      <c r="E60" s="17">
        <f>D60/B1</f>
        <v>0.426</v>
      </c>
      <c r="F60" s="16">
        <f t="shared" si="4"/>
        <v>7.27</v>
      </c>
      <c r="G60" s="17">
        <f>F60/B2</f>
        <v>0.4846666667</v>
      </c>
      <c r="H60" s="15">
        <f t="shared" si="5"/>
        <v>6.7</v>
      </c>
      <c r="I60" s="14">
        <f>H60/B3</f>
        <v>0.4466666667</v>
      </c>
      <c r="J60" s="2">
        <v>0.0</v>
      </c>
      <c r="K60" s="2">
        <v>0.0</v>
      </c>
      <c r="L60" s="2">
        <v>0.0</v>
      </c>
    </row>
    <row r="61">
      <c r="A61" s="12">
        <v>45506.0</v>
      </c>
      <c r="B61" s="6" t="s">
        <v>27</v>
      </c>
      <c r="C61" s="2">
        <v>0.8</v>
      </c>
      <c r="D61" s="16">
        <f t="shared" si="3"/>
        <v>6.39</v>
      </c>
      <c r="E61" s="17">
        <f>D61/B1</f>
        <v>0.426</v>
      </c>
      <c r="F61" s="16">
        <f t="shared" si="4"/>
        <v>6.47</v>
      </c>
      <c r="G61" s="17">
        <f>F61/B2</f>
        <v>0.4313333333</v>
      </c>
      <c r="H61" s="15">
        <f t="shared" si="5"/>
        <v>6.7</v>
      </c>
      <c r="I61" s="14">
        <f>H61/B3</f>
        <v>0.4466666667</v>
      </c>
      <c r="J61" s="2">
        <v>0.0</v>
      </c>
      <c r="K61" s="2">
        <v>0.0</v>
      </c>
      <c r="L61" s="2">
        <v>0.0</v>
      </c>
    </row>
    <row r="62">
      <c r="A62" s="12">
        <v>45506.0</v>
      </c>
      <c r="B62" s="6" t="s">
        <v>44</v>
      </c>
      <c r="C62" s="2">
        <v>0.83</v>
      </c>
      <c r="D62" s="16">
        <f t="shared" si="3"/>
        <v>6.39</v>
      </c>
      <c r="E62" s="17">
        <f>D62/B1</f>
        <v>0.426</v>
      </c>
      <c r="F62" s="16">
        <f t="shared" si="4"/>
        <v>6.47</v>
      </c>
      <c r="G62" s="17">
        <f>F62/B2</f>
        <v>0.4313333333</v>
      </c>
      <c r="H62" s="15">
        <f t="shared" si="5"/>
        <v>5.87</v>
      </c>
      <c r="I62" s="14">
        <f>H62/B3</f>
        <v>0.3913333333</v>
      </c>
      <c r="J62" s="2">
        <v>0.0</v>
      </c>
      <c r="K62" s="2">
        <v>0.0</v>
      </c>
      <c r="L62" s="2">
        <v>0.0</v>
      </c>
    </row>
    <row r="63">
      <c r="A63" s="12">
        <v>45507.0</v>
      </c>
      <c r="B63" s="6" t="s">
        <v>43</v>
      </c>
      <c r="C63" s="2">
        <v>0.78</v>
      </c>
      <c r="D63" s="16">
        <f t="shared" si="3"/>
        <v>5.61</v>
      </c>
      <c r="E63" s="17">
        <f>D63/B1</f>
        <v>0.374</v>
      </c>
      <c r="F63" s="16">
        <f t="shared" si="4"/>
        <v>6.47</v>
      </c>
      <c r="G63" s="17">
        <f>F63/B2</f>
        <v>0.4313333333</v>
      </c>
      <c r="H63" s="15">
        <f t="shared" si="5"/>
        <v>5.87</v>
      </c>
      <c r="I63" s="14">
        <f>H63/B3</f>
        <v>0.3913333333</v>
      </c>
      <c r="J63" s="2">
        <v>0.0</v>
      </c>
      <c r="K63" s="2">
        <v>0.0</v>
      </c>
      <c r="L63" s="2">
        <v>0.0</v>
      </c>
    </row>
    <row r="64">
      <c r="A64" s="12">
        <v>45507.0</v>
      </c>
      <c r="B64" s="6" t="s">
        <v>27</v>
      </c>
      <c r="C64" s="2">
        <v>0.83</v>
      </c>
      <c r="D64" s="16">
        <f t="shared" si="3"/>
        <v>5.61</v>
      </c>
      <c r="E64" s="17">
        <f>D64/B1</f>
        <v>0.374</v>
      </c>
      <c r="F64" s="16">
        <f t="shared" si="4"/>
        <v>5.64</v>
      </c>
      <c r="G64" s="17">
        <f>F64/B2</f>
        <v>0.376</v>
      </c>
      <c r="H64" s="15">
        <f t="shared" si="5"/>
        <v>5.87</v>
      </c>
      <c r="I64" s="14">
        <f>H64/B3</f>
        <v>0.3913333333</v>
      </c>
      <c r="J64" s="2">
        <v>0.0</v>
      </c>
      <c r="K64" s="2">
        <v>0.0</v>
      </c>
      <c r="L64" s="2">
        <v>0.0</v>
      </c>
    </row>
    <row r="65">
      <c r="A65" s="12">
        <v>45507.0</v>
      </c>
      <c r="B65" s="6" t="s">
        <v>44</v>
      </c>
      <c r="C65" s="2">
        <v>0.82</v>
      </c>
      <c r="D65" s="16">
        <f t="shared" si="3"/>
        <v>5.61</v>
      </c>
      <c r="E65" s="17">
        <f>D65/B1</f>
        <v>0.374</v>
      </c>
      <c r="F65" s="16">
        <f t="shared" si="4"/>
        <v>5.64</v>
      </c>
      <c r="G65" s="17">
        <f>F65/B2</f>
        <v>0.376</v>
      </c>
      <c r="H65" s="15">
        <f t="shared" si="5"/>
        <v>5.05</v>
      </c>
      <c r="I65" s="14">
        <f>H65/B3</f>
        <v>0.3366666667</v>
      </c>
      <c r="J65" s="2">
        <v>0.0</v>
      </c>
      <c r="K65" s="2">
        <v>0.0</v>
      </c>
      <c r="L65" s="2">
        <v>0.0</v>
      </c>
    </row>
    <row r="66">
      <c r="A66" s="12">
        <v>45508.0</v>
      </c>
      <c r="B66" s="6" t="s">
        <v>43</v>
      </c>
      <c r="C66" s="2">
        <v>0.7</v>
      </c>
      <c r="D66" s="16">
        <f t="shared" si="3"/>
        <v>4.91</v>
      </c>
      <c r="E66" s="17">
        <f>D66/B1</f>
        <v>0.3273333333</v>
      </c>
      <c r="F66" s="16">
        <f t="shared" si="4"/>
        <v>5.64</v>
      </c>
      <c r="G66" s="17">
        <f>F66/B2</f>
        <v>0.376</v>
      </c>
      <c r="H66" s="15">
        <f t="shared" si="5"/>
        <v>5.05</v>
      </c>
      <c r="I66" s="14">
        <f>H66/B3</f>
        <v>0.3366666667</v>
      </c>
      <c r="J66" s="2">
        <v>0.0</v>
      </c>
      <c r="K66" s="2">
        <v>0.0</v>
      </c>
      <c r="L66" s="2">
        <v>0.0</v>
      </c>
    </row>
    <row r="67">
      <c r="A67" s="12">
        <v>45508.0</v>
      </c>
      <c r="B67" s="6" t="s">
        <v>27</v>
      </c>
      <c r="C67" s="2">
        <v>0.71</v>
      </c>
      <c r="D67" s="16">
        <f t="shared" si="3"/>
        <v>4.91</v>
      </c>
      <c r="E67" s="17">
        <f>D67/B1</f>
        <v>0.3273333333</v>
      </c>
      <c r="F67" s="16">
        <f t="shared" si="4"/>
        <v>4.93</v>
      </c>
      <c r="G67" s="17">
        <f>F67/B2</f>
        <v>0.3286666667</v>
      </c>
      <c r="H67" s="15">
        <f t="shared" si="5"/>
        <v>5.05</v>
      </c>
      <c r="I67" s="14">
        <f>H67/B3</f>
        <v>0.3366666667</v>
      </c>
      <c r="J67" s="2">
        <v>0.0</v>
      </c>
      <c r="K67" s="2">
        <v>0.0</v>
      </c>
      <c r="L67" s="2">
        <v>0.0</v>
      </c>
    </row>
    <row r="68">
      <c r="A68" s="12">
        <v>45508.0</v>
      </c>
      <c r="B68" s="6" t="s">
        <v>44</v>
      </c>
      <c r="C68" s="2">
        <v>0.74</v>
      </c>
      <c r="D68" s="16">
        <f t="shared" si="3"/>
        <v>4.91</v>
      </c>
      <c r="E68" s="17">
        <f>D68/B1</f>
        <v>0.3273333333</v>
      </c>
      <c r="F68" s="16">
        <f t="shared" si="4"/>
        <v>4.93</v>
      </c>
      <c r="G68" s="17">
        <f>F68/B2</f>
        <v>0.3286666667</v>
      </c>
      <c r="H68" s="15">
        <f t="shared" si="5"/>
        <v>4.31</v>
      </c>
      <c r="I68" s="14">
        <f>H68/B3</f>
        <v>0.2873333333</v>
      </c>
      <c r="J68" s="2">
        <v>0.0</v>
      </c>
      <c r="K68" s="2">
        <v>0.0</v>
      </c>
      <c r="L68" s="2">
        <v>0.0</v>
      </c>
    </row>
    <row r="69">
      <c r="A69" s="12">
        <v>45509.0</v>
      </c>
      <c r="B69" s="6" t="s">
        <v>43</v>
      </c>
      <c r="C69" s="2">
        <v>1.43</v>
      </c>
      <c r="D69" s="16">
        <f t="shared" si="3"/>
        <v>3.48</v>
      </c>
      <c r="E69" s="17">
        <f>D69/B1</f>
        <v>0.232</v>
      </c>
      <c r="F69" s="16">
        <f t="shared" si="4"/>
        <v>4.93</v>
      </c>
      <c r="G69" s="17">
        <f>F69/B2</f>
        <v>0.3286666667</v>
      </c>
      <c r="H69" s="15">
        <f t="shared" si="5"/>
        <v>4.31</v>
      </c>
      <c r="I69" s="14">
        <f>H69/B3</f>
        <v>0.2873333333</v>
      </c>
      <c r="J69" s="2">
        <v>0.0</v>
      </c>
      <c r="K69" s="2">
        <v>0.0</v>
      </c>
      <c r="L69" s="2">
        <v>0.0</v>
      </c>
    </row>
    <row r="70">
      <c r="A70" s="12">
        <v>45509.0</v>
      </c>
      <c r="B70" s="6" t="s">
        <v>27</v>
      </c>
      <c r="C70" s="2">
        <v>0.81</v>
      </c>
      <c r="D70" s="16">
        <f t="shared" si="3"/>
        <v>3.48</v>
      </c>
      <c r="E70" s="17">
        <f>D70/B1</f>
        <v>0.232</v>
      </c>
      <c r="F70" s="16">
        <f t="shared" si="4"/>
        <v>4.12</v>
      </c>
      <c r="G70" s="17">
        <f>F70/B2</f>
        <v>0.2746666667</v>
      </c>
      <c r="H70" s="15">
        <f t="shared" si="5"/>
        <v>4.31</v>
      </c>
      <c r="I70" s="14">
        <f>H70/B3</f>
        <v>0.2873333333</v>
      </c>
      <c r="J70" s="2">
        <v>0.0</v>
      </c>
      <c r="K70" s="2">
        <v>0.0</v>
      </c>
      <c r="L70" s="2">
        <v>0.0</v>
      </c>
    </row>
    <row r="71">
      <c r="A71" s="12">
        <v>45509.0</v>
      </c>
      <c r="B71" s="6" t="s">
        <v>44</v>
      </c>
      <c r="C71" s="2">
        <v>0.1</v>
      </c>
      <c r="D71" s="16">
        <f t="shared" si="3"/>
        <v>3.48</v>
      </c>
      <c r="E71" s="17">
        <f>D71/B1</f>
        <v>0.232</v>
      </c>
      <c r="F71" s="16">
        <f t="shared" si="4"/>
        <v>4.12</v>
      </c>
      <c r="G71" s="17">
        <f>F71/B2</f>
        <v>0.2746666667</v>
      </c>
      <c r="H71" s="15">
        <f t="shared" si="5"/>
        <v>4.21</v>
      </c>
      <c r="I71" s="14">
        <f>H71/B3</f>
        <v>0.2806666667</v>
      </c>
      <c r="J71" s="2">
        <v>0.0</v>
      </c>
      <c r="K71" s="2">
        <v>0.0</v>
      </c>
      <c r="L71" s="2">
        <v>0.0</v>
      </c>
    </row>
    <row r="72">
      <c r="A72" s="12">
        <v>45510.0</v>
      </c>
      <c r="B72" s="6" t="s">
        <v>43</v>
      </c>
      <c r="C72" s="2">
        <v>0.7</v>
      </c>
      <c r="D72" s="16">
        <f t="shared" si="3"/>
        <v>2.78</v>
      </c>
      <c r="E72" s="17">
        <f>D72/B1</f>
        <v>0.1853333333</v>
      </c>
      <c r="F72" s="16">
        <f t="shared" si="4"/>
        <v>4.12</v>
      </c>
      <c r="G72" s="17">
        <f>F72/B2</f>
        <v>0.2746666667</v>
      </c>
      <c r="H72" s="15">
        <f t="shared" si="5"/>
        <v>4.21</v>
      </c>
      <c r="I72" s="14">
        <f>H72/B3</f>
        <v>0.2806666667</v>
      </c>
      <c r="J72" s="2">
        <v>0.0</v>
      </c>
      <c r="K72" s="2">
        <v>0.0</v>
      </c>
      <c r="L72" s="2">
        <v>0.0</v>
      </c>
    </row>
    <row r="73">
      <c r="A73" s="12">
        <v>45510.0</v>
      </c>
      <c r="B73" s="6" t="s">
        <v>27</v>
      </c>
      <c r="C73" s="2">
        <v>0.76</v>
      </c>
      <c r="D73" s="16">
        <f t="shared" si="3"/>
        <v>2.78</v>
      </c>
      <c r="E73" s="17">
        <f>D73/B1</f>
        <v>0.1853333333</v>
      </c>
      <c r="F73" s="16">
        <f t="shared" si="4"/>
        <v>3.36</v>
      </c>
      <c r="G73" s="17">
        <f>F73/B2</f>
        <v>0.224</v>
      </c>
      <c r="H73" s="15">
        <f t="shared" si="5"/>
        <v>4.21</v>
      </c>
      <c r="I73" s="14">
        <f>H73/B3</f>
        <v>0.2806666667</v>
      </c>
      <c r="J73" s="2">
        <v>0.0</v>
      </c>
      <c r="K73" s="2">
        <v>0.0</v>
      </c>
      <c r="L73" s="2">
        <v>0.0</v>
      </c>
    </row>
    <row r="74">
      <c r="A74" s="12">
        <v>45510.0</v>
      </c>
      <c r="B74" s="6" t="s">
        <v>44</v>
      </c>
      <c r="C74" s="2">
        <v>0.78</v>
      </c>
      <c r="D74" s="16">
        <f t="shared" si="3"/>
        <v>2.78</v>
      </c>
      <c r="E74" s="17">
        <f>D74/B1</f>
        <v>0.1853333333</v>
      </c>
      <c r="F74" s="16">
        <f t="shared" si="4"/>
        <v>3.36</v>
      </c>
      <c r="G74" s="17">
        <f>F74/B2</f>
        <v>0.224</v>
      </c>
      <c r="H74" s="15">
        <f t="shared" si="5"/>
        <v>3.43</v>
      </c>
      <c r="I74" s="14">
        <f>H74/B3</f>
        <v>0.2286666667</v>
      </c>
      <c r="J74" s="2">
        <v>0.0</v>
      </c>
      <c r="K74" s="2">
        <v>0.0</v>
      </c>
      <c r="L74" s="2">
        <v>0.0</v>
      </c>
    </row>
    <row r="75">
      <c r="A75" s="12">
        <v>45511.0</v>
      </c>
      <c r="B75" s="6" t="s">
        <v>43</v>
      </c>
      <c r="C75" s="2">
        <v>1.0</v>
      </c>
      <c r="D75" s="16">
        <f t="shared" si="3"/>
        <v>1.78</v>
      </c>
      <c r="E75" s="17">
        <f>D75/B1</f>
        <v>0.1186666667</v>
      </c>
      <c r="F75" s="16">
        <f t="shared" si="4"/>
        <v>3.36</v>
      </c>
      <c r="G75" s="17">
        <f>F75/B2</f>
        <v>0.224</v>
      </c>
      <c r="H75" s="15">
        <f t="shared" si="5"/>
        <v>3.43</v>
      </c>
      <c r="I75" s="14">
        <f>H75/B3</f>
        <v>0.2286666667</v>
      </c>
      <c r="J75" s="2">
        <v>0.0</v>
      </c>
      <c r="K75" s="2">
        <v>0.0</v>
      </c>
      <c r="L75" s="2">
        <v>0.0</v>
      </c>
    </row>
    <row r="76">
      <c r="A76" s="12">
        <v>45511.0</v>
      </c>
      <c r="B76" s="6" t="s">
        <v>27</v>
      </c>
      <c r="C76" s="2">
        <v>1.01</v>
      </c>
      <c r="D76" s="16">
        <f t="shared" si="3"/>
        <v>1.78</v>
      </c>
      <c r="E76" s="17">
        <f>D76/B1</f>
        <v>0.1186666667</v>
      </c>
      <c r="F76" s="16">
        <f t="shared" si="4"/>
        <v>2.35</v>
      </c>
      <c r="G76" s="17">
        <f>F76/B2</f>
        <v>0.1566666667</v>
      </c>
      <c r="H76" s="15">
        <f t="shared" si="5"/>
        <v>3.43</v>
      </c>
      <c r="I76" s="14">
        <f>H76/B3</f>
        <v>0.2286666667</v>
      </c>
      <c r="J76" s="2">
        <v>0.0</v>
      </c>
      <c r="K76" s="2">
        <v>0.0</v>
      </c>
      <c r="L76" s="2">
        <v>0.0</v>
      </c>
    </row>
    <row r="77">
      <c r="A77" s="12">
        <v>45511.0</v>
      </c>
      <c r="B77" s="6" t="s">
        <v>44</v>
      </c>
      <c r="C77" s="2">
        <v>1.04</v>
      </c>
      <c r="D77" s="16">
        <f t="shared" si="3"/>
        <v>1.78</v>
      </c>
      <c r="E77" s="17">
        <f>D77/B1</f>
        <v>0.1186666667</v>
      </c>
      <c r="F77" s="16">
        <f t="shared" si="4"/>
        <v>2.35</v>
      </c>
      <c r="G77" s="17">
        <f>F77/B2</f>
        <v>0.1566666667</v>
      </c>
      <c r="H77" s="15">
        <f t="shared" si="5"/>
        <v>2.39</v>
      </c>
      <c r="I77" s="14">
        <f>H77/B3</f>
        <v>0.1593333333</v>
      </c>
      <c r="J77" s="2">
        <v>0.0</v>
      </c>
      <c r="K77" s="2">
        <v>0.0</v>
      </c>
      <c r="L77" s="2">
        <v>0.0</v>
      </c>
    </row>
    <row r="78">
      <c r="A78" s="12">
        <v>45512.0</v>
      </c>
      <c r="B78" s="6" t="s">
        <v>43</v>
      </c>
      <c r="C78" s="2">
        <v>1.78</v>
      </c>
      <c r="D78" s="16">
        <f t="shared" si="3"/>
        <v>0</v>
      </c>
      <c r="E78" s="17">
        <f>D78/B1</f>
        <v>0</v>
      </c>
      <c r="F78" s="16">
        <f t="shared" si="4"/>
        <v>2.35</v>
      </c>
      <c r="G78" s="17">
        <f>F78/B2</f>
        <v>0.1566666667</v>
      </c>
      <c r="H78" s="15">
        <f t="shared" si="5"/>
        <v>2.39</v>
      </c>
      <c r="I78" s="14">
        <f>H78/B3</f>
        <v>0.1593333333</v>
      </c>
      <c r="J78" s="2">
        <v>0.0</v>
      </c>
      <c r="K78" s="2">
        <v>0.0</v>
      </c>
      <c r="L78" s="2">
        <v>0.0</v>
      </c>
    </row>
    <row r="79">
      <c r="A79" s="12">
        <v>45512.0</v>
      </c>
      <c r="B79" s="6" t="s">
        <v>27</v>
      </c>
      <c r="C79" s="2">
        <v>2.35</v>
      </c>
      <c r="D79" s="16">
        <f t="shared" si="3"/>
        <v>0</v>
      </c>
      <c r="E79" s="17">
        <f>D79/B1</f>
        <v>0</v>
      </c>
      <c r="F79" s="16">
        <f t="shared" si="4"/>
        <v>0</v>
      </c>
      <c r="G79" s="17">
        <f>F79/B2</f>
        <v>0</v>
      </c>
      <c r="H79" s="15">
        <f t="shared" si="5"/>
        <v>2.39</v>
      </c>
      <c r="I79" s="14">
        <f>H79/B3</f>
        <v>0.1593333333</v>
      </c>
      <c r="J79" s="2">
        <v>0.0</v>
      </c>
      <c r="K79" s="2">
        <v>0.0</v>
      </c>
      <c r="L79" s="2">
        <v>0.0</v>
      </c>
    </row>
    <row r="80">
      <c r="A80" s="12">
        <v>45512.0</v>
      </c>
      <c r="B80" s="6" t="s">
        <v>44</v>
      </c>
      <c r="C80" s="2">
        <v>2.39</v>
      </c>
      <c r="D80" s="16">
        <f t="shared" si="3"/>
        <v>0</v>
      </c>
      <c r="E80" s="17">
        <f>D80/B1</f>
        <v>0</v>
      </c>
      <c r="F80" s="16">
        <f t="shared" si="4"/>
        <v>0</v>
      </c>
      <c r="G80" s="17">
        <f>F80/B2</f>
        <v>0</v>
      </c>
      <c r="H80" s="15">
        <f t="shared" si="5"/>
        <v>0</v>
      </c>
      <c r="I80" s="14">
        <f>H80/B3</f>
        <v>0</v>
      </c>
      <c r="J80" s="2">
        <v>0.0</v>
      </c>
      <c r="K80" s="2">
        <v>0.0</v>
      </c>
      <c r="L80" s="2">
        <v>0.0</v>
      </c>
    </row>
    <row r="81">
      <c r="A81" s="12">
        <v>45513.0</v>
      </c>
      <c r="B81" s="6" t="s">
        <v>43</v>
      </c>
      <c r="C81" s="2">
        <v>0.0</v>
      </c>
      <c r="D81" s="16">
        <f t="shared" si="3"/>
        <v>0</v>
      </c>
      <c r="E81" s="17">
        <f>D81/B1</f>
        <v>0</v>
      </c>
      <c r="F81" s="16">
        <f t="shared" si="4"/>
        <v>0</v>
      </c>
      <c r="G81" s="17">
        <f>F81/B2</f>
        <v>0</v>
      </c>
      <c r="H81" s="15">
        <f t="shared" si="5"/>
        <v>0</v>
      </c>
      <c r="I81" s="14">
        <f>H81/B3</f>
        <v>0</v>
      </c>
      <c r="J81" s="2">
        <v>0.0</v>
      </c>
      <c r="K81" s="2">
        <v>0.0</v>
      </c>
      <c r="L81" s="2">
        <v>0.0</v>
      </c>
    </row>
    <row r="82">
      <c r="A82" s="12">
        <v>45513.0</v>
      </c>
      <c r="B82" s="6" t="s">
        <v>27</v>
      </c>
      <c r="C82" s="2">
        <v>0.0</v>
      </c>
      <c r="D82" s="16">
        <f t="shared" si="3"/>
        <v>0</v>
      </c>
      <c r="E82" s="17">
        <f>D82/B1</f>
        <v>0</v>
      </c>
      <c r="F82" s="16">
        <f t="shared" si="4"/>
        <v>0</v>
      </c>
      <c r="G82" s="17">
        <f>F82/B2</f>
        <v>0</v>
      </c>
      <c r="H82" s="15">
        <f t="shared" si="5"/>
        <v>0</v>
      </c>
      <c r="I82" s="14">
        <f>H82/B3</f>
        <v>0</v>
      </c>
      <c r="J82" s="2">
        <v>0.0</v>
      </c>
      <c r="K82" s="2">
        <v>0.0</v>
      </c>
      <c r="L82" s="2">
        <v>0.0</v>
      </c>
    </row>
    <row r="83">
      <c r="A83" s="12">
        <v>45513.0</v>
      </c>
      <c r="B83" s="6" t="s">
        <v>44</v>
      </c>
      <c r="C83" s="2">
        <v>0.0</v>
      </c>
      <c r="D83" s="16">
        <f t="shared" si="3"/>
        <v>0</v>
      </c>
      <c r="E83" s="17">
        <f>D83/B1</f>
        <v>0</v>
      </c>
      <c r="F83" s="16">
        <f t="shared" si="4"/>
        <v>0</v>
      </c>
      <c r="G83" s="17">
        <f>F83/B2</f>
        <v>0</v>
      </c>
      <c r="H83" s="15">
        <f t="shared" si="5"/>
        <v>0</v>
      </c>
      <c r="I83" s="14">
        <f>H83/B3</f>
        <v>0</v>
      </c>
      <c r="J83" s="2">
        <v>0.0</v>
      </c>
      <c r="K83" s="2">
        <v>0.0</v>
      </c>
      <c r="L83" s="2">
        <v>0.0</v>
      </c>
    </row>
    <row r="84">
      <c r="A84" s="12">
        <v>45514.0</v>
      </c>
      <c r="B84" s="6" t="s">
        <v>43</v>
      </c>
      <c r="C84" s="2">
        <v>0.0</v>
      </c>
      <c r="D84" s="16">
        <f t="shared" si="3"/>
        <v>0</v>
      </c>
      <c r="E84" s="17">
        <f>D84/B1</f>
        <v>0</v>
      </c>
      <c r="F84" s="16">
        <f t="shared" si="4"/>
        <v>0</v>
      </c>
      <c r="G84" s="17">
        <f>F84/B2</f>
        <v>0</v>
      </c>
      <c r="H84" s="15">
        <f t="shared" si="5"/>
        <v>0</v>
      </c>
      <c r="I84" s="14">
        <f>H84/B3</f>
        <v>0</v>
      </c>
      <c r="J84" s="2">
        <v>0.0</v>
      </c>
      <c r="K84" s="2">
        <v>0.0</v>
      </c>
      <c r="L84" s="2">
        <v>0.0</v>
      </c>
    </row>
    <row r="85">
      <c r="A85" s="12">
        <v>45514.0</v>
      </c>
      <c r="B85" s="6" t="s">
        <v>27</v>
      </c>
      <c r="C85" s="2">
        <v>0.0</v>
      </c>
      <c r="D85" s="16">
        <f t="shared" si="3"/>
        <v>0</v>
      </c>
      <c r="E85" s="17">
        <f>D85/B1</f>
        <v>0</v>
      </c>
      <c r="F85" s="16">
        <f t="shared" si="4"/>
        <v>0</v>
      </c>
      <c r="G85" s="17">
        <f>F85/B2</f>
        <v>0</v>
      </c>
      <c r="H85" s="15">
        <f t="shared" si="5"/>
        <v>0</v>
      </c>
      <c r="I85" s="14">
        <f>H85/B3</f>
        <v>0</v>
      </c>
      <c r="J85" s="2">
        <v>0.0</v>
      </c>
      <c r="K85" s="2">
        <v>0.0</v>
      </c>
      <c r="L85" s="2">
        <v>0.0</v>
      </c>
    </row>
    <row r="86">
      <c r="A86" s="12">
        <v>45514.0</v>
      </c>
      <c r="B86" s="6" t="s">
        <v>44</v>
      </c>
      <c r="C86" s="2">
        <v>0.0</v>
      </c>
      <c r="D86" s="16">
        <f t="shared" si="3"/>
        <v>0</v>
      </c>
      <c r="E86" s="17">
        <f>D86/B1</f>
        <v>0</v>
      </c>
      <c r="F86" s="16">
        <f t="shared" si="4"/>
        <v>0</v>
      </c>
      <c r="G86" s="17">
        <f>F86/B2</f>
        <v>0</v>
      </c>
      <c r="H86" s="15">
        <f t="shared" si="5"/>
        <v>0</v>
      </c>
      <c r="I86" s="14">
        <f>H86/B3</f>
        <v>0</v>
      </c>
      <c r="J86" s="2">
        <v>0.0</v>
      </c>
      <c r="K86" s="2">
        <v>0.0</v>
      </c>
      <c r="L86" s="2">
        <v>0.0</v>
      </c>
    </row>
    <row r="87">
      <c r="A87" s="12">
        <v>45515.0</v>
      </c>
      <c r="B87" s="6" t="s">
        <v>43</v>
      </c>
      <c r="C87" s="2">
        <v>0.0</v>
      </c>
      <c r="D87" s="16">
        <f t="shared" si="3"/>
        <v>0</v>
      </c>
      <c r="E87" s="17">
        <f>D87/B1</f>
        <v>0</v>
      </c>
      <c r="F87" s="16">
        <f t="shared" si="4"/>
        <v>0</v>
      </c>
      <c r="G87" s="17">
        <f>F87/B2</f>
        <v>0</v>
      </c>
      <c r="H87" s="15">
        <f t="shared" si="5"/>
        <v>0</v>
      </c>
      <c r="I87" s="14">
        <f>H87/B3</f>
        <v>0</v>
      </c>
      <c r="J87" s="2">
        <v>0.0</v>
      </c>
      <c r="K87" s="2">
        <v>0.0</v>
      </c>
      <c r="L87" s="2">
        <v>0.0</v>
      </c>
    </row>
    <row r="88">
      <c r="A88" s="12">
        <v>45515.0</v>
      </c>
      <c r="B88" s="6" t="s">
        <v>27</v>
      </c>
      <c r="C88" s="2">
        <v>0.0</v>
      </c>
      <c r="D88" s="16">
        <f t="shared" si="3"/>
        <v>0</v>
      </c>
      <c r="E88" s="17">
        <f>D88/B1</f>
        <v>0</v>
      </c>
      <c r="F88" s="16">
        <f t="shared" si="4"/>
        <v>0</v>
      </c>
      <c r="G88" s="17">
        <f>F88/B2</f>
        <v>0</v>
      </c>
      <c r="H88" s="15">
        <f t="shared" si="5"/>
        <v>0</v>
      </c>
      <c r="I88" s="14">
        <f>H88/B3</f>
        <v>0</v>
      </c>
      <c r="J88" s="2">
        <v>0.0</v>
      </c>
      <c r="K88" s="2">
        <v>0.0</v>
      </c>
      <c r="L88" s="2">
        <v>0.0</v>
      </c>
    </row>
    <row r="89">
      <c r="A89" s="12">
        <v>45515.0</v>
      </c>
      <c r="B89" s="6" t="s">
        <v>44</v>
      </c>
      <c r="C89" s="2">
        <v>0.0</v>
      </c>
      <c r="D89" s="16">
        <f t="shared" si="3"/>
        <v>0</v>
      </c>
      <c r="E89" s="17">
        <f>D89/B1</f>
        <v>0</v>
      </c>
      <c r="F89" s="16">
        <f t="shared" si="4"/>
        <v>0</v>
      </c>
      <c r="G89" s="17">
        <f>F89/B2</f>
        <v>0</v>
      </c>
      <c r="H89" s="15">
        <f t="shared" si="5"/>
        <v>0</v>
      </c>
      <c r="I89" s="14">
        <f>H89/B3</f>
        <v>0</v>
      </c>
      <c r="J89" s="2">
        <v>0.0</v>
      </c>
      <c r="K89" s="2">
        <v>0.0</v>
      </c>
      <c r="L89" s="2">
        <v>0.0</v>
      </c>
    </row>
    <row r="90">
      <c r="A90" s="12">
        <v>45516.0</v>
      </c>
      <c r="B90" s="6" t="s">
        <v>43</v>
      </c>
      <c r="C90" s="2">
        <v>0.0</v>
      </c>
      <c r="D90" s="16">
        <f t="shared" si="3"/>
        <v>0</v>
      </c>
      <c r="E90" s="17">
        <f>D90/B1</f>
        <v>0</v>
      </c>
      <c r="F90" s="16">
        <f t="shared" si="4"/>
        <v>0</v>
      </c>
      <c r="G90" s="17">
        <f>F90/B2</f>
        <v>0</v>
      </c>
      <c r="H90" s="15">
        <f t="shared" si="5"/>
        <v>0</v>
      </c>
      <c r="I90" s="14">
        <f>H90/B3</f>
        <v>0</v>
      </c>
      <c r="J90" s="2">
        <v>0.0</v>
      </c>
      <c r="K90" s="2">
        <v>0.0</v>
      </c>
      <c r="L90" s="2">
        <v>0.0</v>
      </c>
    </row>
    <row r="91">
      <c r="A91" s="12">
        <v>45516.0</v>
      </c>
      <c r="B91" s="6" t="s">
        <v>27</v>
      </c>
      <c r="C91" s="2">
        <v>0.0</v>
      </c>
      <c r="D91" s="16">
        <f t="shared" si="3"/>
        <v>0</v>
      </c>
      <c r="E91" s="17">
        <f>D91/B1</f>
        <v>0</v>
      </c>
      <c r="F91" s="16">
        <f t="shared" si="4"/>
        <v>0</v>
      </c>
      <c r="G91" s="17">
        <f>F91/B2</f>
        <v>0</v>
      </c>
      <c r="H91" s="15">
        <f t="shared" si="5"/>
        <v>0</v>
      </c>
      <c r="I91" s="14">
        <f>H91/B3</f>
        <v>0</v>
      </c>
      <c r="J91" s="2">
        <v>0.0</v>
      </c>
      <c r="K91" s="2">
        <v>0.0</v>
      </c>
      <c r="L91" s="2">
        <v>0.0</v>
      </c>
    </row>
    <row r="92">
      <c r="A92" s="12">
        <v>45516.0</v>
      </c>
      <c r="B92" s="6" t="s">
        <v>44</v>
      </c>
      <c r="C92" s="2">
        <v>0.0</v>
      </c>
      <c r="D92" s="16">
        <f t="shared" si="3"/>
        <v>0</v>
      </c>
      <c r="E92" s="17">
        <f>D92/B1</f>
        <v>0</v>
      </c>
      <c r="F92" s="16">
        <f t="shared" si="4"/>
        <v>0</v>
      </c>
      <c r="G92" s="17">
        <f>F92/B2</f>
        <v>0</v>
      </c>
      <c r="H92" s="15">
        <f t="shared" si="5"/>
        <v>0</v>
      </c>
      <c r="I92" s="14">
        <f>H92/B3</f>
        <v>0</v>
      </c>
      <c r="J92" s="2">
        <v>0.0</v>
      </c>
      <c r="K92" s="2">
        <v>0.0</v>
      </c>
      <c r="L92" s="2">
        <v>0.0</v>
      </c>
    </row>
    <row r="93">
      <c r="A93" s="12">
        <v>45517.0</v>
      </c>
      <c r="B93" s="6" t="s">
        <v>43</v>
      </c>
      <c r="C93" s="2">
        <v>0.0</v>
      </c>
      <c r="D93" s="16">
        <f t="shared" si="3"/>
        <v>0</v>
      </c>
      <c r="E93" s="17">
        <f>D93/B1</f>
        <v>0</v>
      </c>
      <c r="F93" s="16">
        <f t="shared" si="4"/>
        <v>0</v>
      </c>
      <c r="G93" s="17">
        <f>F93/B2</f>
        <v>0</v>
      </c>
      <c r="H93" s="15">
        <f t="shared" si="5"/>
        <v>0</v>
      </c>
      <c r="I93" s="14">
        <f>H93/B3</f>
        <v>0</v>
      </c>
      <c r="J93" s="2">
        <v>0.0</v>
      </c>
      <c r="K93" s="2">
        <v>0.0</v>
      </c>
      <c r="L93" s="2">
        <v>0.0</v>
      </c>
    </row>
    <row r="94">
      <c r="A94" s="12">
        <v>45517.0</v>
      </c>
      <c r="B94" s="6" t="s">
        <v>27</v>
      </c>
      <c r="C94" s="2">
        <v>0.0</v>
      </c>
      <c r="D94" s="16">
        <f t="shared" si="3"/>
        <v>0</v>
      </c>
      <c r="E94" s="17">
        <f>D94/B1</f>
        <v>0</v>
      </c>
      <c r="F94" s="16">
        <f t="shared" si="4"/>
        <v>0</v>
      </c>
      <c r="G94" s="17">
        <f>F94/B2</f>
        <v>0</v>
      </c>
      <c r="H94" s="15">
        <f t="shared" si="5"/>
        <v>0</v>
      </c>
      <c r="I94" s="14">
        <f>H94/B3</f>
        <v>0</v>
      </c>
      <c r="J94" s="2">
        <v>0.0</v>
      </c>
      <c r="K94" s="2">
        <v>0.0</v>
      </c>
      <c r="L94" s="2">
        <v>0.0</v>
      </c>
    </row>
    <row r="95">
      <c r="A95" s="12">
        <v>45517.0</v>
      </c>
      <c r="B95" s="6" t="s">
        <v>44</v>
      </c>
      <c r="C95" s="2">
        <v>0.0</v>
      </c>
      <c r="D95" s="16">
        <f t="shared" si="3"/>
        <v>0</v>
      </c>
      <c r="E95" s="17">
        <f>D95/B1</f>
        <v>0</v>
      </c>
      <c r="F95" s="16">
        <f t="shared" si="4"/>
        <v>0</v>
      </c>
      <c r="G95" s="17">
        <f>F95/B2</f>
        <v>0</v>
      </c>
      <c r="H95" s="15">
        <f t="shared" si="5"/>
        <v>0</v>
      </c>
      <c r="I95" s="14">
        <f>H95/B3</f>
        <v>0</v>
      </c>
      <c r="J95" s="2">
        <v>0.0</v>
      </c>
      <c r="K95" s="2">
        <v>0.0</v>
      </c>
      <c r="L95" s="2">
        <v>0.0</v>
      </c>
    </row>
    <row r="96">
      <c r="A96" s="12">
        <v>45518.0</v>
      </c>
      <c r="B96" s="6" t="s">
        <v>43</v>
      </c>
      <c r="C96" s="2">
        <v>0.0</v>
      </c>
      <c r="D96" s="16">
        <f t="shared" si="3"/>
        <v>0</v>
      </c>
      <c r="E96" s="17">
        <f>D96/B1</f>
        <v>0</v>
      </c>
      <c r="F96" s="16">
        <f t="shared" si="4"/>
        <v>0</v>
      </c>
      <c r="G96" s="17">
        <f>F96/B2</f>
        <v>0</v>
      </c>
      <c r="H96" s="15">
        <f t="shared" si="5"/>
        <v>0</v>
      </c>
      <c r="I96" s="14">
        <f>H96/B3</f>
        <v>0</v>
      </c>
      <c r="J96" s="2">
        <v>0.0</v>
      </c>
      <c r="K96" s="2">
        <v>0.0</v>
      </c>
      <c r="L96" s="2">
        <v>0.0</v>
      </c>
    </row>
    <row r="97">
      <c r="A97" s="12">
        <v>45518.0</v>
      </c>
      <c r="B97" s="6" t="s">
        <v>27</v>
      </c>
      <c r="C97" s="2">
        <v>0.0</v>
      </c>
      <c r="D97" s="16">
        <f t="shared" si="3"/>
        <v>0</v>
      </c>
      <c r="E97" s="17">
        <f>D97/B1</f>
        <v>0</v>
      </c>
      <c r="F97" s="16">
        <f t="shared" si="4"/>
        <v>0</v>
      </c>
      <c r="G97" s="17">
        <f>F97/B2</f>
        <v>0</v>
      </c>
      <c r="H97" s="15">
        <f t="shared" si="5"/>
        <v>0</v>
      </c>
      <c r="I97" s="14">
        <f>H97/B3</f>
        <v>0</v>
      </c>
      <c r="J97" s="2">
        <v>0.0</v>
      </c>
      <c r="K97" s="2">
        <v>0.0</v>
      </c>
      <c r="L97" s="2">
        <v>0.0</v>
      </c>
    </row>
    <row r="98">
      <c r="A98" s="12">
        <v>45518.0</v>
      </c>
      <c r="B98" s="6" t="s">
        <v>44</v>
      </c>
      <c r="C98" s="2">
        <v>0.0</v>
      </c>
      <c r="D98" s="16">
        <f t="shared" si="3"/>
        <v>0</v>
      </c>
      <c r="E98" s="17">
        <f>D98/B1</f>
        <v>0</v>
      </c>
      <c r="F98" s="16">
        <f t="shared" si="4"/>
        <v>0</v>
      </c>
      <c r="G98" s="17">
        <f>F98/B2</f>
        <v>0</v>
      </c>
      <c r="H98" s="15">
        <f t="shared" si="5"/>
        <v>0</v>
      </c>
      <c r="I98" s="14">
        <f>H98/B3</f>
        <v>0</v>
      </c>
      <c r="J98" s="2">
        <v>0.0</v>
      </c>
      <c r="K98" s="2">
        <v>0.0</v>
      </c>
      <c r="L98" s="2">
        <v>0.0</v>
      </c>
    </row>
    <row r="99">
      <c r="A99" s="12">
        <v>45519.0</v>
      </c>
      <c r="B99" s="6" t="s">
        <v>43</v>
      </c>
      <c r="C99" s="2">
        <v>0.0</v>
      </c>
      <c r="D99" s="16">
        <f t="shared" si="3"/>
        <v>0</v>
      </c>
      <c r="E99" s="17">
        <f>D99/B1</f>
        <v>0</v>
      </c>
      <c r="F99" s="16">
        <f t="shared" si="4"/>
        <v>0</v>
      </c>
      <c r="G99" s="17">
        <f>F99/B2</f>
        <v>0</v>
      </c>
      <c r="H99" s="15">
        <f t="shared" si="5"/>
        <v>0</v>
      </c>
      <c r="I99" s="14">
        <f>H99/B3</f>
        <v>0</v>
      </c>
      <c r="J99" s="2">
        <v>0.0</v>
      </c>
      <c r="K99" s="2">
        <v>0.0</v>
      </c>
      <c r="L99" s="2">
        <v>0.0</v>
      </c>
    </row>
    <row r="100">
      <c r="A100" s="12">
        <v>45519.0</v>
      </c>
      <c r="B100" s="6" t="s">
        <v>27</v>
      </c>
      <c r="C100" s="2">
        <v>0.0</v>
      </c>
      <c r="D100" s="16">
        <f t="shared" si="3"/>
        <v>0</v>
      </c>
      <c r="E100" s="17">
        <f>D100/B1</f>
        <v>0</v>
      </c>
      <c r="F100" s="16">
        <f t="shared" si="4"/>
        <v>0</v>
      </c>
      <c r="G100" s="17">
        <f>F100/B2</f>
        <v>0</v>
      </c>
      <c r="H100" s="15">
        <f t="shared" si="5"/>
        <v>0</v>
      </c>
      <c r="I100" s="14">
        <f>H100/B3</f>
        <v>0</v>
      </c>
      <c r="J100" s="2">
        <v>0.0</v>
      </c>
      <c r="K100" s="2">
        <v>0.0</v>
      </c>
      <c r="L100" s="2">
        <v>0.0</v>
      </c>
    </row>
    <row r="101">
      <c r="A101" s="12">
        <v>45519.0</v>
      </c>
      <c r="B101" s="6" t="s">
        <v>44</v>
      </c>
      <c r="C101" s="2">
        <v>0.0</v>
      </c>
      <c r="D101" s="16">
        <f t="shared" si="3"/>
        <v>0</v>
      </c>
      <c r="E101" s="17">
        <f>D101/B1</f>
        <v>0</v>
      </c>
      <c r="F101" s="16">
        <f t="shared" si="4"/>
        <v>0</v>
      </c>
      <c r="G101" s="17">
        <f>F101/B2</f>
        <v>0</v>
      </c>
      <c r="H101" s="15">
        <f t="shared" si="5"/>
        <v>0</v>
      </c>
      <c r="I101" s="14">
        <f>H101/B3</f>
        <v>0</v>
      </c>
      <c r="J101" s="2">
        <v>0.0</v>
      </c>
      <c r="K101" s="2">
        <v>0.0</v>
      </c>
      <c r="L101" s="2">
        <v>0.0</v>
      </c>
    </row>
    <row r="102">
      <c r="A102" s="12">
        <v>45520.0</v>
      </c>
      <c r="B102" s="6" t="s">
        <v>43</v>
      </c>
      <c r="C102" s="2">
        <v>0.0</v>
      </c>
      <c r="D102" s="16">
        <f t="shared" si="3"/>
        <v>0</v>
      </c>
      <c r="E102" s="17">
        <f>D102/B1</f>
        <v>0</v>
      </c>
      <c r="F102" s="16">
        <f t="shared" si="4"/>
        <v>0</v>
      </c>
      <c r="G102" s="17">
        <f>F102/B2</f>
        <v>0</v>
      </c>
      <c r="H102" s="15">
        <f t="shared" si="5"/>
        <v>0</v>
      </c>
      <c r="I102" s="14">
        <f>H102/B3</f>
        <v>0</v>
      </c>
      <c r="J102" s="2">
        <v>0.0</v>
      </c>
      <c r="K102" s="2">
        <v>0.0</v>
      </c>
      <c r="L102" s="2">
        <v>0.0</v>
      </c>
    </row>
    <row r="103">
      <c r="A103" s="12">
        <v>45520.0</v>
      </c>
      <c r="B103" s="6" t="s">
        <v>27</v>
      </c>
      <c r="C103" s="2">
        <v>0.0</v>
      </c>
      <c r="D103" s="16">
        <f t="shared" si="3"/>
        <v>0</v>
      </c>
      <c r="E103" s="17">
        <f>D103/B1</f>
        <v>0</v>
      </c>
      <c r="F103" s="16">
        <f t="shared" si="4"/>
        <v>0</v>
      </c>
      <c r="G103" s="17">
        <f>F103/B2</f>
        <v>0</v>
      </c>
      <c r="H103" s="15">
        <f t="shared" si="5"/>
        <v>0</v>
      </c>
      <c r="I103" s="14">
        <f>H103/B3</f>
        <v>0</v>
      </c>
      <c r="J103" s="2">
        <v>0.0</v>
      </c>
      <c r="K103" s="2">
        <v>0.0</v>
      </c>
      <c r="L103" s="2">
        <v>0.0</v>
      </c>
    </row>
    <row r="104">
      <c r="A104" s="12">
        <v>45520.0</v>
      </c>
      <c r="B104" s="6" t="s">
        <v>44</v>
      </c>
      <c r="C104" s="2">
        <v>0.0</v>
      </c>
      <c r="D104" s="16">
        <f t="shared" si="3"/>
        <v>0</v>
      </c>
      <c r="E104" s="17">
        <f>D104/B1</f>
        <v>0</v>
      </c>
      <c r="F104" s="16">
        <f t="shared" si="4"/>
        <v>0</v>
      </c>
      <c r="G104" s="17">
        <f>F104/B2</f>
        <v>0</v>
      </c>
      <c r="H104" s="15">
        <f t="shared" si="5"/>
        <v>0</v>
      </c>
      <c r="I104" s="14">
        <f>H104/B3</f>
        <v>0</v>
      </c>
      <c r="J104" s="2">
        <v>0.0</v>
      </c>
      <c r="K104" s="2">
        <v>0.0</v>
      </c>
      <c r="L104" s="2">
        <v>0.0</v>
      </c>
    </row>
    <row r="105">
      <c r="A105" s="12">
        <v>45521.0</v>
      </c>
      <c r="B105" s="6" t="s">
        <v>43</v>
      </c>
      <c r="C105" s="2">
        <v>0.0</v>
      </c>
      <c r="D105" s="16">
        <f t="shared" si="3"/>
        <v>0</v>
      </c>
      <c r="E105" s="17">
        <f>D105/B1</f>
        <v>0</v>
      </c>
      <c r="F105" s="16">
        <f t="shared" si="4"/>
        <v>0</v>
      </c>
      <c r="G105" s="17">
        <f>F105/B2</f>
        <v>0</v>
      </c>
      <c r="H105" s="15">
        <f t="shared" si="5"/>
        <v>0</v>
      </c>
      <c r="I105" s="14">
        <f>H105/B3</f>
        <v>0</v>
      </c>
      <c r="J105" s="2">
        <v>0.0</v>
      </c>
      <c r="K105" s="2">
        <v>0.0</v>
      </c>
      <c r="L105" s="2">
        <v>0.0</v>
      </c>
    </row>
    <row r="106">
      <c r="A106" s="12">
        <v>45521.0</v>
      </c>
      <c r="B106" s="6" t="s">
        <v>27</v>
      </c>
      <c r="C106" s="2">
        <v>0.0</v>
      </c>
      <c r="D106" s="16">
        <f t="shared" si="3"/>
        <v>0</v>
      </c>
      <c r="E106" s="17">
        <f>D106/B1</f>
        <v>0</v>
      </c>
      <c r="F106" s="16">
        <f t="shared" si="4"/>
        <v>0</v>
      </c>
      <c r="G106" s="17">
        <f>F106/B2</f>
        <v>0</v>
      </c>
      <c r="H106" s="15">
        <f t="shared" si="5"/>
        <v>0</v>
      </c>
      <c r="I106" s="14">
        <f>H106/B3</f>
        <v>0</v>
      </c>
      <c r="J106" s="2">
        <v>0.0</v>
      </c>
      <c r="K106" s="2">
        <v>0.0</v>
      </c>
      <c r="L106" s="2">
        <v>0.0</v>
      </c>
    </row>
    <row r="107">
      <c r="A107" s="12">
        <v>45521.0</v>
      </c>
      <c r="B107" s="6" t="s">
        <v>44</v>
      </c>
      <c r="C107" s="2">
        <v>0.0</v>
      </c>
      <c r="D107" s="16">
        <f t="shared" si="3"/>
        <v>0</v>
      </c>
      <c r="E107" s="17">
        <f>D107/B1</f>
        <v>0</v>
      </c>
      <c r="F107" s="16">
        <f t="shared" si="4"/>
        <v>0</v>
      </c>
      <c r="G107" s="17">
        <f>F107/B2</f>
        <v>0</v>
      </c>
      <c r="H107" s="15">
        <f t="shared" si="5"/>
        <v>0</v>
      </c>
      <c r="I107" s="14">
        <f>H107/B3</f>
        <v>0</v>
      </c>
      <c r="J107" s="2">
        <v>0.0</v>
      </c>
      <c r="K107" s="2">
        <v>0.0</v>
      </c>
      <c r="L107" s="2">
        <v>0.0</v>
      </c>
    </row>
    <row r="108">
      <c r="A108" s="12">
        <v>45522.0</v>
      </c>
      <c r="B108" s="6" t="s">
        <v>43</v>
      </c>
      <c r="C108" s="2">
        <v>0.0</v>
      </c>
      <c r="D108" s="16">
        <f t="shared" si="3"/>
        <v>0</v>
      </c>
      <c r="E108" s="17">
        <f>D108/B1</f>
        <v>0</v>
      </c>
      <c r="F108" s="16">
        <f t="shared" si="4"/>
        <v>0</v>
      </c>
      <c r="G108" s="17">
        <f>F108/B2</f>
        <v>0</v>
      </c>
      <c r="H108" s="15">
        <f t="shared" si="5"/>
        <v>0</v>
      </c>
      <c r="I108" s="14">
        <f>H108/B3</f>
        <v>0</v>
      </c>
      <c r="J108" s="2">
        <v>0.0</v>
      </c>
      <c r="K108" s="2">
        <v>0.0</v>
      </c>
      <c r="L108" s="2">
        <v>0.0</v>
      </c>
    </row>
    <row r="109">
      <c r="A109" s="12">
        <v>45522.0</v>
      </c>
      <c r="B109" s="6" t="s">
        <v>27</v>
      </c>
      <c r="C109" s="2">
        <v>0.0</v>
      </c>
      <c r="D109" s="16">
        <f t="shared" si="3"/>
        <v>0</v>
      </c>
      <c r="E109" s="17">
        <f>D109/B1</f>
        <v>0</v>
      </c>
      <c r="F109" s="16">
        <f t="shared" si="4"/>
        <v>0</v>
      </c>
      <c r="G109" s="17">
        <f>F109/B2</f>
        <v>0</v>
      </c>
      <c r="H109" s="15">
        <f t="shared" si="5"/>
        <v>0</v>
      </c>
      <c r="I109" s="14">
        <f>H109/B3</f>
        <v>0</v>
      </c>
      <c r="J109" s="2">
        <v>0.0</v>
      </c>
      <c r="K109" s="2">
        <v>0.0</v>
      </c>
      <c r="L109" s="2">
        <v>0.0</v>
      </c>
    </row>
    <row r="110">
      <c r="A110" s="12">
        <v>45522.0</v>
      </c>
      <c r="B110" s="6" t="s">
        <v>44</v>
      </c>
      <c r="C110" s="2">
        <v>0.0</v>
      </c>
      <c r="D110" s="16">
        <f t="shared" si="3"/>
        <v>0</v>
      </c>
      <c r="E110" s="17">
        <f>D110/B1</f>
        <v>0</v>
      </c>
      <c r="F110" s="16">
        <f t="shared" si="4"/>
        <v>0</v>
      </c>
      <c r="G110" s="17">
        <f>F110/B2</f>
        <v>0</v>
      </c>
      <c r="H110" s="15">
        <f t="shared" si="5"/>
        <v>0</v>
      </c>
      <c r="I110" s="14">
        <f>H110/B3</f>
        <v>0</v>
      </c>
      <c r="J110" s="2">
        <v>0.0</v>
      </c>
      <c r="K110" s="2">
        <v>0.0</v>
      </c>
      <c r="L110" s="2">
        <v>0.0</v>
      </c>
    </row>
    <row r="111">
      <c r="A111" s="12">
        <v>45523.0</v>
      </c>
      <c r="B111" s="6" t="s">
        <v>43</v>
      </c>
      <c r="C111" s="2">
        <v>0.0</v>
      </c>
      <c r="D111" s="16">
        <f t="shared" si="3"/>
        <v>0</v>
      </c>
      <c r="E111" s="17">
        <f>D111/B1</f>
        <v>0</v>
      </c>
      <c r="F111" s="16">
        <f t="shared" si="4"/>
        <v>0</v>
      </c>
      <c r="G111" s="17">
        <f>F111/B2</f>
        <v>0</v>
      </c>
      <c r="H111" s="15">
        <f t="shared" si="5"/>
        <v>0</v>
      </c>
      <c r="I111" s="14">
        <f>H111/B3</f>
        <v>0</v>
      </c>
      <c r="J111" s="2">
        <v>0.0</v>
      </c>
      <c r="K111" s="2">
        <v>0.0</v>
      </c>
      <c r="L111" s="2">
        <v>0.0</v>
      </c>
    </row>
    <row r="112">
      <c r="A112" s="12">
        <v>45523.0</v>
      </c>
      <c r="B112" s="6" t="s">
        <v>27</v>
      </c>
      <c r="C112" s="2">
        <v>0.0</v>
      </c>
      <c r="D112" s="16">
        <f t="shared" si="3"/>
        <v>0</v>
      </c>
      <c r="E112" s="17">
        <f>D112/B1</f>
        <v>0</v>
      </c>
      <c r="F112" s="16">
        <f t="shared" si="4"/>
        <v>0</v>
      </c>
      <c r="G112" s="17">
        <f>F112/B2</f>
        <v>0</v>
      </c>
      <c r="H112" s="15">
        <f t="shared" si="5"/>
        <v>0</v>
      </c>
      <c r="I112" s="14">
        <f>H112/B3</f>
        <v>0</v>
      </c>
      <c r="J112" s="2">
        <v>0.0</v>
      </c>
      <c r="K112" s="2">
        <v>0.0</v>
      </c>
      <c r="L112" s="2">
        <v>0.0</v>
      </c>
    </row>
    <row r="113">
      <c r="A113" s="12">
        <v>45523.0</v>
      </c>
      <c r="B113" s="6" t="s">
        <v>44</v>
      </c>
      <c r="C113" s="2">
        <v>0.0</v>
      </c>
      <c r="D113" s="16">
        <f t="shared" si="3"/>
        <v>0</v>
      </c>
      <c r="E113" s="17">
        <f>D113/B1</f>
        <v>0</v>
      </c>
      <c r="F113" s="16">
        <f t="shared" si="4"/>
        <v>0</v>
      </c>
      <c r="G113" s="17">
        <f>F113/B2</f>
        <v>0</v>
      </c>
      <c r="H113" s="15">
        <f t="shared" si="5"/>
        <v>0</v>
      </c>
      <c r="I113" s="14">
        <f>H113/B3</f>
        <v>0</v>
      </c>
      <c r="J113" s="2">
        <v>0.0</v>
      </c>
      <c r="K113" s="2">
        <v>0.0</v>
      </c>
      <c r="L113" s="2">
        <v>0.0</v>
      </c>
    </row>
    <row r="114">
      <c r="A114" s="12">
        <v>45524.0</v>
      </c>
      <c r="B114" s="6" t="s">
        <v>43</v>
      </c>
      <c r="C114" s="2">
        <v>0.0</v>
      </c>
      <c r="D114" s="16">
        <f t="shared" si="3"/>
        <v>0</v>
      </c>
      <c r="E114" s="17">
        <f>D114/B1</f>
        <v>0</v>
      </c>
      <c r="F114" s="16">
        <f t="shared" si="4"/>
        <v>0</v>
      </c>
      <c r="G114" s="17">
        <f>F114/B2</f>
        <v>0</v>
      </c>
      <c r="H114" s="15">
        <f t="shared" si="5"/>
        <v>0</v>
      </c>
      <c r="I114" s="14">
        <f>H114/B3</f>
        <v>0</v>
      </c>
      <c r="J114" s="2">
        <v>0.0</v>
      </c>
      <c r="K114" s="2">
        <v>0.0</v>
      </c>
      <c r="L114" s="2">
        <v>0.0</v>
      </c>
    </row>
    <row r="115">
      <c r="A115" s="12">
        <v>45524.0</v>
      </c>
      <c r="B115" s="6" t="s">
        <v>27</v>
      </c>
      <c r="C115" s="2">
        <v>0.0</v>
      </c>
      <c r="D115" s="16">
        <f t="shared" si="3"/>
        <v>0</v>
      </c>
      <c r="E115" s="17">
        <f>D115/B1</f>
        <v>0</v>
      </c>
      <c r="F115" s="16">
        <f t="shared" si="4"/>
        <v>0</v>
      </c>
      <c r="G115" s="17">
        <f>F115/B2</f>
        <v>0</v>
      </c>
      <c r="H115" s="15">
        <f t="shared" si="5"/>
        <v>0</v>
      </c>
      <c r="I115" s="14">
        <f>H115/B3</f>
        <v>0</v>
      </c>
      <c r="J115" s="2">
        <v>0.0</v>
      </c>
      <c r="K115" s="2">
        <v>0.0</v>
      </c>
      <c r="L115" s="2">
        <v>0.0</v>
      </c>
    </row>
    <row r="116">
      <c r="A116" s="12">
        <v>45524.0</v>
      </c>
      <c r="B116" s="6" t="s">
        <v>44</v>
      </c>
      <c r="C116" s="2">
        <v>0.0</v>
      </c>
      <c r="D116" s="16">
        <f t="shared" si="3"/>
        <v>0</v>
      </c>
      <c r="E116" s="17">
        <f>D116/B1</f>
        <v>0</v>
      </c>
      <c r="F116" s="16">
        <f t="shared" si="4"/>
        <v>0</v>
      </c>
      <c r="G116" s="17">
        <f>F116/B2</f>
        <v>0</v>
      </c>
      <c r="H116" s="15">
        <f t="shared" si="5"/>
        <v>0</v>
      </c>
      <c r="I116" s="14">
        <f>H116/B3</f>
        <v>0</v>
      </c>
      <c r="J116" s="2">
        <v>0.0</v>
      </c>
      <c r="K116" s="2">
        <v>0.0</v>
      </c>
      <c r="L116" s="2">
        <v>0.0</v>
      </c>
    </row>
  </sheetData>
  <dataValidations>
    <dataValidation type="list" allowBlank="1" showErrorMessage="1" sqref="B6:B116">
      <formula1>"MAC1,Ghost Train Haze,Super Citra G"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42.75"/>
    <col customWidth="1" min="2" max="2" width="22.63"/>
    <col customWidth="1" min="3" max="3" width="10.25"/>
    <col customWidth="1" min="4" max="4" width="17.0"/>
    <col customWidth="1" min="5" max="5" width="15.0"/>
    <col customWidth="1" min="6" max="6" width="17.0"/>
    <col customWidth="1" min="7" max="7" width="16.13"/>
    <col customWidth="1" min="8" max="9" width="16.38"/>
    <col customWidth="1" min="10" max="10" width="12.63"/>
    <col customWidth="1" min="11" max="11" width="14.88"/>
    <col customWidth="1" min="12" max="12" width="13.0"/>
  </cols>
  <sheetData>
    <row r="1">
      <c r="A1" s="1" t="s">
        <v>37</v>
      </c>
      <c r="B1" s="2">
        <v>15.0</v>
      </c>
      <c r="C1" s="4">
        <f>D116</f>
        <v>0</v>
      </c>
      <c r="D1" s="5">
        <f t="shared" ref="D1:D4" si="1">C1/B1</f>
        <v>0</v>
      </c>
      <c r="G1" s="1" t="s">
        <v>1</v>
      </c>
      <c r="H1" s="3">
        <f>IFERROR(__xludf.DUMMYFUNCTION("COUNTUNIQUE(A6:A56)"),17.0)</f>
        <v>17</v>
      </c>
      <c r="I1" s="3"/>
      <c r="J1" s="6"/>
      <c r="K1" s="3"/>
      <c r="L1" s="3"/>
      <c r="M1" s="7"/>
      <c r="N1" s="7"/>
    </row>
    <row r="2">
      <c r="A2" s="1" t="s">
        <v>21</v>
      </c>
      <c r="B2" s="2">
        <v>15.0</v>
      </c>
      <c r="C2" s="4">
        <f>F116</f>
        <v>0</v>
      </c>
      <c r="D2" s="5">
        <f t="shared" si="1"/>
        <v>0</v>
      </c>
      <c r="G2" s="1" t="s">
        <v>5</v>
      </c>
      <c r="H2" s="3">
        <f>(B1+B2+B3)/F4</f>
        <v>17</v>
      </c>
      <c r="I2" s="3"/>
      <c r="J2" s="3"/>
      <c r="K2" s="3"/>
      <c r="L2" s="3"/>
      <c r="M2" s="7"/>
      <c r="N2" s="7"/>
    </row>
    <row r="3">
      <c r="A3" s="1" t="s">
        <v>45</v>
      </c>
      <c r="B3" s="2">
        <v>15.0</v>
      </c>
      <c r="C3" s="4">
        <f>H116</f>
        <v>0</v>
      </c>
      <c r="D3" s="8">
        <f t="shared" si="1"/>
        <v>0</v>
      </c>
      <c r="E3" s="3"/>
      <c r="F3" s="6"/>
      <c r="G3" s="3"/>
      <c r="H3" s="3"/>
      <c r="I3" s="3"/>
      <c r="J3" s="3"/>
      <c r="K3" s="3"/>
      <c r="L3" s="3"/>
      <c r="M3" s="7"/>
      <c r="N3" s="7"/>
    </row>
    <row r="4">
      <c r="A4" s="3"/>
      <c r="B4" s="9">
        <f t="shared" ref="B4:C4" si="2">SUM(B1:B3)</f>
        <v>45</v>
      </c>
      <c r="C4" s="9">
        <f t="shared" si="2"/>
        <v>0</v>
      </c>
      <c r="D4" s="5">
        <f t="shared" si="1"/>
        <v>0</v>
      </c>
      <c r="E4" s="1" t="s">
        <v>7</v>
      </c>
      <c r="F4" s="3">
        <f>SUM(C6:C56)/H1</f>
        <v>2.647058824</v>
      </c>
      <c r="G4" s="3"/>
      <c r="H4" s="3"/>
      <c r="I4" s="3"/>
      <c r="J4" s="3"/>
      <c r="K4" s="3"/>
      <c r="L4" s="3"/>
      <c r="M4" s="7"/>
      <c r="N4" s="7"/>
    </row>
    <row r="5">
      <c r="A5" s="10" t="s">
        <v>8</v>
      </c>
      <c r="B5" s="10" t="s">
        <v>9</v>
      </c>
      <c r="C5" s="10" t="s">
        <v>10</v>
      </c>
      <c r="D5" s="10" t="s">
        <v>39</v>
      </c>
      <c r="E5" s="10" t="s">
        <v>39</v>
      </c>
      <c r="F5" s="10" t="s">
        <v>23</v>
      </c>
      <c r="G5" s="10" t="s">
        <v>23</v>
      </c>
      <c r="H5" s="10" t="s">
        <v>46</v>
      </c>
      <c r="I5" s="10" t="s">
        <v>46</v>
      </c>
      <c r="J5" s="10" t="s">
        <v>41</v>
      </c>
      <c r="K5" s="10" t="s">
        <v>25</v>
      </c>
      <c r="L5" s="10" t="s">
        <v>47</v>
      </c>
      <c r="M5" s="7"/>
      <c r="N5" s="7"/>
    </row>
    <row r="6">
      <c r="A6" s="12">
        <v>45513.0</v>
      </c>
      <c r="B6" s="6" t="s">
        <v>43</v>
      </c>
      <c r="C6" s="2">
        <v>0.6</v>
      </c>
      <c r="D6" s="4">
        <f>IF(B6="MAC1",B1-C6,B1)</f>
        <v>14.4</v>
      </c>
      <c r="E6" s="13">
        <f>D6/B1</f>
        <v>0.96</v>
      </c>
      <c r="F6" s="2">
        <f>IF(B6="Ghost Train Haze",B2-C6,B2)</f>
        <v>15</v>
      </c>
      <c r="G6" s="14">
        <f>F6/B2</f>
        <v>1</v>
      </c>
      <c r="H6" s="15">
        <f>IF(B6="Super Citra G",B3-C6,B3)</f>
        <v>15</v>
      </c>
      <c r="I6" s="14">
        <f>H6/B3</f>
        <v>1</v>
      </c>
      <c r="J6" s="2">
        <v>0.0</v>
      </c>
      <c r="K6" s="2">
        <v>0.0</v>
      </c>
      <c r="L6" s="2">
        <v>0.0</v>
      </c>
      <c r="M6" s="7"/>
      <c r="N6" s="7"/>
    </row>
    <row r="7">
      <c r="A7" s="12">
        <v>45513.0</v>
      </c>
      <c r="B7" s="6" t="s">
        <v>27</v>
      </c>
      <c r="C7" s="2">
        <v>0.61</v>
      </c>
      <c r="D7" s="16">
        <f t="shared" ref="D7:D116" si="3">IF(B7="MAC1",D6-C7,D6)</f>
        <v>14.4</v>
      </c>
      <c r="E7" s="17">
        <f>D7/B1</f>
        <v>0.96</v>
      </c>
      <c r="F7" s="16">
        <f t="shared" ref="F7:F116" si="4">IF(B7="Ghost Train Haze",F6-C7,F6)</f>
        <v>14.39</v>
      </c>
      <c r="G7" s="17">
        <f>F7/B2</f>
        <v>0.9593333333</v>
      </c>
      <c r="H7" s="15">
        <f t="shared" ref="H7:H116" si="5">IF(B7="Super Citra G",H6-C7,H6)</f>
        <v>15</v>
      </c>
      <c r="I7" s="14">
        <f>H7/B3</f>
        <v>1</v>
      </c>
      <c r="J7" s="2">
        <v>0.0</v>
      </c>
      <c r="K7" s="2">
        <v>0.0</v>
      </c>
      <c r="L7" s="2">
        <v>0.0</v>
      </c>
      <c r="M7" s="7"/>
      <c r="N7" s="7"/>
    </row>
    <row r="8">
      <c r="A8" s="12">
        <v>45513.0</v>
      </c>
      <c r="B8" s="6" t="s">
        <v>44</v>
      </c>
      <c r="C8" s="2">
        <v>0.67</v>
      </c>
      <c r="D8" s="16">
        <f t="shared" si="3"/>
        <v>14.4</v>
      </c>
      <c r="E8" s="17">
        <f>D8/B1</f>
        <v>0.96</v>
      </c>
      <c r="F8" s="16">
        <f t="shared" si="4"/>
        <v>14.39</v>
      </c>
      <c r="G8" s="17">
        <f>F8/B2</f>
        <v>0.9593333333</v>
      </c>
      <c r="H8" s="15">
        <f t="shared" si="5"/>
        <v>14.33</v>
      </c>
      <c r="I8" s="14">
        <f>H8/B3</f>
        <v>0.9553333333</v>
      </c>
      <c r="J8" s="2">
        <v>0.0</v>
      </c>
      <c r="K8" s="2">
        <v>0.0</v>
      </c>
      <c r="L8" s="2">
        <v>0.0</v>
      </c>
      <c r="M8" s="7"/>
      <c r="N8" s="7"/>
    </row>
    <row r="9">
      <c r="A9" s="12">
        <v>45514.0</v>
      </c>
      <c r="B9" s="6" t="s">
        <v>43</v>
      </c>
      <c r="C9" s="2">
        <v>0.69</v>
      </c>
      <c r="D9" s="16">
        <f t="shared" si="3"/>
        <v>13.71</v>
      </c>
      <c r="E9" s="17">
        <f>D9/B1</f>
        <v>0.914</v>
      </c>
      <c r="F9" s="16">
        <f t="shared" si="4"/>
        <v>14.39</v>
      </c>
      <c r="G9" s="17">
        <f>F9/B2</f>
        <v>0.9593333333</v>
      </c>
      <c r="H9" s="15">
        <f t="shared" si="5"/>
        <v>14.33</v>
      </c>
      <c r="I9" s="14">
        <f>H9/B3</f>
        <v>0.9553333333</v>
      </c>
      <c r="J9" s="2">
        <v>0.0</v>
      </c>
      <c r="K9" s="2">
        <v>0.0</v>
      </c>
      <c r="L9" s="2">
        <v>0.0</v>
      </c>
      <c r="M9" s="7"/>
      <c r="N9" s="7"/>
    </row>
    <row r="10">
      <c r="A10" s="12">
        <v>45514.0</v>
      </c>
      <c r="B10" s="6" t="s">
        <v>27</v>
      </c>
      <c r="C10" s="2">
        <v>0.75</v>
      </c>
      <c r="D10" s="16">
        <f t="shared" si="3"/>
        <v>13.71</v>
      </c>
      <c r="E10" s="17">
        <f>D10/B1</f>
        <v>0.914</v>
      </c>
      <c r="F10" s="16">
        <f t="shared" si="4"/>
        <v>13.64</v>
      </c>
      <c r="G10" s="17">
        <f>F10/B2</f>
        <v>0.9093333333</v>
      </c>
      <c r="H10" s="15">
        <f t="shared" si="5"/>
        <v>14.33</v>
      </c>
      <c r="I10" s="14">
        <f>H10/B3</f>
        <v>0.9553333333</v>
      </c>
      <c r="J10" s="2">
        <v>0.0</v>
      </c>
      <c r="K10" s="2">
        <v>0.0</v>
      </c>
      <c r="L10" s="2">
        <v>0.0</v>
      </c>
      <c r="M10" s="7"/>
      <c r="N10" s="7"/>
    </row>
    <row r="11">
      <c r="A11" s="12">
        <v>45514.0</v>
      </c>
      <c r="B11" s="6" t="s">
        <v>44</v>
      </c>
      <c r="C11" s="2">
        <v>0.83</v>
      </c>
      <c r="D11" s="16">
        <f t="shared" si="3"/>
        <v>13.71</v>
      </c>
      <c r="E11" s="17">
        <f>D11/B1</f>
        <v>0.914</v>
      </c>
      <c r="F11" s="16">
        <f t="shared" si="4"/>
        <v>13.64</v>
      </c>
      <c r="G11" s="17">
        <f>F11/B2</f>
        <v>0.9093333333</v>
      </c>
      <c r="H11" s="15">
        <f t="shared" si="5"/>
        <v>13.5</v>
      </c>
      <c r="I11" s="14">
        <f>H11/B3</f>
        <v>0.9</v>
      </c>
      <c r="J11" s="2">
        <v>0.0</v>
      </c>
      <c r="K11" s="2">
        <v>0.0</v>
      </c>
      <c r="L11" s="2">
        <v>0.0</v>
      </c>
      <c r="M11" s="7"/>
      <c r="N11" s="7"/>
    </row>
    <row r="12">
      <c r="A12" s="12">
        <v>45515.0</v>
      </c>
      <c r="B12" s="6" t="s">
        <v>43</v>
      </c>
      <c r="C12" s="2">
        <v>0.9</v>
      </c>
      <c r="D12" s="16">
        <f t="shared" si="3"/>
        <v>12.81</v>
      </c>
      <c r="E12" s="17">
        <f>D12/B1</f>
        <v>0.854</v>
      </c>
      <c r="F12" s="16">
        <f t="shared" si="4"/>
        <v>13.64</v>
      </c>
      <c r="G12" s="17">
        <f>F12/B2</f>
        <v>0.9093333333</v>
      </c>
      <c r="H12" s="15">
        <f t="shared" si="5"/>
        <v>13.5</v>
      </c>
      <c r="I12" s="14">
        <f>H12/B3</f>
        <v>0.9</v>
      </c>
      <c r="J12" s="2">
        <v>0.0</v>
      </c>
      <c r="K12" s="2">
        <v>0.0</v>
      </c>
      <c r="L12" s="2">
        <v>0.0</v>
      </c>
      <c r="M12" s="7"/>
      <c r="N12" s="7"/>
    </row>
    <row r="13">
      <c r="A13" s="12">
        <v>45515.0</v>
      </c>
      <c r="B13" s="6" t="s">
        <v>27</v>
      </c>
      <c r="C13" s="2">
        <v>0.92</v>
      </c>
      <c r="D13" s="16">
        <f t="shared" si="3"/>
        <v>12.81</v>
      </c>
      <c r="E13" s="17">
        <f>D13/B1</f>
        <v>0.854</v>
      </c>
      <c r="F13" s="16">
        <f t="shared" si="4"/>
        <v>12.72</v>
      </c>
      <c r="G13" s="17">
        <f>F13/B2</f>
        <v>0.848</v>
      </c>
      <c r="H13" s="15">
        <f t="shared" si="5"/>
        <v>13.5</v>
      </c>
      <c r="I13" s="14">
        <f>H13/B3</f>
        <v>0.9</v>
      </c>
      <c r="J13" s="2">
        <v>0.0</v>
      </c>
      <c r="K13" s="2">
        <v>0.0</v>
      </c>
      <c r="L13" s="2">
        <v>0.0</v>
      </c>
      <c r="M13" s="7"/>
      <c r="N13" s="7"/>
    </row>
    <row r="14">
      <c r="A14" s="12">
        <v>45515.0</v>
      </c>
      <c r="B14" s="6" t="s">
        <v>44</v>
      </c>
      <c r="C14" s="2">
        <v>0.99</v>
      </c>
      <c r="D14" s="16">
        <f t="shared" si="3"/>
        <v>12.81</v>
      </c>
      <c r="E14" s="17">
        <f>D14/B1</f>
        <v>0.854</v>
      </c>
      <c r="F14" s="16">
        <f t="shared" si="4"/>
        <v>12.72</v>
      </c>
      <c r="G14" s="17">
        <f>F14/B2</f>
        <v>0.848</v>
      </c>
      <c r="H14" s="15">
        <f t="shared" si="5"/>
        <v>12.51</v>
      </c>
      <c r="I14" s="14">
        <f>H14/B3</f>
        <v>0.834</v>
      </c>
      <c r="J14" s="2">
        <v>0.0</v>
      </c>
      <c r="K14" s="2">
        <v>0.0</v>
      </c>
      <c r="L14" s="2">
        <v>0.0</v>
      </c>
      <c r="M14" s="7"/>
      <c r="N14" s="7"/>
    </row>
    <row r="15">
      <c r="A15" s="12">
        <v>45516.0</v>
      </c>
      <c r="B15" s="6" t="s">
        <v>43</v>
      </c>
      <c r="C15" s="2">
        <v>0.81</v>
      </c>
      <c r="D15" s="16">
        <f t="shared" si="3"/>
        <v>12</v>
      </c>
      <c r="E15" s="17">
        <f>D15/B1</f>
        <v>0.8</v>
      </c>
      <c r="F15" s="16">
        <f t="shared" si="4"/>
        <v>12.72</v>
      </c>
      <c r="G15" s="17">
        <f>F15/B2</f>
        <v>0.848</v>
      </c>
      <c r="H15" s="15">
        <f t="shared" si="5"/>
        <v>12.51</v>
      </c>
      <c r="I15" s="14">
        <f>H15/B3</f>
        <v>0.834</v>
      </c>
      <c r="J15" s="2">
        <v>0.0</v>
      </c>
      <c r="K15" s="2">
        <v>0.0</v>
      </c>
      <c r="L15" s="2">
        <v>0.0</v>
      </c>
      <c r="M15" s="7"/>
      <c r="N15" s="7"/>
    </row>
    <row r="16">
      <c r="A16" s="12">
        <v>45516.0</v>
      </c>
      <c r="B16" s="6" t="s">
        <v>27</v>
      </c>
      <c r="C16" s="2">
        <v>0.87</v>
      </c>
      <c r="D16" s="16">
        <f t="shared" si="3"/>
        <v>12</v>
      </c>
      <c r="E16" s="17">
        <f>D16/B1</f>
        <v>0.8</v>
      </c>
      <c r="F16" s="16">
        <f t="shared" si="4"/>
        <v>11.85</v>
      </c>
      <c r="G16" s="17">
        <f>F16/B2</f>
        <v>0.79</v>
      </c>
      <c r="H16" s="15">
        <f t="shared" si="5"/>
        <v>12.51</v>
      </c>
      <c r="I16" s="14">
        <f>H16/B3</f>
        <v>0.834</v>
      </c>
      <c r="J16" s="2">
        <v>0.0</v>
      </c>
      <c r="K16" s="2">
        <v>0.0</v>
      </c>
      <c r="L16" s="2">
        <v>0.0</v>
      </c>
      <c r="M16" s="7"/>
      <c r="N16" s="7"/>
    </row>
    <row r="17">
      <c r="A17" s="12">
        <v>45516.0</v>
      </c>
      <c r="B17" s="6" t="s">
        <v>44</v>
      </c>
      <c r="C17" s="2">
        <v>0.87</v>
      </c>
      <c r="D17" s="16">
        <f t="shared" si="3"/>
        <v>12</v>
      </c>
      <c r="E17" s="17">
        <f>D17/B1</f>
        <v>0.8</v>
      </c>
      <c r="F17" s="16">
        <f t="shared" si="4"/>
        <v>11.85</v>
      </c>
      <c r="G17" s="17">
        <f>F17/B2</f>
        <v>0.79</v>
      </c>
      <c r="H17" s="15">
        <f t="shared" si="5"/>
        <v>11.64</v>
      </c>
      <c r="I17" s="14">
        <f>H17/B3</f>
        <v>0.776</v>
      </c>
      <c r="J17" s="2">
        <v>0.0</v>
      </c>
      <c r="K17" s="2">
        <v>0.0</v>
      </c>
      <c r="L17" s="2">
        <v>0.0</v>
      </c>
      <c r="M17" s="7"/>
      <c r="N17" s="7"/>
    </row>
    <row r="18">
      <c r="A18" s="12">
        <v>45517.0</v>
      </c>
      <c r="B18" s="6" t="s">
        <v>43</v>
      </c>
      <c r="C18" s="2">
        <v>1.55</v>
      </c>
      <c r="D18" s="16">
        <f t="shared" si="3"/>
        <v>10.45</v>
      </c>
      <c r="E18" s="17">
        <f>D18/B1</f>
        <v>0.6966666667</v>
      </c>
      <c r="F18" s="16">
        <f t="shared" si="4"/>
        <v>11.85</v>
      </c>
      <c r="G18" s="17">
        <f>F18/B2</f>
        <v>0.79</v>
      </c>
      <c r="H18" s="15">
        <f t="shared" si="5"/>
        <v>11.64</v>
      </c>
      <c r="I18" s="14">
        <f>H18/B3</f>
        <v>0.776</v>
      </c>
      <c r="J18" s="2">
        <v>0.0</v>
      </c>
      <c r="K18" s="2">
        <v>0.0</v>
      </c>
      <c r="L18" s="2">
        <v>0.0</v>
      </c>
      <c r="M18" s="7"/>
      <c r="N18" s="7"/>
    </row>
    <row r="19">
      <c r="A19" s="12">
        <v>45517.0</v>
      </c>
      <c r="B19" s="6" t="s">
        <v>27</v>
      </c>
      <c r="C19" s="2">
        <v>1.54</v>
      </c>
      <c r="D19" s="16">
        <f t="shared" si="3"/>
        <v>10.45</v>
      </c>
      <c r="E19" s="17">
        <f>D19/B1</f>
        <v>0.6966666667</v>
      </c>
      <c r="F19" s="16">
        <f t="shared" si="4"/>
        <v>10.31</v>
      </c>
      <c r="G19" s="17">
        <f>F19/B2</f>
        <v>0.6873333333</v>
      </c>
      <c r="H19" s="15">
        <f t="shared" si="5"/>
        <v>11.64</v>
      </c>
      <c r="I19" s="14">
        <f>H19/B3</f>
        <v>0.776</v>
      </c>
      <c r="J19" s="2">
        <v>0.0</v>
      </c>
      <c r="K19" s="2">
        <v>0.0</v>
      </c>
      <c r="L19" s="2">
        <v>0.0</v>
      </c>
      <c r="M19" s="7"/>
      <c r="N19" s="7"/>
    </row>
    <row r="20">
      <c r="A20" s="12">
        <v>45517.0</v>
      </c>
      <c r="B20" s="6" t="s">
        <v>44</v>
      </c>
      <c r="C20" s="2">
        <v>1.56</v>
      </c>
      <c r="D20" s="16">
        <f t="shared" si="3"/>
        <v>10.45</v>
      </c>
      <c r="E20" s="17">
        <f>D20/B1</f>
        <v>0.6966666667</v>
      </c>
      <c r="F20" s="16">
        <f t="shared" si="4"/>
        <v>10.31</v>
      </c>
      <c r="G20" s="17">
        <f>F20/B2</f>
        <v>0.6873333333</v>
      </c>
      <c r="H20" s="15">
        <f t="shared" si="5"/>
        <v>10.08</v>
      </c>
      <c r="I20" s="14">
        <f>H20/B3</f>
        <v>0.672</v>
      </c>
      <c r="J20" s="2">
        <v>0.0</v>
      </c>
      <c r="K20" s="2">
        <v>0.0</v>
      </c>
      <c r="L20" s="2">
        <v>0.0</v>
      </c>
      <c r="M20" s="7"/>
      <c r="N20" s="7"/>
    </row>
    <row r="21">
      <c r="A21" s="12">
        <v>45518.0</v>
      </c>
      <c r="B21" s="6" t="s">
        <v>43</v>
      </c>
      <c r="C21" s="2">
        <v>0.93</v>
      </c>
      <c r="D21" s="16">
        <f t="shared" si="3"/>
        <v>9.52</v>
      </c>
      <c r="E21" s="17">
        <f>D21/B1</f>
        <v>0.6346666667</v>
      </c>
      <c r="F21" s="16">
        <f t="shared" si="4"/>
        <v>10.31</v>
      </c>
      <c r="G21" s="17">
        <f>F21/B2</f>
        <v>0.6873333333</v>
      </c>
      <c r="H21" s="15">
        <f t="shared" si="5"/>
        <v>10.08</v>
      </c>
      <c r="I21" s="14">
        <f>H21/B3</f>
        <v>0.672</v>
      </c>
      <c r="J21" s="2">
        <v>0.0</v>
      </c>
      <c r="K21" s="2">
        <v>0.0</v>
      </c>
      <c r="L21" s="2">
        <v>0.0</v>
      </c>
      <c r="M21" s="7"/>
      <c r="N21" s="7"/>
    </row>
    <row r="22">
      <c r="A22" s="12">
        <v>45518.0</v>
      </c>
      <c r="B22" s="6" t="s">
        <v>27</v>
      </c>
      <c r="C22" s="2">
        <v>0.96</v>
      </c>
      <c r="D22" s="16">
        <f t="shared" si="3"/>
        <v>9.52</v>
      </c>
      <c r="E22" s="17">
        <f>D22/B1</f>
        <v>0.6346666667</v>
      </c>
      <c r="F22" s="16">
        <f t="shared" si="4"/>
        <v>9.35</v>
      </c>
      <c r="G22" s="17">
        <f>F22/B2</f>
        <v>0.6233333333</v>
      </c>
      <c r="H22" s="15">
        <f t="shared" si="5"/>
        <v>10.08</v>
      </c>
      <c r="I22" s="14">
        <f>H22/B3</f>
        <v>0.672</v>
      </c>
      <c r="J22" s="2">
        <v>0.0</v>
      </c>
      <c r="K22" s="2">
        <v>0.0</v>
      </c>
      <c r="L22" s="2">
        <v>0.0</v>
      </c>
      <c r="M22" s="7"/>
      <c r="N22" s="7"/>
    </row>
    <row r="23">
      <c r="A23" s="12">
        <v>45518.0</v>
      </c>
      <c r="B23" s="6" t="s">
        <v>44</v>
      </c>
      <c r="C23" s="2">
        <v>0.96</v>
      </c>
      <c r="D23" s="16">
        <f t="shared" si="3"/>
        <v>9.52</v>
      </c>
      <c r="E23" s="17">
        <f>D23/B1</f>
        <v>0.6346666667</v>
      </c>
      <c r="F23" s="16">
        <f t="shared" si="4"/>
        <v>9.35</v>
      </c>
      <c r="G23" s="17">
        <f>F23/B2</f>
        <v>0.6233333333</v>
      </c>
      <c r="H23" s="15">
        <f t="shared" si="5"/>
        <v>9.12</v>
      </c>
      <c r="I23" s="14">
        <f>H23/B3</f>
        <v>0.608</v>
      </c>
      <c r="J23" s="2">
        <v>0.0</v>
      </c>
      <c r="K23" s="2">
        <v>0.0</v>
      </c>
      <c r="L23" s="2">
        <v>0.0</v>
      </c>
      <c r="M23" s="7"/>
      <c r="N23" s="7"/>
    </row>
    <row r="24">
      <c r="A24" s="12">
        <v>45519.0</v>
      </c>
      <c r="B24" s="6" t="s">
        <v>43</v>
      </c>
      <c r="C24" s="2">
        <v>1.53</v>
      </c>
      <c r="D24" s="16">
        <f t="shared" si="3"/>
        <v>7.99</v>
      </c>
      <c r="E24" s="17">
        <f>D24/B1</f>
        <v>0.5326666667</v>
      </c>
      <c r="F24" s="16">
        <f t="shared" si="4"/>
        <v>9.35</v>
      </c>
      <c r="G24" s="17">
        <f>F24/B2</f>
        <v>0.6233333333</v>
      </c>
      <c r="H24" s="15">
        <f t="shared" si="5"/>
        <v>9.12</v>
      </c>
      <c r="I24" s="14">
        <f>H24/B3</f>
        <v>0.608</v>
      </c>
      <c r="J24" s="2">
        <v>0.0</v>
      </c>
      <c r="K24" s="2">
        <v>0.0</v>
      </c>
      <c r="L24" s="2">
        <v>0.0</v>
      </c>
      <c r="M24" s="7"/>
      <c r="N24" s="7"/>
    </row>
    <row r="25">
      <c r="A25" s="12">
        <v>45519.0</v>
      </c>
      <c r="B25" s="6" t="s">
        <v>27</v>
      </c>
      <c r="C25" s="2">
        <v>0.95</v>
      </c>
      <c r="D25" s="16">
        <f t="shared" si="3"/>
        <v>7.99</v>
      </c>
      <c r="E25" s="17">
        <f>D25/B1</f>
        <v>0.5326666667</v>
      </c>
      <c r="F25" s="16">
        <f t="shared" si="4"/>
        <v>8.4</v>
      </c>
      <c r="G25" s="17">
        <f>F25/B2</f>
        <v>0.56</v>
      </c>
      <c r="H25" s="15">
        <f t="shared" si="5"/>
        <v>9.12</v>
      </c>
      <c r="I25" s="14">
        <f>H25/B3</f>
        <v>0.608</v>
      </c>
      <c r="J25" s="2">
        <v>0.0</v>
      </c>
      <c r="K25" s="2">
        <v>0.0</v>
      </c>
      <c r="L25" s="2">
        <v>0.0</v>
      </c>
      <c r="M25" s="7"/>
      <c r="N25" s="7"/>
    </row>
    <row r="26">
      <c r="A26" s="12">
        <v>45519.0</v>
      </c>
      <c r="B26" s="6" t="s">
        <v>44</v>
      </c>
      <c r="C26" s="2">
        <v>0.97</v>
      </c>
      <c r="D26" s="16">
        <f t="shared" si="3"/>
        <v>7.99</v>
      </c>
      <c r="E26" s="17">
        <f>D26/B1</f>
        <v>0.5326666667</v>
      </c>
      <c r="F26" s="16">
        <f t="shared" si="4"/>
        <v>8.4</v>
      </c>
      <c r="G26" s="17">
        <f>F26/B2</f>
        <v>0.56</v>
      </c>
      <c r="H26" s="15">
        <f t="shared" si="5"/>
        <v>8.15</v>
      </c>
      <c r="I26" s="14">
        <f>H26/B3</f>
        <v>0.5433333333</v>
      </c>
      <c r="J26" s="2">
        <v>0.0</v>
      </c>
      <c r="K26" s="2">
        <v>0.0</v>
      </c>
      <c r="L26" s="2">
        <v>0.0</v>
      </c>
      <c r="M26" s="7"/>
      <c r="N26" s="7"/>
    </row>
    <row r="27">
      <c r="A27" s="12">
        <v>45520.0</v>
      </c>
      <c r="B27" s="6" t="s">
        <v>43</v>
      </c>
      <c r="C27" s="2">
        <v>1.05</v>
      </c>
      <c r="D27" s="16">
        <f t="shared" si="3"/>
        <v>6.94</v>
      </c>
      <c r="E27" s="17">
        <f>D27/B1</f>
        <v>0.4626666667</v>
      </c>
      <c r="F27" s="16">
        <f t="shared" si="4"/>
        <v>8.4</v>
      </c>
      <c r="G27" s="17">
        <f>F27/B2</f>
        <v>0.56</v>
      </c>
      <c r="H27" s="15">
        <f t="shared" si="5"/>
        <v>8.15</v>
      </c>
      <c r="I27" s="14">
        <f>H27/B3</f>
        <v>0.5433333333</v>
      </c>
      <c r="J27" s="2">
        <v>0.0</v>
      </c>
      <c r="K27" s="2">
        <v>0.0</v>
      </c>
      <c r="L27" s="2">
        <v>0.0</v>
      </c>
      <c r="M27" s="7"/>
      <c r="N27" s="7"/>
    </row>
    <row r="28">
      <c r="A28" s="12">
        <v>45520.0</v>
      </c>
      <c r="B28" s="6" t="s">
        <v>27</v>
      </c>
      <c r="C28" s="2">
        <v>1.06</v>
      </c>
      <c r="D28" s="16">
        <f t="shared" si="3"/>
        <v>6.94</v>
      </c>
      <c r="E28" s="17">
        <f>D28/B1</f>
        <v>0.4626666667</v>
      </c>
      <c r="F28" s="16">
        <f t="shared" si="4"/>
        <v>7.34</v>
      </c>
      <c r="G28" s="17">
        <f>F28/B2</f>
        <v>0.4893333333</v>
      </c>
      <c r="H28" s="15">
        <f t="shared" si="5"/>
        <v>8.15</v>
      </c>
      <c r="I28" s="14">
        <f>H28/B3</f>
        <v>0.5433333333</v>
      </c>
      <c r="J28" s="2">
        <v>0.0</v>
      </c>
      <c r="K28" s="2">
        <v>0.0</v>
      </c>
      <c r="L28" s="2">
        <v>0.0</v>
      </c>
      <c r="M28" s="7"/>
      <c r="N28" s="7"/>
    </row>
    <row r="29">
      <c r="A29" s="12">
        <v>45520.0</v>
      </c>
      <c r="B29" s="6" t="s">
        <v>44</v>
      </c>
      <c r="C29" s="2">
        <v>1.13</v>
      </c>
      <c r="D29" s="16">
        <f t="shared" si="3"/>
        <v>6.94</v>
      </c>
      <c r="E29" s="17">
        <f>D29/B1</f>
        <v>0.4626666667</v>
      </c>
      <c r="F29" s="16">
        <f t="shared" si="4"/>
        <v>7.34</v>
      </c>
      <c r="G29" s="17">
        <f>F29/B2</f>
        <v>0.4893333333</v>
      </c>
      <c r="H29" s="15">
        <f t="shared" si="5"/>
        <v>7.02</v>
      </c>
      <c r="I29" s="14">
        <f>H29/B3</f>
        <v>0.468</v>
      </c>
      <c r="J29" s="2">
        <v>0.0</v>
      </c>
      <c r="K29" s="2">
        <v>0.0</v>
      </c>
      <c r="L29" s="2">
        <v>0.0</v>
      </c>
      <c r="M29" s="7"/>
      <c r="N29" s="7"/>
    </row>
    <row r="30">
      <c r="A30" s="12">
        <v>45521.0</v>
      </c>
      <c r="B30" s="6" t="s">
        <v>43</v>
      </c>
      <c r="C30" s="2">
        <v>0.96</v>
      </c>
      <c r="D30" s="16">
        <f t="shared" si="3"/>
        <v>5.98</v>
      </c>
      <c r="E30" s="17">
        <f>D30/B1</f>
        <v>0.3986666667</v>
      </c>
      <c r="F30" s="16">
        <f t="shared" si="4"/>
        <v>7.34</v>
      </c>
      <c r="G30" s="17">
        <f>F30/B2</f>
        <v>0.4893333333</v>
      </c>
      <c r="H30" s="15">
        <f t="shared" si="5"/>
        <v>7.02</v>
      </c>
      <c r="I30" s="14">
        <f>H30/B3</f>
        <v>0.468</v>
      </c>
      <c r="J30" s="2">
        <v>0.0</v>
      </c>
      <c r="K30" s="2">
        <v>0.0</v>
      </c>
      <c r="L30" s="2">
        <v>0.0</v>
      </c>
      <c r="M30" s="7"/>
      <c r="N30" s="7"/>
    </row>
    <row r="31">
      <c r="A31" s="12">
        <v>45521.0</v>
      </c>
      <c r="B31" s="6" t="s">
        <v>27</v>
      </c>
      <c r="C31" s="2">
        <v>0.97</v>
      </c>
      <c r="D31" s="16">
        <f t="shared" si="3"/>
        <v>5.98</v>
      </c>
      <c r="E31" s="17">
        <f>D31/B1</f>
        <v>0.3986666667</v>
      </c>
      <c r="F31" s="16">
        <f t="shared" si="4"/>
        <v>6.37</v>
      </c>
      <c r="G31" s="17">
        <f>F31/B2</f>
        <v>0.4246666667</v>
      </c>
      <c r="H31" s="15">
        <f t="shared" si="5"/>
        <v>7.02</v>
      </c>
      <c r="I31" s="14">
        <f>H31/B3</f>
        <v>0.468</v>
      </c>
      <c r="J31" s="2">
        <v>0.0</v>
      </c>
      <c r="K31" s="2">
        <v>0.0</v>
      </c>
      <c r="L31" s="2">
        <v>0.0</v>
      </c>
      <c r="M31" s="7"/>
      <c r="N31" s="7"/>
    </row>
    <row r="32">
      <c r="A32" s="12">
        <v>45521.0</v>
      </c>
      <c r="B32" s="6" t="s">
        <v>44</v>
      </c>
      <c r="C32" s="2">
        <v>1.01</v>
      </c>
      <c r="D32" s="16">
        <f t="shared" si="3"/>
        <v>5.98</v>
      </c>
      <c r="E32" s="17">
        <f>D32/B1</f>
        <v>0.3986666667</v>
      </c>
      <c r="F32" s="16">
        <f t="shared" si="4"/>
        <v>6.37</v>
      </c>
      <c r="G32" s="17">
        <f>F32/B2</f>
        <v>0.4246666667</v>
      </c>
      <c r="H32" s="15">
        <f t="shared" si="5"/>
        <v>6.01</v>
      </c>
      <c r="I32" s="14">
        <f>H32/B3</f>
        <v>0.4006666667</v>
      </c>
      <c r="J32" s="2">
        <v>0.0</v>
      </c>
      <c r="K32" s="2">
        <v>0.0</v>
      </c>
      <c r="L32" s="2">
        <v>0.0</v>
      </c>
      <c r="M32" s="7"/>
      <c r="N32" s="7"/>
    </row>
    <row r="33">
      <c r="A33" s="12">
        <v>45522.0</v>
      </c>
      <c r="B33" s="6" t="s">
        <v>43</v>
      </c>
      <c r="C33" s="2">
        <v>1.02</v>
      </c>
      <c r="D33" s="16">
        <f t="shared" si="3"/>
        <v>4.96</v>
      </c>
      <c r="E33" s="17">
        <f>D33/B1</f>
        <v>0.3306666667</v>
      </c>
      <c r="F33" s="16">
        <f t="shared" si="4"/>
        <v>6.37</v>
      </c>
      <c r="G33" s="17">
        <f>F33/B2</f>
        <v>0.4246666667</v>
      </c>
      <c r="H33" s="15">
        <f t="shared" si="5"/>
        <v>6.01</v>
      </c>
      <c r="I33" s="14">
        <f>H33/B3</f>
        <v>0.4006666667</v>
      </c>
      <c r="J33" s="2">
        <v>0.0</v>
      </c>
      <c r="K33" s="2">
        <v>0.0</v>
      </c>
      <c r="L33" s="2">
        <v>0.0</v>
      </c>
      <c r="M33" s="7"/>
      <c r="N33" s="7"/>
    </row>
    <row r="34">
      <c r="A34" s="12">
        <v>45522.0</v>
      </c>
      <c r="B34" s="6" t="s">
        <v>27</v>
      </c>
      <c r="C34" s="2">
        <v>0.95</v>
      </c>
      <c r="D34" s="16">
        <f t="shared" si="3"/>
        <v>4.96</v>
      </c>
      <c r="E34" s="17">
        <f>D34/B1</f>
        <v>0.3306666667</v>
      </c>
      <c r="F34" s="16">
        <f t="shared" si="4"/>
        <v>5.42</v>
      </c>
      <c r="G34" s="17">
        <f>F34/B2</f>
        <v>0.3613333333</v>
      </c>
      <c r="H34" s="15">
        <f t="shared" si="5"/>
        <v>6.01</v>
      </c>
      <c r="I34" s="14">
        <f>H34/B3</f>
        <v>0.4006666667</v>
      </c>
      <c r="J34" s="2">
        <v>0.0</v>
      </c>
      <c r="K34" s="2">
        <v>0.0</v>
      </c>
      <c r="L34" s="2">
        <v>0.0</v>
      </c>
      <c r="M34" s="7"/>
      <c r="N34" s="7"/>
    </row>
    <row r="35">
      <c r="A35" s="12">
        <v>45522.0</v>
      </c>
      <c r="B35" s="6" t="s">
        <v>44</v>
      </c>
      <c r="C35" s="2">
        <v>0.97</v>
      </c>
      <c r="D35" s="16">
        <f t="shared" si="3"/>
        <v>4.96</v>
      </c>
      <c r="E35" s="17">
        <f>D35/B1</f>
        <v>0.3306666667</v>
      </c>
      <c r="F35" s="16">
        <f t="shared" si="4"/>
        <v>5.42</v>
      </c>
      <c r="G35" s="17">
        <f>F35/B2</f>
        <v>0.3613333333</v>
      </c>
      <c r="H35" s="15">
        <f t="shared" si="5"/>
        <v>5.04</v>
      </c>
      <c r="I35" s="14">
        <f>H35/B3</f>
        <v>0.336</v>
      </c>
      <c r="J35" s="2">
        <v>0.0</v>
      </c>
      <c r="K35" s="2">
        <v>0.0</v>
      </c>
      <c r="L35" s="2">
        <v>0.0</v>
      </c>
      <c r="M35" s="7"/>
      <c r="N35" s="7"/>
    </row>
    <row r="36">
      <c r="A36" s="12">
        <v>45523.0</v>
      </c>
      <c r="B36" s="6" t="s">
        <v>43</v>
      </c>
      <c r="C36" s="2">
        <v>0.93</v>
      </c>
      <c r="D36" s="16">
        <f t="shared" si="3"/>
        <v>4.03</v>
      </c>
      <c r="E36" s="17">
        <f>D36/B1</f>
        <v>0.2686666667</v>
      </c>
      <c r="F36" s="16">
        <f t="shared" si="4"/>
        <v>5.42</v>
      </c>
      <c r="G36" s="17">
        <f>F36/B2</f>
        <v>0.3613333333</v>
      </c>
      <c r="H36" s="15">
        <f t="shared" si="5"/>
        <v>5.04</v>
      </c>
      <c r="I36" s="14">
        <f>H36/B3</f>
        <v>0.336</v>
      </c>
      <c r="J36" s="2">
        <v>0.0</v>
      </c>
      <c r="K36" s="2">
        <v>0.0</v>
      </c>
      <c r="L36" s="2">
        <v>0.0</v>
      </c>
      <c r="M36" s="7"/>
      <c r="N36" s="7"/>
    </row>
    <row r="37">
      <c r="A37" s="12">
        <v>45523.0</v>
      </c>
      <c r="B37" s="6" t="s">
        <v>27</v>
      </c>
      <c r="C37" s="2">
        <v>1.01</v>
      </c>
      <c r="D37" s="16">
        <f t="shared" si="3"/>
        <v>4.03</v>
      </c>
      <c r="E37" s="17">
        <f>D37/B1</f>
        <v>0.2686666667</v>
      </c>
      <c r="F37" s="16">
        <f t="shared" si="4"/>
        <v>4.41</v>
      </c>
      <c r="G37" s="17">
        <f>F37/B2</f>
        <v>0.294</v>
      </c>
      <c r="H37" s="15">
        <f t="shared" si="5"/>
        <v>5.04</v>
      </c>
      <c r="I37" s="14">
        <f>H37/B3</f>
        <v>0.336</v>
      </c>
      <c r="J37" s="2">
        <v>0.0</v>
      </c>
      <c r="K37" s="2">
        <v>0.0</v>
      </c>
      <c r="L37" s="2">
        <v>0.0</v>
      </c>
      <c r="M37" s="7"/>
      <c r="N37" s="7"/>
    </row>
    <row r="38">
      <c r="A38" s="12">
        <v>45523.0</v>
      </c>
      <c r="B38" s="6" t="s">
        <v>44</v>
      </c>
      <c r="C38" s="2">
        <v>1.02</v>
      </c>
      <c r="D38" s="16">
        <f t="shared" si="3"/>
        <v>4.03</v>
      </c>
      <c r="E38" s="17">
        <f>D38/B1</f>
        <v>0.2686666667</v>
      </c>
      <c r="F38" s="16">
        <f t="shared" si="4"/>
        <v>4.41</v>
      </c>
      <c r="G38" s="17">
        <f>F38/B2</f>
        <v>0.294</v>
      </c>
      <c r="H38" s="15">
        <f t="shared" si="5"/>
        <v>4.02</v>
      </c>
      <c r="I38" s="14">
        <f>H38/B3</f>
        <v>0.268</v>
      </c>
      <c r="J38" s="2">
        <v>0.0</v>
      </c>
      <c r="K38" s="2">
        <v>0.0</v>
      </c>
      <c r="L38" s="2">
        <v>0.0</v>
      </c>
      <c r="M38" s="7"/>
      <c r="N38" s="7"/>
    </row>
    <row r="39">
      <c r="A39" s="12">
        <v>45524.0</v>
      </c>
      <c r="B39" s="6" t="s">
        <v>43</v>
      </c>
      <c r="C39" s="2">
        <v>0.51</v>
      </c>
      <c r="D39" s="16">
        <f t="shared" si="3"/>
        <v>3.52</v>
      </c>
      <c r="E39" s="17">
        <f>D39/B1</f>
        <v>0.2346666667</v>
      </c>
      <c r="F39" s="16">
        <f t="shared" si="4"/>
        <v>4.41</v>
      </c>
      <c r="G39" s="17">
        <f>F39/B2</f>
        <v>0.294</v>
      </c>
      <c r="H39" s="15">
        <f t="shared" si="5"/>
        <v>4.02</v>
      </c>
      <c r="I39" s="14">
        <f>H39/B3</f>
        <v>0.268</v>
      </c>
      <c r="J39" s="2">
        <v>0.0</v>
      </c>
      <c r="K39" s="2">
        <v>0.0</v>
      </c>
      <c r="L39" s="2">
        <v>0.0</v>
      </c>
      <c r="M39" s="7"/>
      <c r="N39" s="7"/>
    </row>
    <row r="40">
      <c r="A40" s="12">
        <v>45524.0</v>
      </c>
      <c r="B40" s="6" t="s">
        <v>27</v>
      </c>
      <c r="C40" s="2">
        <v>0.53</v>
      </c>
      <c r="D40" s="16">
        <f t="shared" si="3"/>
        <v>3.52</v>
      </c>
      <c r="E40" s="17">
        <f>D40/B1</f>
        <v>0.2346666667</v>
      </c>
      <c r="F40" s="16">
        <f t="shared" si="4"/>
        <v>3.88</v>
      </c>
      <c r="G40" s="17">
        <f>F40/B2</f>
        <v>0.2586666667</v>
      </c>
      <c r="H40" s="15">
        <f t="shared" si="5"/>
        <v>4.02</v>
      </c>
      <c r="I40" s="14">
        <f>H40/B3</f>
        <v>0.268</v>
      </c>
      <c r="J40" s="2">
        <v>0.0</v>
      </c>
      <c r="K40" s="2">
        <v>0.0</v>
      </c>
      <c r="L40" s="2">
        <v>0.0</v>
      </c>
      <c r="M40" s="7"/>
      <c r="N40" s="7"/>
    </row>
    <row r="41">
      <c r="A41" s="12">
        <v>45524.0</v>
      </c>
      <c r="B41" s="6" t="s">
        <v>44</v>
      </c>
      <c r="C41" s="2">
        <v>0.58</v>
      </c>
      <c r="D41" s="16">
        <f t="shared" si="3"/>
        <v>3.52</v>
      </c>
      <c r="E41" s="17">
        <f>D41/B1</f>
        <v>0.2346666667</v>
      </c>
      <c r="F41" s="16">
        <f t="shared" si="4"/>
        <v>3.88</v>
      </c>
      <c r="G41" s="17">
        <f>F41/B2</f>
        <v>0.2586666667</v>
      </c>
      <c r="H41" s="15">
        <f t="shared" si="5"/>
        <v>3.44</v>
      </c>
      <c r="I41" s="14">
        <f>H41/B3</f>
        <v>0.2293333333</v>
      </c>
      <c r="J41" s="2">
        <v>0.0</v>
      </c>
      <c r="K41" s="2">
        <v>0.0</v>
      </c>
      <c r="L41" s="2">
        <v>0.0</v>
      </c>
      <c r="M41" s="7"/>
      <c r="N41" s="7"/>
    </row>
    <row r="42">
      <c r="A42" s="12">
        <v>45525.0</v>
      </c>
      <c r="B42" s="6" t="s">
        <v>43</v>
      </c>
      <c r="C42" s="2">
        <v>0.53</v>
      </c>
      <c r="D42" s="16">
        <f t="shared" si="3"/>
        <v>2.99</v>
      </c>
      <c r="E42" s="17">
        <f>D42/B1</f>
        <v>0.1993333333</v>
      </c>
      <c r="F42" s="16">
        <f t="shared" si="4"/>
        <v>3.88</v>
      </c>
      <c r="G42" s="17">
        <f>F42/B2</f>
        <v>0.2586666667</v>
      </c>
      <c r="H42" s="15">
        <f t="shared" si="5"/>
        <v>3.44</v>
      </c>
      <c r="I42" s="14">
        <f>H42/B3</f>
        <v>0.2293333333</v>
      </c>
      <c r="J42" s="2">
        <v>0.0</v>
      </c>
      <c r="K42" s="2">
        <v>0.0</v>
      </c>
      <c r="L42" s="2">
        <v>0.0</v>
      </c>
      <c r="M42" s="7"/>
      <c r="N42" s="7"/>
    </row>
    <row r="43">
      <c r="A43" s="12">
        <v>45525.0</v>
      </c>
      <c r="B43" s="6" t="s">
        <v>27</v>
      </c>
      <c r="C43" s="2">
        <v>0.54</v>
      </c>
      <c r="D43" s="16">
        <f t="shared" si="3"/>
        <v>2.99</v>
      </c>
      <c r="E43" s="17">
        <f>D43/B1</f>
        <v>0.1993333333</v>
      </c>
      <c r="F43" s="16">
        <f t="shared" si="4"/>
        <v>3.34</v>
      </c>
      <c r="G43" s="17">
        <f>F43/B2</f>
        <v>0.2226666667</v>
      </c>
      <c r="H43" s="15">
        <f t="shared" si="5"/>
        <v>3.44</v>
      </c>
      <c r="I43" s="14">
        <f>H43/B3</f>
        <v>0.2293333333</v>
      </c>
      <c r="J43" s="2">
        <v>0.0</v>
      </c>
      <c r="K43" s="2">
        <v>0.0</v>
      </c>
      <c r="L43" s="2">
        <v>0.0</v>
      </c>
      <c r="M43" s="7"/>
      <c r="N43" s="7"/>
    </row>
    <row r="44">
      <c r="A44" s="12">
        <v>45525.0</v>
      </c>
      <c r="B44" s="6" t="s">
        <v>44</v>
      </c>
      <c r="C44" s="2">
        <v>0.57</v>
      </c>
      <c r="D44" s="16">
        <f t="shared" si="3"/>
        <v>2.99</v>
      </c>
      <c r="E44" s="17">
        <f>D44/B1</f>
        <v>0.1993333333</v>
      </c>
      <c r="F44" s="16">
        <f t="shared" si="4"/>
        <v>3.34</v>
      </c>
      <c r="G44" s="17">
        <f>F44/B2</f>
        <v>0.2226666667</v>
      </c>
      <c r="H44" s="15">
        <f t="shared" si="5"/>
        <v>2.87</v>
      </c>
      <c r="I44" s="14">
        <f>H44/B3</f>
        <v>0.1913333333</v>
      </c>
      <c r="J44" s="2">
        <v>0.0</v>
      </c>
      <c r="K44" s="2">
        <v>0.0</v>
      </c>
      <c r="L44" s="2">
        <v>0.0</v>
      </c>
      <c r="M44" s="7"/>
      <c r="N44" s="7"/>
    </row>
    <row r="45">
      <c r="A45" s="12">
        <v>45526.0</v>
      </c>
      <c r="B45" s="6" t="s">
        <v>43</v>
      </c>
      <c r="C45" s="2">
        <v>0.57</v>
      </c>
      <c r="D45" s="16">
        <f t="shared" si="3"/>
        <v>2.42</v>
      </c>
      <c r="E45" s="17">
        <f>D45/B1</f>
        <v>0.1613333333</v>
      </c>
      <c r="F45" s="16">
        <f t="shared" si="4"/>
        <v>3.34</v>
      </c>
      <c r="G45" s="17">
        <f>F45/B2</f>
        <v>0.2226666667</v>
      </c>
      <c r="H45" s="15">
        <f t="shared" si="5"/>
        <v>2.87</v>
      </c>
      <c r="I45" s="14">
        <f>H45/B3</f>
        <v>0.1913333333</v>
      </c>
      <c r="J45" s="2">
        <v>0.0</v>
      </c>
      <c r="K45" s="2">
        <v>0.0</v>
      </c>
      <c r="L45" s="2">
        <v>0.0</v>
      </c>
      <c r="M45" s="7"/>
      <c r="N45" s="7"/>
    </row>
    <row r="46">
      <c r="A46" s="12">
        <v>45526.0</v>
      </c>
      <c r="B46" s="6" t="s">
        <v>27</v>
      </c>
      <c r="C46" s="2">
        <v>0.62</v>
      </c>
      <c r="D46" s="16">
        <f t="shared" si="3"/>
        <v>2.42</v>
      </c>
      <c r="E46" s="17">
        <f>D46/B1</f>
        <v>0.1613333333</v>
      </c>
      <c r="F46" s="16">
        <f t="shared" si="4"/>
        <v>2.72</v>
      </c>
      <c r="G46" s="17">
        <f>F46/B2</f>
        <v>0.1813333333</v>
      </c>
      <c r="H46" s="15">
        <f t="shared" si="5"/>
        <v>2.87</v>
      </c>
      <c r="I46" s="14">
        <f>H46/B3</f>
        <v>0.1913333333</v>
      </c>
      <c r="J46" s="2">
        <v>0.0</v>
      </c>
      <c r="K46" s="2">
        <v>0.0</v>
      </c>
      <c r="L46" s="2">
        <v>0.0</v>
      </c>
      <c r="M46" s="7"/>
      <c r="N46" s="7"/>
    </row>
    <row r="47">
      <c r="A47" s="12">
        <v>45526.0</v>
      </c>
      <c r="B47" s="6" t="s">
        <v>44</v>
      </c>
      <c r="C47" s="2">
        <v>0.63</v>
      </c>
      <c r="D47" s="16">
        <f t="shared" si="3"/>
        <v>2.42</v>
      </c>
      <c r="E47" s="17">
        <f>D47/B1</f>
        <v>0.1613333333</v>
      </c>
      <c r="F47" s="16">
        <f t="shared" si="4"/>
        <v>2.72</v>
      </c>
      <c r="G47" s="17">
        <f>F47/B2</f>
        <v>0.1813333333</v>
      </c>
      <c r="H47" s="15">
        <f t="shared" si="5"/>
        <v>2.24</v>
      </c>
      <c r="I47" s="14">
        <f>H47/B3</f>
        <v>0.1493333333</v>
      </c>
      <c r="J47" s="2">
        <v>0.0</v>
      </c>
      <c r="K47" s="2">
        <v>0.0</v>
      </c>
      <c r="L47" s="2">
        <v>0.0</v>
      </c>
      <c r="M47" s="7"/>
      <c r="N47" s="7"/>
    </row>
    <row r="48">
      <c r="A48" s="12">
        <v>45527.0</v>
      </c>
      <c r="B48" s="6" t="s">
        <v>43</v>
      </c>
      <c r="C48" s="2">
        <v>0.59</v>
      </c>
      <c r="D48" s="16">
        <f t="shared" si="3"/>
        <v>1.83</v>
      </c>
      <c r="E48" s="17">
        <f>D48/B1</f>
        <v>0.122</v>
      </c>
      <c r="F48" s="16">
        <f t="shared" si="4"/>
        <v>2.72</v>
      </c>
      <c r="G48" s="17">
        <f>F48/B2</f>
        <v>0.1813333333</v>
      </c>
      <c r="H48" s="15">
        <f t="shared" si="5"/>
        <v>2.24</v>
      </c>
      <c r="I48" s="14">
        <f>H48/B3</f>
        <v>0.1493333333</v>
      </c>
      <c r="J48" s="2">
        <v>0.0</v>
      </c>
      <c r="K48" s="2">
        <v>0.0</v>
      </c>
      <c r="L48" s="2">
        <v>0.0</v>
      </c>
      <c r="M48" s="7"/>
      <c r="N48" s="7"/>
    </row>
    <row r="49">
      <c r="A49" s="12">
        <v>45527.0</v>
      </c>
      <c r="B49" s="6" t="s">
        <v>27</v>
      </c>
      <c r="C49" s="2">
        <v>0.61</v>
      </c>
      <c r="D49" s="16">
        <f t="shared" si="3"/>
        <v>1.83</v>
      </c>
      <c r="E49" s="17">
        <f>D49/B1</f>
        <v>0.122</v>
      </c>
      <c r="F49" s="16">
        <f t="shared" si="4"/>
        <v>2.11</v>
      </c>
      <c r="G49" s="17">
        <f>F49/B2</f>
        <v>0.1406666667</v>
      </c>
      <c r="H49" s="15">
        <f t="shared" si="5"/>
        <v>2.24</v>
      </c>
      <c r="I49" s="14">
        <f>H49/B3</f>
        <v>0.1493333333</v>
      </c>
      <c r="J49" s="2">
        <v>0.0</v>
      </c>
      <c r="K49" s="2">
        <v>0.0</v>
      </c>
      <c r="L49" s="2">
        <v>0.0</v>
      </c>
      <c r="M49" s="7"/>
      <c r="N49" s="7"/>
    </row>
    <row r="50">
      <c r="A50" s="12">
        <v>45527.0</v>
      </c>
      <c r="B50" s="6" t="s">
        <v>44</v>
      </c>
      <c r="C50" s="2">
        <v>0.7</v>
      </c>
      <c r="D50" s="16">
        <f t="shared" si="3"/>
        <v>1.83</v>
      </c>
      <c r="E50" s="17">
        <f>D50/B1</f>
        <v>0.122</v>
      </c>
      <c r="F50" s="16">
        <f t="shared" si="4"/>
        <v>2.11</v>
      </c>
      <c r="G50" s="17">
        <f>F50/B2</f>
        <v>0.1406666667</v>
      </c>
      <c r="H50" s="15">
        <f t="shared" si="5"/>
        <v>1.54</v>
      </c>
      <c r="I50" s="14">
        <f>H50/B3</f>
        <v>0.1026666667</v>
      </c>
      <c r="J50" s="2">
        <v>0.0</v>
      </c>
      <c r="K50" s="2">
        <v>0.0</v>
      </c>
      <c r="L50" s="2">
        <v>0.0</v>
      </c>
      <c r="M50" s="7"/>
      <c r="N50" s="7"/>
    </row>
    <row r="51">
      <c r="A51" s="12">
        <v>45528.0</v>
      </c>
      <c r="B51" s="6" t="s">
        <v>43</v>
      </c>
      <c r="C51" s="2">
        <v>1.03</v>
      </c>
      <c r="D51" s="16">
        <f t="shared" si="3"/>
        <v>0.8</v>
      </c>
      <c r="E51" s="17">
        <f>D51/B1</f>
        <v>0.05333333333</v>
      </c>
      <c r="F51" s="16">
        <f t="shared" si="4"/>
        <v>2.11</v>
      </c>
      <c r="G51" s="17">
        <f>F51/B2</f>
        <v>0.1406666667</v>
      </c>
      <c r="H51" s="15">
        <f t="shared" si="5"/>
        <v>1.54</v>
      </c>
      <c r="I51" s="14">
        <f>H51/B3</f>
        <v>0.1026666667</v>
      </c>
      <c r="J51" s="2">
        <v>0.0</v>
      </c>
      <c r="K51" s="2">
        <v>0.0</v>
      </c>
      <c r="L51" s="2">
        <v>0.0</v>
      </c>
      <c r="M51" s="7"/>
      <c r="N51" s="7"/>
    </row>
    <row r="52">
      <c r="A52" s="12">
        <v>45528.0</v>
      </c>
      <c r="B52" s="6" t="s">
        <v>27</v>
      </c>
      <c r="C52" s="2">
        <v>1.18</v>
      </c>
      <c r="D52" s="16">
        <f t="shared" si="3"/>
        <v>0.8</v>
      </c>
      <c r="E52" s="17">
        <f>D52/B1</f>
        <v>0.05333333333</v>
      </c>
      <c r="F52" s="16">
        <f t="shared" si="4"/>
        <v>0.93</v>
      </c>
      <c r="G52" s="17">
        <f>F52/B2</f>
        <v>0.062</v>
      </c>
      <c r="H52" s="15">
        <f t="shared" si="5"/>
        <v>1.54</v>
      </c>
      <c r="I52" s="14">
        <f>H52/B3</f>
        <v>0.1026666667</v>
      </c>
      <c r="J52" s="2">
        <v>0.0</v>
      </c>
      <c r="K52" s="2">
        <v>0.0</v>
      </c>
      <c r="L52" s="2">
        <v>0.0</v>
      </c>
      <c r="M52" s="7"/>
      <c r="N52" s="7"/>
    </row>
    <row r="53">
      <c r="A53" s="12">
        <v>45528.0</v>
      </c>
      <c r="B53" s="6" t="s">
        <v>44</v>
      </c>
      <c r="C53" s="2">
        <v>1.04</v>
      </c>
      <c r="D53" s="16">
        <f t="shared" si="3"/>
        <v>0.8</v>
      </c>
      <c r="E53" s="17">
        <f>D53/B1</f>
        <v>0.05333333333</v>
      </c>
      <c r="F53" s="16">
        <f t="shared" si="4"/>
        <v>0.93</v>
      </c>
      <c r="G53" s="17">
        <f>F53/B2</f>
        <v>0.062</v>
      </c>
      <c r="H53" s="15">
        <f t="shared" si="5"/>
        <v>0.5</v>
      </c>
      <c r="I53" s="14">
        <f>H53/B3</f>
        <v>0.03333333333</v>
      </c>
      <c r="J53" s="2">
        <v>0.0</v>
      </c>
      <c r="K53" s="2">
        <v>0.0</v>
      </c>
      <c r="L53" s="2">
        <v>0.0</v>
      </c>
      <c r="M53" s="7"/>
      <c r="N53" s="7"/>
    </row>
    <row r="54">
      <c r="A54" s="12">
        <v>45529.0</v>
      </c>
      <c r="B54" s="6" t="s">
        <v>43</v>
      </c>
      <c r="C54" s="2">
        <v>0.8</v>
      </c>
      <c r="D54" s="16">
        <f t="shared" si="3"/>
        <v>0</v>
      </c>
      <c r="E54" s="17">
        <f>D54/B1</f>
        <v>0</v>
      </c>
      <c r="F54" s="16">
        <f t="shared" si="4"/>
        <v>0.93</v>
      </c>
      <c r="G54" s="17">
        <f>F54/B2</f>
        <v>0.062</v>
      </c>
      <c r="H54" s="15">
        <f t="shared" si="5"/>
        <v>0.5</v>
      </c>
      <c r="I54" s="14">
        <f>H54/B3</f>
        <v>0.03333333333</v>
      </c>
      <c r="J54" s="2">
        <v>0.0</v>
      </c>
      <c r="K54" s="2">
        <v>0.0</v>
      </c>
      <c r="L54" s="2">
        <v>0.0</v>
      </c>
      <c r="M54" s="7"/>
      <c r="N54" s="7"/>
    </row>
    <row r="55">
      <c r="A55" s="12">
        <v>45529.0</v>
      </c>
      <c r="B55" s="6" t="s">
        <v>27</v>
      </c>
      <c r="C55" s="2">
        <v>0.93</v>
      </c>
      <c r="D55" s="16">
        <f t="shared" si="3"/>
        <v>0</v>
      </c>
      <c r="E55" s="17">
        <f>D55/B1</f>
        <v>0</v>
      </c>
      <c r="F55" s="16">
        <f t="shared" si="4"/>
        <v>0</v>
      </c>
      <c r="G55" s="17">
        <f>F55/B2</f>
        <v>0</v>
      </c>
      <c r="H55" s="15">
        <f t="shared" si="5"/>
        <v>0.5</v>
      </c>
      <c r="I55" s="14">
        <f>H55/B3</f>
        <v>0.03333333333</v>
      </c>
      <c r="J55" s="2">
        <v>0.0</v>
      </c>
      <c r="K55" s="2">
        <v>0.0</v>
      </c>
      <c r="L55" s="2">
        <v>0.0</v>
      </c>
      <c r="M55" s="7"/>
      <c r="N55" s="7"/>
    </row>
    <row r="56">
      <c r="A56" s="12">
        <v>45529.0</v>
      </c>
      <c r="B56" s="6" t="s">
        <v>44</v>
      </c>
      <c r="C56" s="2">
        <v>0.5</v>
      </c>
      <c r="D56" s="16">
        <f t="shared" si="3"/>
        <v>0</v>
      </c>
      <c r="E56" s="17">
        <f>D56/B1</f>
        <v>0</v>
      </c>
      <c r="F56" s="16">
        <f t="shared" si="4"/>
        <v>0</v>
      </c>
      <c r="G56" s="17">
        <f>F56/B2</f>
        <v>0</v>
      </c>
      <c r="H56" s="15">
        <f t="shared" si="5"/>
        <v>0</v>
      </c>
      <c r="I56" s="14">
        <f>H56/B3</f>
        <v>0</v>
      </c>
      <c r="J56" s="2">
        <v>0.0</v>
      </c>
      <c r="K56" s="2">
        <v>0.0</v>
      </c>
      <c r="L56" s="2">
        <v>0.0</v>
      </c>
      <c r="M56" s="7"/>
      <c r="N56" s="7"/>
    </row>
    <row r="57">
      <c r="A57" s="12">
        <v>45530.0</v>
      </c>
      <c r="B57" s="6" t="s">
        <v>43</v>
      </c>
      <c r="C57" s="2">
        <v>0.0</v>
      </c>
      <c r="D57" s="16">
        <f t="shared" si="3"/>
        <v>0</v>
      </c>
      <c r="E57" s="17">
        <f>D57/B1</f>
        <v>0</v>
      </c>
      <c r="F57" s="16">
        <f t="shared" si="4"/>
        <v>0</v>
      </c>
      <c r="G57" s="17">
        <f>F57/B2</f>
        <v>0</v>
      </c>
      <c r="H57" s="15">
        <f t="shared" si="5"/>
        <v>0</v>
      </c>
      <c r="I57" s="14">
        <f>H57/B3</f>
        <v>0</v>
      </c>
      <c r="J57" s="2">
        <v>0.0</v>
      </c>
      <c r="K57" s="2">
        <v>0.0</v>
      </c>
      <c r="L57" s="2">
        <v>0.0</v>
      </c>
      <c r="M57" s="7"/>
      <c r="N57" s="7"/>
    </row>
    <row r="58">
      <c r="A58" s="12">
        <v>45530.0</v>
      </c>
      <c r="B58" s="6" t="s">
        <v>27</v>
      </c>
      <c r="C58" s="2">
        <v>0.0</v>
      </c>
      <c r="D58" s="16">
        <f t="shared" si="3"/>
        <v>0</v>
      </c>
      <c r="E58" s="17">
        <f>D58/B1</f>
        <v>0</v>
      </c>
      <c r="F58" s="16">
        <f t="shared" si="4"/>
        <v>0</v>
      </c>
      <c r="G58" s="17">
        <f>F58/B2</f>
        <v>0</v>
      </c>
      <c r="H58" s="15">
        <f t="shared" si="5"/>
        <v>0</v>
      </c>
      <c r="I58" s="14">
        <f>H58/B3</f>
        <v>0</v>
      </c>
      <c r="J58" s="2">
        <v>0.0</v>
      </c>
      <c r="K58" s="2">
        <v>0.0</v>
      </c>
      <c r="L58" s="2">
        <v>0.0</v>
      </c>
      <c r="M58" s="7"/>
      <c r="N58" s="7"/>
    </row>
    <row r="59">
      <c r="A59" s="12">
        <v>45530.0</v>
      </c>
      <c r="B59" s="6" t="s">
        <v>44</v>
      </c>
      <c r="C59" s="2">
        <v>0.0</v>
      </c>
      <c r="D59" s="16">
        <f t="shared" si="3"/>
        <v>0</v>
      </c>
      <c r="E59" s="17">
        <f>D59/B1</f>
        <v>0</v>
      </c>
      <c r="F59" s="16">
        <f t="shared" si="4"/>
        <v>0</v>
      </c>
      <c r="G59" s="17">
        <f>F59/B2</f>
        <v>0</v>
      </c>
      <c r="H59" s="15">
        <f t="shared" si="5"/>
        <v>0</v>
      </c>
      <c r="I59" s="14">
        <f>H59/B3</f>
        <v>0</v>
      </c>
      <c r="J59" s="2">
        <v>0.0</v>
      </c>
      <c r="K59" s="2">
        <v>0.0</v>
      </c>
      <c r="L59" s="2">
        <v>0.0</v>
      </c>
    </row>
    <row r="60">
      <c r="A60" s="12">
        <v>45531.0</v>
      </c>
      <c r="B60" s="6" t="s">
        <v>43</v>
      </c>
      <c r="C60" s="2">
        <v>0.0</v>
      </c>
      <c r="D60" s="16">
        <f t="shared" si="3"/>
        <v>0</v>
      </c>
      <c r="E60" s="17">
        <f>D60/B1</f>
        <v>0</v>
      </c>
      <c r="F60" s="16">
        <f t="shared" si="4"/>
        <v>0</v>
      </c>
      <c r="G60" s="17">
        <f>F60/B2</f>
        <v>0</v>
      </c>
      <c r="H60" s="15">
        <f t="shared" si="5"/>
        <v>0</v>
      </c>
      <c r="I60" s="14">
        <f>H60/B3</f>
        <v>0</v>
      </c>
      <c r="J60" s="2">
        <v>0.0</v>
      </c>
      <c r="K60" s="2">
        <v>0.0</v>
      </c>
      <c r="L60" s="2">
        <v>0.0</v>
      </c>
    </row>
    <row r="61">
      <c r="A61" s="12">
        <v>45531.0</v>
      </c>
      <c r="B61" s="6" t="s">
        <v>27</v>
      </c>
      <c r="C61" s="2">
        <v>0.0</v>
      </c>
      <c r="D61" s="16">
        <f t="shared" si="3"/>
        <v>0</v>
      </c>
      <c r="E61" s="17">
        <f>D61/B1</f>
        <v>0</v>
      </c>
      <c r="F61" s="16">
        <f t="shared" si="4"/>
        <v>0</v>
      </c>
      <c r="G61" s="17">
        <f>F61/B2</f>
        <v>0</v>
      </c>
      <c r="H61" s="15">
        <f t="shared" si="5"/>
        <v>0</v>
      </c>
      <c r="I61" s="14">
        <f>H61/B3</f>
        <v>0</v>
      </c>
      <c r="J61" s="2">
        <v>0.0</v>
      </c>
      <c r="K61" s="2">
        <v>0.0</v>
      </c>
      <c r="L61" s="2">
        <v>0.0</v>
      </c>
    </row>
    <row r="62">
      <c r="A62" s="12">
        <v>45531.0</v>
      </c>
      <c r="B62" s="6" t="s">
        <v>44</v>
      </c>
      <c r="C62" s="2">
        <v>0.0</v>
      </c>
      <c r="D62" s="16">
        <f t="shared" si="3"/>
        <v>0</v>
      </c>
      <c r="E62" s="17">
        <f>D62/B1</f>
        <v>0</v>
      </c>
      <c r="F62" s="16">
        <f t="shared" si="4"/>
        <v>0</v>
      </c>
      <c r="G62" s="17">
        <f>F62/B2</f>
        <v>0</v>
      </c>
      <c r="H62" s="15">
        <f t="shared" si="5"/>
        <v>0</v>
      </c>
      <c r="I62" s="14">
        <f>H62/B3</f>
        <v>0</v>
      </c>
      <c r="J62" s="2">
        <v>0.0</v>
      </c>
      <c r="K62" s="2">
        <v>0.0</v>
      </c>
      <c r="L62" s="2">
        <v>0.0</v>
      </c>
    </row>
    <row r="63">
      <c r="A63" s="12">
        <v>45532.0</v>
      </c>
      <c r="B63" s="6" t="s">
        <v>43</v>
      </c>
      <c r="C63" s="2">
        <v>0.0</v>
      </c>
      <c r="D63" s="16">
        <f t="shared" si="3"/>
        <v>0</v>
      </c>
      <c r="E63" s="17">
        <f>D63/B1</f>
        <v>0</v>
      </c>
      <c r="F63" s="16">
        <f t="shared" si="4"/>
        <v>0</v>
      </c>
      <c r="G63" s="17">
        <f>F63/B2</f>
        <v>0</v>
      </c>
      <c r="H63" s="15">
        <f t="shared" si="5"/>
        <v>0</v>
      </c>
      <c r="I63" s="14">
        <f>H63/B3</f>
        <v>0</v>
      </c>
      <c r="J63" s="2">
        <v>0.0</v>
      </c>
      <c r="K63" s="2">
        <v>0.0</v>
      </c>
      <c r="L63" s="2">
        <v>0.0</v>
      </c>
    </row>
    <row r="64">
      <c r="A64" s="12">
        <v>45532.0</v>
      </c>
      <c r="B64" s="6" t="s">
        <v>27</v>
      </c>
      <c r="C64" s="2">
        <v>0.0</v>
      </c>
      <c r="D64" s="16">
        <f t="shared" si="3"/>
        <v>0</v>
      </c>
      <c r="E64" s="17">
        <f>D64/B1</f>
        <v>0</v>
      </c>
      <c r="F64" s="16">
        <f t="shared" si="4"/>
        <v>0</v>
      </c>
      <c r="G64" s="17">
        <f>F64/B2</f>
        <v>0</v>
      </c>
      <c r="H64" s="15">
        <f t="shared" si="5"/>
        <v>0</v>
      </c>
      <c r="I64" s="14">
        <f>H64/B3</f>
        <v>0</v>
      </c>
      <c r="J64" s="2">
        <v>0.0</v>
      </c>
      <c r="K64" s="2">
        <v>0.0</v>
      </c>
      <c r="L64" s="2">
        <v>0.0</v>
      </c>
    </row>
    <row r="65">
      <c r="A65" s="12">
        <v>45532.0</v>
      </c>
      <c r="B65" s="6" t="s">
        <v>44</v>
      </c>
      <c r="C65" s="2">
        <v>0.0</v>
      </c>
      <c r="D65" s="16">
        <f t="shared" si="3"/>
        <v>0</v>
      </c>
      <c r="E65" s="17">
        <f>D65/B1</f>
        <v>0</v>
      </c>
      <c r="F65" s="16">
        <f t="shared" si="4"/>
        <v>0</v>
      </c>
      <c r="G65" s="17">
        <f>F65/B2</f>
        <v>0</v>
      </c>
      <c r="H65" s="15">
        <f t="shared" si="5"/>
        <v>0</v>
      </c>
      <c r="I65" s="14">
        <f>H65/B3</f>
        <v>0</v>
      </c>
      <c r="J65" s="2">
        <v>0.0</v>
      </c>
      <c r="K65" s="2">
        <v>0.0</v>
      </c>
      <c r="L65" s="2">
        <v>0.0</v>
      </c>
    </row>
    <row r="66">
      <c r="A66" s="12">
        <v>45533.0</v>
      </c>
      <c r="B66" s="6" t="s">
        <v>43</v>
      </c>
      <c r="C66" s="2">
        <v>0.0</v>
      </c>
      <c r="D66" s="16">
        <f t="shared" si="3"/>
        <v>0</v>
      </c>
      <c r="E66" s="17">
        <f>D66/B1</f>
        <v>0</v>
      </c>
      <c r="F66" s="16">
        <f t="shared" si="4"/>
        <v>0</v>
      </c>
      <c r="G66" s="17">
        <f>F66/B2</f>
        <v>0</v>
      </c>
      <c r="H66" s="15">
        <f t="shared" si="5"/>
        <v>0</v>
      </c>
      <c r="I66" s="14">
        <f>H66/B3</f>
        <v>0</v>
      </c>
      <c r="J66" s="2">
        <v>0.0</v>
      </c>
      <c r="K66" s="2">
        <v>0.0</v>
      </c>
      <c r="L66" s="2">
        <v>0.0</v>
      </c>
    </row>
    <row r="67">
      <c r="A67" s="12">
        <v>45533.0</v>
      </c>
      <c r="B67" s="6" t="s">
        <v>27</v>
      </c>
      <c r="C67" s="2">
        <v>0.0</v>
      </c>
      <c r="D67" s="16">
        <f t="shared" si="3"/>
        <v>0</v>
      </c>
      <c r="E67" s="17">
        <f>D67/B1</f>
        <v>0</v>
      </c>
      <c r="F67" s="16">
        <f t="shared" si="4"/>
        <v>0</v>
      </c>
      <c r="G67" s="17">
        <f>F67/B2</f>
        <v>0</v>
      </c>
      <c r="H67" s="15">
        <f t="shared" si="5"/>
        <v>0</v>
      </c>
      <c r="I67" s="14">
        <f>H67/B3</f>
        <v>0</v>
      </c>
      <c r="J67" s="2">
        <v>0.0</v>
      </c>
      <c r="K67" s="2">
        <v>0.0</v>
      </c>
      <c r="L67" s="2">
        <v>0.0</v>
      </c>
    </row>
    <row r="68">
      <c r="A68" s="12">
        <v>45533.0</v>
      </c>
      <c r="B68" s="6" t="s">
        <v>44</v>
      </c>
      <c r="C68" s="2">
        <v>0.0</v>
      </c>
      <c r="D68" s="16">
        <f t="shared" si="3"/>
        <v>0</v>
      </c>
      <c r="E68" s="17">
        <f>D68/B1</f>
        <v>0</v>
      </c>
      <c r="F68" s="16">
        <f t="shared" si="4"/>
        <v>0</v>
      </c>
      <c r="G68" s="17">
        <f>F68/B2</f>
        <v>0</v>
      </c>
      <c r="H68" s="15">
        <f t="shared" si="5"/>
        <v>0</v>
      </c>
      <c r="I68" s="14">
        <f>H68/B3</f>
        <v>0</v>
      </c>
      <c r="J68" s="2">
        <v>0.0</v>
      </c>
      <c r="K68" s="2">
        <v>0.0</v>
      </c>
      <c r="L68" s="2">
        <v>0.0</v>
      </c>
    </row>
    <row r="69">
      <c r="A69" s="12">
        <v>45534.0</v>
      </c>
      <c r="B69" s="6" t="s">
        <v>43</v>
      </c>
      <c r="C69" s="2">
        <v>0.0</v>
      </c>
      <c r="D69" s="16">
        <f t="shared" si="3"/>
        <v>0</v>
      </c>
      <c r="E69" s="17">
        <f>D69/B1</f>
        <v>0</v>
      </c>
      <c r="F69" s="16">
        <f t="shared" si="4"/>
        <v>0</v>
      </c>
      <c r="G69" s="17">
        <f>F69/B2</f>
        <v>0</v>
      </c>
      <c r="H69" s="15">
        <f t="shared" si="5"/>
        <v>0</v>
      </c>
      <c r="I69" s="14">
        <f>H69/B3</f>
        <v>0</v>
      </c>
      <c r="J69" s="2">
        <v>0.0</v>
      </c>
      <c r="K69" s="2">
        <v>0.0</v>
      </c>
      <c r="L69" s="2">
        <v>0.0</v>
      </c>
    </row>
    <row r="70">
      <c r="A70" s="12">
        <v>45534.0</v>
      </c>
      <c r="B70" s="6" t="s">
        <v>27</v>
      </c>
      <c r="C70" s="2">
        <v>0.0</v>
      </c>
      <c r="D70" s="16">
        <f t="shared" si="3"/>
        <v>0</v>
      </c>
      <c r="E70" s="17">
        <f>D70/B1</f>
        <v>0</v>
      </c>
      <c r="F70" s="16">
        <f t="shared" si="4"/>
        <v>0</v>
      </c>
      <c r="G70" s="17">
        <f>F70/B2</f>
        <v>0</v>
      </c>
      <c r="H70" s="15">
        <f t="shared" si="5"/>
        <v>0</v>
      </c>
      <c r="I70" s="14">
        <f>H70/B3</f>
        <v>0</v>
      </c>
      <c r="J70" s="2">
        <v>0.0</v>
      </c>
      <c r="K70" s="2">
        <v>0.0</v>
      </c>
      <c r="L70" s="2">
        <v>0.0</v>
      </c>
    </row>
    <row r="71">
      <c r="A71" s="12">
        <v>45534.0</v>
      </c>
      <c r="B71" s="6" t="s">
        <v>44</v>
      </c>
      <c r="C71" s="2">
        <v>0.0</v>
      </c>
      <c r="D71" s="16">
        <f t="shared" si="3"/>
        <v>0</v>
      </c>
      <c r="E71" s="17">
        <f>D71/B1</f>
        <v>0</v>
      </c>
      <c r="F71" s="16">
        <f t="shared" si="4"/>
        <v>0</v>
      </c>
      <c r="G71" s="17">
        <f>F71/B2</f>
        <v>0</v>
      </c>
      <c r="H71" s="15">
        <f t="shared" si="5"/>
        <v>0</v>
      </c>
      <c r="I71" s="14">
        <f>H71/B3</f>
        <v>0</v>
      </c>
      <c r="J71" s="2">
        <v>0.0</v>
      </c>
      <c r="K71" s="2">
        <v>0.0</v>
      </c>
      <c r="L71" s="2">
        <v>0.0</v>
      </c>
    </row>
    <row r="72">
      <c r="A72" s="12">
        <v>45535.0</v>
      </c>
      <c r="B72" s="6" t="s">
        <v>43</v>
      </c>
      <c r="C72" s="2">
        <v>0.0</v>
      </c>
      <c r="D72" s="16">
        <f t="shared" si="3"/>
        <v>0</v>
      </c>
      <c r="E72" s="17">
        <f>D72/B1</f>
        <v>0</v>
      </c>
      <c r="F72" s="16">
        <f t="shared" si="4"/>
        <v>0</v>
      </c>
      <c r="G72" s="17">
        <f>F72/B2</f>
        <v>0</v>
      </c>
      <c r="H72" s="15">
        <f t="shared" si="5"/>
        <v>0</v>
      </c>
      <c r="I72" s="14">
        <f>H72/B3</f>
        <v>0</v>
      </c>
      <c r="J72" s="2">
        <v>0.0</v>
      </c>
      <c r="K72" s="2">
        <v>0.0</v>
      </c>
      <c r="L72" s="2">
        <v>0.0</v>
      </c>
    </row>
    <row r="73">
      <c r="A73" s="12">
        <v>45535.0</v>
      </c>
      <c r="B73" s="6" t="s">
        <v>27</v>
      </c>
      <c r="C73" s="2">
        <v>0.0</v>
      </c>
      <c r="D73" s="16">
        <f t="shared" si="3"/>
        <v>0</v>
      </c>
      <c r="E73" s="17">
        <f>D73/B1</f>
        <v>0</v>
      </c>
      <c r="F73" s="16">
        <f t="shared" si="4"/>
        <v>0</v>
      </c>
      <c r="G73" s="17">
        <f>F73/B2</f>
        <v>0</v>
      </c>
      <c r="H73" s="15">
        <f t="shared" si="5"/>
        <v>0</v>
      </c>
      <c r="I73" s="14">
        <f>H73/B3</f>
        <v>0</v>
      </c>
      <c r="J73" s="2">
        <v>0.0</v>
      </c>
      <c r="K73" s="2">
        <v>0.0</v>
      </c>
      <c r="L73" s="2">
        <v>0.0</v>
      </c>
    </row>
    <row r="74">
      <c r="A74" s="12">
        <v>45535.0</v>
      </c>
      <c r="B74" s="6" t="s">
        <v>44</v>
      </c>
      <c r="C74" s="2">
        <v>0.0</v>
      </c>
      <c r="D74" s="16">
        <f t="shared" si="3"/>
        <v>0</v>
      </c>
      <c r="E74" s="17">
        <f>D74/B1</f>
        <v>0</v>
      </c>
      <c r="F74" s="16">
        <f t="shared" si="4"/>
        <v>0</v>
      </c>
      <c r="G74" s="17">
        <f>F74/B2</f>
        <v>0</v>
      </c>
      <c r="H74" s="15">
        <f t="shared" si="5"/>
        <v>0</v>
      </c>
      <c r="I74" s="14">
        <f>H74/B3</f>
        <v>0</v>
      </c>
      <c r="J74" s="2">
        <v>0.0</v>
      </c>
      <c r="K74" s="2">
        <v>0.0</v>
      </c>
      <c r="L74" s="2">
        <v>0.0</v>
      </c>
    </row>
    <row r="75">
      <c r="A75" s="12">
        <v>45536.0</v>
      </c>
      <c r="B75" s="6" t="s">
        <v>43</v>
      </c>
      <c r="C75" s="2">
        <v>0.0</v>
      </c>
      <c r="D75" s="16">
        <f t="shared" si="3"/>
        <v>0</v>
      </c>
      <c r="E75" s="17">
        <f>D75/B1</f>
        <v>0</v>
      </c>
      <c r="F75" s="16">
        <f t="shared" si="4"/>
        <v>0</v>
      </c>
      <c r="G75" s="17">
        <f>F75/B2</f>
        <v>0</v>
      </c>
      <c r="H75" s="15">
        <f t="shared" si="5"/>
        <v>0</v>
      </c>
      <c r="I75" s="14">
        <f>H75/B3</f>
        <v>0</v>
      </c>
      <c r="J75" s="2">
        <v>0.0</v>
      </c>
      <c r="K75" s="2">
        <v>0.0</v>
      </c>
      <c r="L75" s="2">
        <v>0.0</v>
      </c>
    </row>
    <row r="76">
      <c r="A76" s="12">
        <v>45536.0</v>
      </c>
      <c r="B76" s="6" t="s">
        <v>27</v>
      </c>
      <c r="C76" s="2">
        <v>0.0</v>
      </c>
      <c r="D76" s="16">
        <f t="shared" si="3"/>
        <v>0</v>
      </c>
      <c r="E76" s="17">
        <f>D76/B1</f>
        <v>0</v>
      </c>
      <c r="F76" s="16">
        <f t="shared" si="4"/>
        <v>0</v>
      </c>
      <c r="G76" s="17">
        <f>F76/B2</f>
        <v>0</v>
      </c>
      <c r="H76" s="15">
        <f t="shared" si="5"/>
        <v>0</v>
      </c>
      <c r="I76" s="14">
        <f>H76/B3</f>
        <v>0</v>
      </c>
      <c r="J76" s="2">
        <v>0.0</v>
      </c>
      <c r="K76" s="2">
        <v>0.0</v>
      </c>
      <c r="L76" s="2">
        <v>0.0</v>
      </c>
    </row>
    <row r="77">
      <c r="A77" s="12">
        <v>45536.0</v>
      </c>
      <c r="B77" s="6" t="s">
        <v>44</v>
      </c>
      <c r="C77" s="2">
        <v>0.0</v>
      </c>
      <c r="D77" s="16">
        <f t="shared" si="3"/>
        <v>0</v>
      </c>
      <c r="E77" s="17">
        <f>D77/B1</f>
        <v>0</v>
      </c>
      <c r="F77" s="16">
        <f t="shared" si="4"/>
        <v>0</v>
      </c>
      <c r="G77" s="17">
        <f>F77/B2</f>
        <v>0</v>
      </c>
      <c r="H77" s="15">
        <f t="shared" si="5"/>
        <v>0</v>
      </c>
      <c r="I77" s="14">
        <f>H77/B3</f>
        <v>0</v>
      </c>
      <c r="J77" s="2">
        <v>0.0</v>
      </c>
      <c r="K77" s="2">
        <v>0.0</v>
      </c>
      <c r="L77" s="2">
        <v>0.0</v>
      </c>
    </row>
    <row r="78">
      <c r="A78" s="12">
        <v>45537.0</v>
      </c>
      <c r="B78" s="6" t="s">
        <v>43</v>
      </c>
      <c r="C78" s="2">
        <v>0.0</v>
      </c>
      <c r="D78" s="16">
        <f t="shared" si="3"/>
        <v>0</v>
      </c>
      <c r="E78" s="17">
        <f>D78/B1</f>
        <v>0</v>
      </c>
      <c r="F78" s="16">
        <f t="shared" si="4"/>
        <v>0</v>
      </c>
      <c r="G78" s="17">
        <f>F78/B2</f>
        <v>0</v>
      </c>
      <c r="H78" s="15">
        <f t="shared" si="5"/>
        <v>0</v>
      </c>
      <c r="I78" s="14">
        <f>H78/B3</f>
        <v>0</v>
      </c>
      <c r="J78" s="2">
        <v>0.0</v>
      </c>
      <c r="K78" s="2">
        <v>0.0</v>
      </c>
      <c r="L78" s="2">
        <v>0.0</v>
      </c>
    </row>
    <row r="79">
      <c r="A79" s="12">
        <v>45537.0</v>
      </c>
      <c r="B79" s="6" t="s">
        <v>27</v>
      </c>
      <c r="C79" s="2">
        <v>0.0</v>
      </c>
      <c r="D79" s="16">
        <f t="shared" si="3"/>
        <v>0</v>
      </c>
      <c r="E79" s="17">
        <f>D79/B1</f>
        <v>0</v>
      </c>
      <c r="F79" s="16">
        <f t="shared" si="4"/>
        <v>0</v>
      </c>
      <c r="G79" s="17">
        <f>F79/B2</f>
        <v>0</v>
      </c>
      <c r="H79" s="15">
        <f t="shared" si="5"/>
        <v>0</v>
      </c>
      <c r="I79" s="14">
        <f>H79/B3</f>
        <v>0</v>
      </c>
      <c r="J79" s="2">
        <v>0.0</v>
      </c>
      <c r="K79" s="2">
        <v>0.0</v>
      </c>
      <c r="L79" s="2">
        <v>0.0</v>
      </c>
    </row>
    <row r="80">
      <c r="A80" s="12">
        <v>45537.0</v>
      </c>
      <c r="B80" s="6" t="s">
        <v>44</v>
      </c>
      <c r="C80" s="2">
        <v>0.0</v>
      </c>
      <c r="D80" s="16">
        <f t="shared" si="3"/>
        <v>0</v>
      </c>
      <c r="E80" s="17">
        <f>D80/B1</f>
        <v>0</v>
      </c>
      <c r="F80" s="16">
        <f t="shared" si="4"/>
        <v>0</v>
      </c>
      <c r="G80" s="17">
        <f>F80/B2</f>
        <v>0</v>
      </c>
      <c r="H80" s="15">
        <f t="shared" si="5"/>
        <v>0</v>
      </c>
      <c r="I80" s="14">
        <f>H80/B3</f>
        <v>0</v>
      </c>
      <c r="J80" s="2">
        <v>0.0</v>
      </c>
      <c r="K80" s="2">
        <v>0.0</v>
      </c>
      <c r="L80" s="2">
        <v>0.0</v>
      </c>
    </row>
    <row r="81">
      <c r="A81" s="12">
        <v>45538.0</v>
      </c>
      <c r="B81" s="6" t="s">
        <v>43</v>
      </c>
      <c r="C81" s="2">
        <v>0.0</v>
      </c>
      <c r="D81" s="16">
        <f t="shared" si="3"/>
        <v>0</v>
      </c>
      <c r="E81" s="17">
        <f>D81/B1</f>
        <v>0</v>
      </c>
      <c r="F81" s="16">
        <f t="shared" si="4"/>
        <v>0</v>
      </c>
      <c r="G81" s="17">
        <f>F81/B2</f>
        <v>0</v>
      </c>
      <c r="H81" s="15">
        <f t="shared" si="5"/>
        <v>0</v>
      </c>
      <c r="I81" s="14">
        <f>H81/B3</f>
        <v>0</v>
      </c>
      <c r="J81" s="2">
        <v>0.0</v>
      </c>
      <c r="K81" s="2">
        <v>0.0</v>
      </c>
      <c r="L81" s="2">
        <v>0.0</v>
      </c>
    </row>
    <row r="82">
      <c r="A82" s="12">
        <v>45538.0</v>
      </c>
      <c r="B82" s="6" t="s">
        <v>27</v>
      </c>
      <c r="C82" s="2">
        <v>0.0</v>
      </c>
      <c r="D82" s="16">
        <f t="shared" si="3"/>
        <v>0</v>
      </c>
      <c r="E82" s="17">
        <f>D82/B1</f>
        <v>0</v>
      </c>
      <c r="F82" s="16">
        <f t="shared" si="4"/>
        <v>0</v>
      </c>
      <c r="G82" s="17">
        <f>F82/B2</f>
        <v>0</v>
      </c>
      <c r="H82" s="15">
        <f t="shared" si="5"/>
        <v>0</v>
      </c>
      <c r="I82" s="14">
        <f>H82/B3</f>
        <v>0</v>
      </c>
      <c r="J82" s="2">
        <v>0.0</v>
      </c>
      <c r="K82" s="2">
        <v>0.0</v>
      </c>
      <c r="L82" s="2">
        <v>0.0</v>
      </c>
    </row>
    <row r="83">
      <c r="A83" s="12">
        <v>45538.0</v>
      </c>
      <c r="B83" s="6" t="s">
        <v>44</v>
      </c>
      <c r="C83" s="2">
        <v>0.0</v>
      </c>
      <c r="D83" s="16">
        <f t="shared" si="3"/>
        <v>0</v>
      </c>
      <c r="E83" s="17">
        <f>D83/B1</f>
        <v>0</v>
      </c>
      <c r="F83" s="16">
        <f t="shared" si="4"/>
        <v>0</v>
      </c>
      <c r="G83" s="17">
        <f>F83/B2</f>
        <v>0</v>
      </c>
      <c r="H83" s="15">
        <f t="shared" si="5"/>
        <v>0</v>
      </c>
      <c r="I83" s="14">
        <f>H83/B3</f>
        <v>0</v>
      </c>
      <c r="J83" s="2">
        <v>0.0</v>
      </c>
      <c r="K83" s="2">
        <v>0.0</v>
      </c>
      <c r="L83" s="2">
        <v>0.0</v>
      </c>
    </row>
    <row r="84">
      <c r="A84" s="12">
        <v>45539.0</v>
      </c>
      <c r="B84" s="6" t="s">
        <v>43</v>
      </c>
      <c r="C84" s="2">
        <v>0.0</v>
      </c>
      <c r="D84" s="16">
        <f t="shared" si="3"/>
        <v>0</v>
      </c>
      <c r="E84" s="17">
        <f>D84/B1</f>
        <v>0</v>
      </c>
      <c r="F84" s="16">
        <f t="shared" si="4"/>
        <v>0</v>
      </c>
      <c r="G84" s="17">
        <f>F84/B2</f>
        <v>0</v>
      </c>
      <c r="H84" s="15">
        <f t="shared" si="5"/>
        <v>0</v>
      </c>
      <c r="I84" s="14">
        <f>H84/B3</f>
        <v>0</v>
      </c>
      <c r="J84" s="2">
        <v>0.0</v>
      </c>
      <c r="K84" s="2">
        <v>0.0</v>
      </c>
      <c r="L84" s="2">
        <v>0.0</v>
      </c>
    </row>
    <row r="85">
      <c r="A85" s="12">
        <v>45539.0</v>
      </c>
      <c r="B85" s="6" t="s">
        <v>27</v>
      </c>
      <c r="C85" s="2">
        <v>0.0</v>
      </c>
      <c r="D85" s="16">
        <f t="shared" si="3"/>
        <v>0</v>
      </c>
      <c r="E85" s="17">
        <f>D85/B1</f>
        <v>0</v>
      </c>
      <c r="F85" s="16">
        <f t="shared" si="4"/>
        <v>0</v>
      </c>
      <c r="G85" s="17">
        <f>F85/B2</f>
        <v>0</v>
      </c>
      <c r="H85" s="15">
        <f t="shared" si="5"/>
        <v>0</v>
      </c>
      <c r="I85" s="14">
        <f>H85/B3</f>
        <v>0</v>
      </c>
      <c r="J85" s="2">
        <v>0.0</v>
      </c>
      <c r="K85" s="2">
        <v>0.0</v>
      </c>
      <c r="L85" s="2">
        <v>0.0</v>
      </c>
    </row>
    <row r="86">
      <c r="A86" s="12">
        <v>45539.0</v>
      </c>
      <c r="B86" s="6" t="s">
        <v>44</v>
      </c>
      <c r="C86" s="2">
        <v>0.0</v>
      </c>
      <c r="D86" s="16">
        <f t="shared" si="3"/>
        <v>0</v>
      </c>
      <c r="E86" s="17">
        <f>D86/B1</f>
        <v>0</v>
      </c>
      <c r="F86" s="16">
        <f t="shared" si="4"/>
        <v>0</v>
      </c>
      <c r="G86" s="17">
        <f>F86/B2</f>
        <v>0</v>
      </c>
      <c r="H86" s="15">
        <f t="shared" si="5"/>
        <v>0</v>
      </c>
      <c r="I86" s="14">
        <f>H86/B3</f>
        <v>0</v>
      </c>
      <c r="J86" s="2">
        <v>0.0</v>
      </c>
      <c r="K86" s="2">
        <v>0.0</v>
      </c>
      <c r="L86" s="2">
        <v>0.0</v>
      </c>
    </row>
    <row r="87">
      <c r="A87" s="12">
        <v>45540.0</v>
      </c>
      <c r="B87" s="6" t="s">
        <v>43</v>
      </c>
      <c r="C87" s="2">
        <v>0.0</v>
      </c>
      <c r="D87" s="16">
        <f t="shared" si="3"/>
        <v>0</v>
      </c>
      <c r="E87" s="17">
        <f>D87/B1</f>
        <v>0</v>
      </c>
      <c r="F87" s="16">
        <f t="shared" si="4"/>
        <v>0</v>
      </c>
      <c r="G87" s="17">
        <f>F87/B2</f>
        <v>0</v>
      </c>
      <c r="H87" s="15">
        <f t="shared" si="5"/>
        <v>0</v>
      </c>
      <c r="I87" s="14">
        <f>H87/B3</f>
        <v>0</v>
      </c>
      <c r="J87" s="2">
        <v>0.0</v>
      </c>
      <c r="K87" s="2">
        <v>0.0</v>
      </c>
      <c r="L87" s="2">
        <v>0.0</v>
      </c>
    </row>
    <row r="88">
      <c r="A88" s="12">
        <v>45540.0</v>
      </c>
      <c r="B88" s="6" t="s">
        <v>27</v>
      </c>
      <c r="C88" s="2">
        <v>0.0</v>
      </c>
      <c r="D88" s="16">
        <f t="shared" si="3"/>
        <v>0</v>
      </c>
      <c r="E88" s="17">
        <f>D88/B1</f>
        <v>0</v>
      </c>
      <c r="F88" s="16">
        <f t="shared" si="4"/>
        <v>0</v>
      </c>
      <c r="G88" s="17">
        <f>F88/B2</f>
        <v>0</v>
      </c>
      <c r="H88" s="15">
        <f t="shared" si="5"/>
        <v>0</v>
      </c>
      <c r="I88" s="14">
        <f>H88/B3</f>
        <v>0</v>
      </c>
      <c r="J88" s="2">
        <v>0.0</v>
      </c>
      <c r="K88" s="2">
        <v>0.0</v>
      </c>
      <c r="L88" s="2">
        <v>0.0</v>
      </c>
    </row>
    <row r="89">
      <c r="A89" s="12">
        <v>45540.0</v>
      </c>
      <c r="B89" s="6" t="s">
        <v>44</v>
      </c>
      <c r="C89" s="2">
        <v>0.0</v>
      </c>
      <c r="D89" s="16">
        <f t="shared" si="3"/>
        <v>0</v>
      </c>
      <c r="E89" s="17">
        <f>D89/B1</f>
        <v>0</v>
      </c>
      <c r="F89" s="16">
        <f t="shared" si="4"/>
        <v>0</v>
      </c>
      <c r="G89" s="17">
        <f>F89/B2</f>
        <v>0</v>
      </c>
      <c r="H89" s="15">
        <f t="shared" si="5"/>
        <v>0</v>
      </c>
      <c r="I89" s="14">
        <f>H89/B3</f>
        <v>0</v>
      </c>
      <c r="J89" s="2">
        <v>0.0</v>
      </c>
      <c r="K89" s="2">
        <v>0.0</v>
      </c>
      <c r="L89" s="2">
        <v>0.0</v>
      </c>
    </row>
    <row r="90">
      <c r="A90" s="12">
        <v>45541.0</v>
      </c>
      <c r="B90" s="6" t="s">
        <v>43</v>
      </c>
      <c r="C90" s="2">
        <v>0.0</v>
      </c>
      <c r="D90" s="16">
        <f t="shared" si="3"/>
        <v>0</v>
      </c>
      <c r="E90" s="17">
        <f>D90/B1</f>
        <v>0</v>
      </c>
      <c r="F90" s="16">
        <f t="shared" si="4"/>
        <v>0</v>
      </c>
      <c r="G90" s="17">
        <f>F90/B2</f>
        <v>0</v>
      </c>
      <c r="H90" s="15">
        <f t="shared" si="5"/>
        <v>0</v>
      </c>
      <c r="I90" s="14">
        <f>H90/B3</f>
        <v>0</v>
      </c>
      <c r="J90" s="2">
        <v>0.0</v>
      </c>
      <c r="K90" s="2">
        <v>0.0</v>
      </c>
      <c r="L90" s="2">
        <v>0.0</v>
      </c>
    </row>
    <row r="91">
      <c r="A91" s="12">
        <v>45541.0</v>
      </c>
      <c r="B91" s="6" t="s">
        <v>27</v>
      </c>
      <c r="C91" s="2">
        <v>0.0</v>
      </c>
      <c r="D91" s="16">
        <f t="shared" si="3"/>
        <v>0</v>
      </c>
      <c r="E91" s="17">
        <f>D91/B1</f>
        <v>0</v>
      </c>
      <c r="F91" s="16">
        <f t="shared" si="4"/>
        <v>0</v>
      </c>
      <c r="G91" s="17">
        <f>F91/B2</f>
        <v>0</v>
      </c>
      <c r="H91" s="15">
        <f t="shared" si="5"/>
        <v>0</v>
      </c>
      <c r="I91" s="14">
        <f>H91/B3</f>
        <v>0</v>
      </c>
      <c r="J91" s="2">
        <v>0.0</v>
      </c>
      <c r="K91" s="2">
        <v>0.0</v>
      </c>
      <c r="L91" s="2">
        <v>0.0</v>
      </c>
    </row>
    <row r="92">
      <c r="A92" s="12">
        <v>45541.0</v>
      </c>
      <c r="B92" s="6" t="s">
        <v>44</v>
      </c>
      <c r="C92" s="2">
        <v>0.0</v>
      </c>
      <c r="D92" s="16">
        <f t="shared" si="3"/>
        <v>0</v>
      </c>
      <c r="E92" s="17">
        <f>D92/B1</f>
        <v>0</v>
      </c>
      <c r="F92" s="16">
        <f t="shared" si="4"/>
        <v>0</v>
      </c>
      <c r="G92" s="17">
        <f>F92/B2</f>
        <v>0</v>
      </c>
      <c r="H92" s="15">
        <f t="shared" si="5"/>
        <v>0</v>
      </c>
      <c r="I92" s="14">
        <f>H92/B3</f>
        <v>0</v>
      </c>
      <c r="J92" s="2">
        <v>0.0</v>
      </c>
      <c r="K92" s="2">
        <v>0.0</v>
      </c>
      <c r="L92" s="2">
        <v>0.0</v>
      </c>
    </row>
    <row r="93">
      <c r="A93" s="12">
        <v>45542.0</v>
      </c>
      <c r="B93" s="6" t="s">
        <v>43</v>
      </c>
      <c r="C93" s="2">
        <v>0.0</v>
      </c>
      <c r="D93" s="16">
        <f t="shared" si="3"/>
        <v>0</v>
      </c>
      <c r="E93" s="17">
        <f>D93/B1</f>
        <v>0</v>
      </c>
      <c r="F93" s="16">
        <f t="shared" si="4"/>
        <v>0</v>
      </c>
      <c r="G93" s="17">
        <f>F93/B2</f>
        <v>0</v>
      </c>
      <c r="H93" s="15">
        <f t="shared" si="5"/>
        <v>0</v>
      </c>
      <c r="I93" s="14">
        <f>H93/B3</f>
        <v>0</v>
      </c>
      <c r="J93" s="2">
        <v>0.0</v>
      </c>
      <c r="K93" s="2">
        <v>0.0</v>
      </c>
      <c r="L93" s="2">
        <v>0.0</v>
      </c>
    </row>
    <row r="94">
      <c r="A94" s="12">
        <v>45542.0</v>
      </c>
      <c r="B94" s="6" t="s">
        <v>27</v>
      </c>
      <c r="C94" s="2">
        <v>0.0</v>
      </c>
      <c r="D94" s="16">
        <f t="shared" si="3"/>
        <v>0</v>
      </c>
      <c r="E94" s="17">
        <f>D94/B1</f>
        <v>0</v>
      </c>
      <c r="F94" s="16">
        <f t="shared" si="4"/>
        <v>0</v>
      </c>
      <c r="G94" s="17">
        <f>F94/B2</f>
        <v>0</v>
      </c>
      <c r="H94" s="15">
        <f t="shared" si="5"/>
        <v>0</v>
      </c>
      <c r="I94" s="14">
        <f>H94/B3</f>
        <v>0</v>
      </c>
      <c r="J94" s="2">
        <v>0.0</v>
      </c>
      <c r="K94" s="2">
        <v>0.0</v>
      </c>
      <c r="L94" s="2">
        <v>0.0</v>
      </c>
    </row>
    <row r="95">
      <c r="A95" s="12">
        <v>45542.0</v>
      </c>
      <c r="B95" s="6" t="s">
        <v>44</v>
      </c>
      <c r="C95" s="2">
        <v>0.0</v>
      </c>
      <c r="D95" s="16">
        <f t="shared" si="3"/>
        <v>0</v>
      </c>
      <c r="E95" s="17">
        <f>D95/B1</f>
        <v>0</v>
      </c>
      <c r="F95" s="16">
        <f t="shared" si="4"/>
        <v>0</v>
      </c>
      <c r="G95" s="17">
        <f>F95/B2</f>
        <v>0</v>
      </c>
      <c r="H95" s="15">
        <f t="shared" si="5"/>
        <v>0</v>
      </c>
      <c r="I95" s="14">
        <f>H95/B3</f>
        <v>0</v>
      </c>
      <c r="J95" s="2">
        <v>0.0</v>
      </c>
      <c r="K95" s="2">
        <v>0.0</v>
      </c>
      <c r="L95" s="2">
        <v>0.0</v>
      </c>
    </row>
    <row r="96">
      <c r="A96" s="12">
        <v>45543.0</v>
      </c>
      <c r="B96" s="6" t="s">
        <v>43</v>
      </c>
      <c r="C96" s="2">
        <v>0.0</v>
      </c>
      <c r="D96" s="16">
        <f t="shared" si="3"/>
        <v>0</v>
      </c>
      <c r="E96" s="17">
        <f>D96/B1</f>
        <v>0</v>
      </c>
      <c r="F96" s="16">
        <f t="shared" si="4"/>
        <v>0</v>
      </c>
      <c r="G96" s="17">
        <f>F96/B2</f>
        <v>0</v>
      </c>
      <c r="H96" s="15">
        <f t="shared" si="5"/>
        <v>0</v>
      </c>
      <c r="I96" s="14">
        <f>H96/B3</f>
        <v>0</v>
      </c>
      <c r="J96" s="2">
        <v>0.0</v>
      </c>
      <c r="K96" s="2">
        <v>0.0</v>
      </c>
      <c r="L96" s="2">
        <v>0.0</v>
      </c>
    </row>
    <row r="97">
      <c r="A97" s="12">
        <v>45543.0</v>
      </c>
      <c r="B97" s="6" t="s">
        <v>27</v>
      </c>
      <c r="C97" s="2">
        <v>0.0</v>
      </c>
      <c r="D97" s="16">
        <f t="shared" si="3"/>
        <v>0</v>
      </c>
      <c r="E97" s="17">
        <f>D97/B1</f>
        <v>0</v>
      </c>
      <c r="F97" s="16">
        <f t="shared" si="4"/>
        <v>0</v>
      </c>
      <c r="G97" s="17">
        <f>F97/B2</f>
        <v>0</v>
      </c>
      <c r="H97" s="15">
        <f t="shared" si="5"/>
        <v>0</v>
      </c>
      <c r="I97" s="14">
        <f>H97/B3</f>
        <v>0</v>
      </c>
      <c r="J97" s="2">
        <v>0.0</v>
      </c>
      <c r="K97" s="2">
        <v>0.0</v>
      </c>
      <c r="L97" s="2">
        <v>0.0</v>
      </c>
    </row>
    <row r="98">
      <c r="A98" s="12">
        <v>45543.0</v>
      </c>
      <c r="B98" s="6" t="s">
        <v>44</v>
      </c>
      <c r="C98" s="2">
        <v>0.0</v>
      </c>
      <c r="D98" s="16">
        <f t="shared" si="3"/>
        <v>0</v>
      </c>
      <c r="E98" s="17">
        <f>D98/B1</f>
        <v>0</v>
      </c>
      <c r="F98" s="16">
        <f t="shared" si="4"/>
        <v>0</v>
      </c>
      <c r="G98" s="17">
        <f>F98/B2</f>
        <v>0</v>
      </c>
      <c r="H98" s="15">
        <f t="shared" si="5"/>
        <v>0</v>
      </c>
      <c r="I98" s="14">
        <f>H98/B3</f>
        <v>0</v>
      </c>
      <c r="J98" s="2">
        <v>0.0</v>
      </c>
      <c r="K98" s="2">
        <v>0.0</v>
      </c>
      <c r="L98" s="2">
        <v>0.0</v>
      </c>
    </row>
    <row r="99">
      <c r="A99" s="12">
        <v>45544.0</v>
      </c>
      <c r="B99" s="6" t="s">
        <v>43</v>
      </c>
      <c r="C99" s="2">
        <v>0.0</v>
      </c>
      <c r="D99" s="16">
        <f t="shared" si="3"/>
        <v>0</v>
      </c>
      <c r="E99" s="17">
        <f>D99/B1</f>
        <v>0</v>
      </c>
      <c r="F99" s="16">
        <f t="shared" si="4"/>
        <v>0</v>
      </c>
      <c r="G99" s="17">
        <f>F99/B2</f>
        <v>0</v>
      </c>
      <c r="H99" s="15">
        <f t="shared" si="5"/>
        <v>0</v>
      </c>
      <c r="I99" s="14">
        <f>H99/B3</f>
        <v>0</v>
      </c>
      <c r="J99" s="2">
        <v>0.0</v>
      </c>
      <c r="K99" s="2">
        <v>0.0</v>
      </c>
      <c r="L99" s="2">
        <v>0.0</v>
      </c>
    </row>
    <row r="100">
      <c r="A100" s="12">
        <v>45544.0</v>
      </c>
      <c r="B100" s="6" t="s">
        <v>27</v>
      </c>
      <c r="C100" s="2">
        <v>0.0</v>
      </c>
      <c r="D100" s="16">
        <f t="shared" si="3"/>
        <v>0</v>
      </c>
      <c r="E100" s="17">
        <f>D100/B1</f>
        <v>0</v>
      </c>
      <c r="F100" s="16">
        <f t="shared" si="4"/>
        <v>0</v>
      </c>
      <c r="G100" s="17">
        <f>F100/B2</f>
        <v>0</v>
      </c>
      <c r="H100" s="15">
        <f t="shared" si="5"/>
        <v>0</v>
      </c>
      <c r="I100" s="14">
        <f>H100/B3</f>
        <v>0</v>
      </c>
      <c r="J100" s="2">
        <v>0.0</v>
      </c>
      <c r="K100" s="2">
        <v>0.0</v>
      </c>
      <c r="L100" s="2">
        <v>0.0</v>
      </c>
    </row>
    <row r="101">
      <c r="A101" s="12">
        <v>45544.0</v>
      </c>
      <c r="B101" s="6" t="s">
        <v>44</v>
      </c>
      <c r="C101" s="2">
        <v>0.0</v>
      </c>
      <c r="D101" s="16">
        <f t="shared" si="3"/>
        <v>0</v>
      </c>
      <c r="E101" s="17">
        <f>D101/B1</f>
        <v>0</v>
      </c>
      <c r="F101" s="16">
        <f t="shared" si="4"/>
        <v>0</v>
      </c>
      <c r="G101" s="17">
        <f>F101/B2</f>
        <v>0</v>
      </c>
      <c r="H101" s="15">
        <f t="shared" si="5"/>
        <v>0</v>
      </c>
      <c r="I101" s="14">
        <f>H101/B3</f>
        <v>0</v>
      </c>
      <c r="J101" s="2">
        <v>0.0</v>
      </c>
      <c r="K101" s="2">
        <v>0.0</v>
      </c>
      <c r="L101" s="2">
        <v>0.0</v>
      </c>
    </row>
    <row r="102">
      <c r="A102" s="12">
        <v>45545.0</v>
      </c>
      <c r="B102" s="6" t="s">
        <v>43</v>
      </c>
      <c r="C102" s="2">
        <v>0.0</v>
      </c>
      <c r="D102" s="16">
        <f t="shared" si="3"/>
        <v>0</v>
      </c>
      <c r="E102" s="17">
        <f>D102/B1</f>
        <v>0</v>
      </c>
      <c r="F102" s="16">
        <f t="shared" si="4"/>
        <v>0</v>
      </c>
      <c r="G102" s="17">
        <f>F102/B2</f>
        <v>0</v>
      </c>
      <c r="H102" s="15">
        <f t="shared" si="5"/>
        <v>0</v>
      </c>
      <c r="I102" s="14">
        <f>H102/B3</f>
        <v>0</v>
      </c>
      <c r="J102" s="2">
        <v>0.0</v>
      </c>
      <c r="K102" s="2">
        <v>0.0</v>
      </c>
      <c r="L102" s="2">
        <v>0.0</v>
      </c>
    </row>
    <row r="103">
      <c r="A103" s="12">
        <v>45545.0</v>
      </c>
      <c r="B103" s="6" t="s">
        <v>27</v>
      </c>
      <c r="C103" s="2">
        <v>0.0</v>
      </c>
      <c r="D103" s="16">
        <f t="shared" si="3"/>
        <v>0</v>
      </c>
      <c r="E103" s="17">
        <f>D103/B1</f>
        <v>0</v>
      </c>
      <c r="F103" s="16">
        <f t="shared" si="4"/>
        <v>0</v>
      </c>
      <c r="G103" s="17">
        <f>F103/B2</f>
        <v>0</v>
      </c>
      <c r="H103" s="15">
        <f t="shared" si="5"/>
        <v>0</v>
      </c>
      <c r="I103" s="14">
        <f>H103/B3</f>
        <v>0</v>
      </c>
      <c r="J103" s="2">
        <v>0.0</v>
      </c>
      <c r="K103" s="2">
        <v>0.0</v>
      </c>
      <c r="L103" s="2">
        <v>0.0</v>
      </c>
    </row>
    <row r="104">
      <c r="A104" s="12">
        <v>45545.0</v>
      </c>
      <c r="B104" s="6" t="s">
        <v>44</v>
      </c>
      <c r="C104" s="2">
        <v>0.0</v>
      </c>
      <c r="D104" s="16">
        <f t="shared" si="3"/>
        <v>0</v>
      </c>
      <c r="E104" s="17">
        <f>D104/B1</f>
        <v>0</v>
      </c>
      <c r="F104" s="16">
        <f t="shared" si="4"/>
        <v>0</v>
      </c>
      <c r="G104" s="17">
        <f>F104/B2</f>
        <v>0</v>
      </c>
      <c r="H104" s="15">
        <f t="shared" si="5"/>
        <v>0</v>
      </c>
      <c r="I104" s="14">
        <f>H104/B3</f>
        <v>0</v>
      </c>
      <c r="J104" s="2">
        <v>0.0</v>
      </c>
      <c r="K104" s="2">
        <v>0.0</v>
      </c>
      <c r="L104" s="2">
        <v>0.0</v>
      </c>
    </row>
    <row r="105">
      <c r="A105" s="12">
        <v>45546.0</v>
      </c>
      <c r="B105" s="6" t="s">
        <v>43</v>
      </c>
      <c r="C105" s="2">
        <v>0.0</v>
      </c>
      <c r="D105" s="16">
        <f t="shared" si="3"/>
        <v>0</v>
      </c>
      <c r="E105" s="17">
        <f>D105/B1</f>
        <v>0</v>
      </c>
      <c r="F105" s="16">
        <f t="shared" si="4"/>
        <v>0</v>
      </c>
      <c r="G105" s="17">
        <f>F105/B2</f>
        <v>0</v>
      </c>
      <c r="H105" s="15">
        <f t="shared" si="5"/>
        <v>0</v>
      </c>
      <c r="I105" s="14">
        <f>H105/B3</f>
        <v>0</v>
      </c>
      <c r="J105" s="2">
        <v>0.0</v>
      </c>
      <c r="K105" s="2">
        <v>0.0</v>
      </c>
      <c r="L105" s="2">
        <v>0.0</v>
      </c>
    </row>
    <row r="106">
      <c r="A106" s="12">
        <v>45546.0</v>
      </c>
      <c r="B106" s="6" t="s">
        <v>27</v>
      </c>
      <c r="C106" s="2">
        <v>0.0</v>
      </c>
      <c r="D106" s="16">
        <f t="shared" si="3"/>
        <v>0</v>
      </c>
      <c r="E106" s="17">
        <f>D106/B1</f>
        <v>0</v>
      </c>
      <c r="F106" s="16">
        <f t="shared" si="4"/>
        <v>0</v>
      </c>
      <c r="G106" s="17">
        <f>F106/B2</f>
        <v>0</v>
      </c>
      <c r="H106" s="15">
        <f t="shared" si="5"/>
        <v>0</v>
      </c>
      <c r="I106" s="14">
        <f>H106/B3</f>
        <v>0</v>
      </c>
      <c r="J106" s="2">
        <v>0.0</v>
      </c>
      <c r="K106" s="2">
        <v>0.0</v>
      </c>
      <c r="L106" s="2">
        <v>0.0</v>
      </c>
    </row>
    <row r="107">
      <c r="A107" s="12">
        <v>45546.0</v>
      </c>
      <c r="B107" s="6" t="s">
        <v>44</v>
      </c>
      <c r="C107" s="2">
        <v>0.0</v>
      </c>
      <c r="D107" s="16">
        <f t="shared" si="3"/>
        <v>0</v>
      </c>
      <c r="E107" s="17">
        <f>D107/B1</f>
        <v>0</v>
      </c>
      <c r="F107" s="16">
        <f t="shared" si="4"/>
        <v>0</v>
      </c>
      <c r="G107" s="17">
        <f>F107/B2</f>
        <v>0</v>
      </c>
      <c r="H107" s="15">
        <f t="shared" si="5"/>
        <v>0</v>
      </c>
      <c r="I107" s="14">
        <f>H107/B3</f>
        <v>0</v>
      </c>
      <c r="J107" s="2">
        <v>0.0</v>
      </c>
      <c r="K107" s="2">
        <v>0.0</v>
      </c>
      <c r="L107" s="2">
        <v>0.0</v>
      </c>
    </row>
    <row r="108">
      <c r="A108" s="12">
        <v>45547.0</v>
      </c>
      <c r="B108" s="6" t="s">
        <v>43</v>
      </c>
      <c r="C108" s="2">
        <v>0.0</v>
      </c>
      <c r="D108" s="16">
        <f t="shared" si="3"/>
        <v>0</v>
      </c>
      <c r="E108" s="17">
        <f>D108/B1</f>
        <v>0</v>
      </c>
      <c r="F108" s="16">
        <f t="shared" si="4"/>
        <v>0</v>
      </c>
      <c r="G108" s="17">
        <f>F108/B2</f>
        <v>0</v>
      </c>
      <c r="H108" s="15">
        <f t="shared" si="5"/>
        <v>0</v>
      </c>
      <c r="I108" s="14">
        <f>H108/B3</f>
        <v>0</v>
      </c>
      <c r="J108" s="2">
        <v>0.0</v>
      </c>
      <c r="K108" s="2">
        <v>0.0</v>
      </c>
      <c r="L108" s="2">
        <v>0.0</v>
      </c>
    </row>
    <row r="109">
      <c r="A109" s="12">
        <v>45547.0</v>
      </c>
      <c r="B109" s="6" t="s">
        <v>27</v>
      </c>
      <c r="C109" s="2">
        <v>0.0</v>
      </c>
      <c r="D109" s="16">
        <f t="shared" si="3"/>
        <v>0</v>
      </c>
      <c r="E109" s="17">
        <f>D109/B1</f>
        <v>0</v>
      </c>
      <c r="F109" s="16">
        <f t="shared" si="4"/>
        <v>0</v>
      </c>
      <c r="G109" s="17">
        <f>F109/B2</f>
        <v>0</v>
      </c>
      <c r="H109" s="15">
        <f t="shared" si="5"/>
        <v>0</v>
      </c>
      <c r="I109" s="14">
        <f>H109/B3</f>
        <v>0</v>
      </c>
      <c r="J109" s="2">
        <v>0.0</v>
      </c>
      <c r="K109" s="2">
        <v>0.0</v>
      </c>
      <c r="L109" s="2">
        <v>0.0</v>
      </c>
    </row>
    <row r="110">
      <c r="A110" s="12">
        <v>45547.0</v>
      </c>
      <c r="B110" s="6" t="s">
        <v>44</v>
      </c>
      <c r="C110" s="2">
        <v>0.0</v>
      </c>
      <c r="D110" s="16">
        <f t="shared" si="3"/>
        <v>0</v>
      </c>
      <c r="E110" s="17">
        <f>D110/B1</f>
        <v>0</v>
      </c>
      <c r="F110" s="16">
        <f t="shared" si="4"/>
        <v>0</v>
      </c>
      <c r="G110" s="17">
        <f>F110/B2</f>
        <v>0</v>
      </c>
      <c r="H110" s="15">
        <f t="shared" si="5"/>
        <v>0</v>
      </c>
      <c r="I110" s="14">
        <f>H110/B3</f>
        <v>0</v>
      </c>
      <c r="J110" s="2">
        <v>0.0</v>
      </c>
      <c r="K110" s="2">
        <v>0.0</v>
      </c>
      <c r="L110" s="2">
        <v>0.0</v>
      </c>
    </row>
    <row r="111">
      <c r="A111" s="12">
        <v>45548.0</v>
      </c>
      <c r="B111" s="6" t="s">
        <v>43</v>
      </c>
      <c r="C111" s="2">
        <v>0.0</v>
      </c>
      <c r="D111" s="16">
        <f t="shared" si="3"/>
        <v>0</v>
      </c>
      <c r="E111" s="17">
        <f>D111/B1</f>
        <v>0</v>
      </c>
      <c r="F111" s="16">
        <f t="shared" si="4"/>
        <v>0</v>
      </c>
      <c r="G111" s="17">
        <f>F111/B2</f>
        <v>0</v>
      </c>
      <c r="H111" s="15">
        <f t="shared" si="5"/>
        <v>0</v>
      </c>
      <c r="I111" s="14">
        <f>H111/B3</f>
        <v>0</v>
      </c>
      <c r="J111" s="2">
        <v>0.0</v>
      </c>
      <c r="K111" s="2">
        <v>0.0</v>
      </c>
      <c r="L111" s="2">
        <v>0.0</v>
      </c>
    </row>
    <row r="112">
      <c r="A112" s="12">
        <v>45548.0</v>
      </c>
      <c r="B112" s="6" t="s">
        <v>27</v>
      </c>
      <c r="C112" s="2">
        <v>0.0</v>
      </c>
      <c r="D112" s="16">
        <f t="shared" si="3"/>
        <v>0</v>
      </c>
      <c r="E112" s="17">
        <f>D112/B1</f>
        <v>0</v>
      </c>
      <c r="F112" s="16">
        <f t="shared" si="4"/>
        <v>0</v>
      </c>
      <c r="G112" s="17">
        <f>F112/B2</f>
        <v>0</v>
      </c>
      <c r="H112" s="15">
        <f t="shared" si="5"/>
        <v>0</v>
      </c>
      <c r="I112" s="14">
        <f>H112/B3</f>
        <v>0</v>
      </c>
      <c r="J112" s="2">
        <v>0.0</v>
      </c>
      <c r="K112" s="2">
        <v>0.0</v>
      </c>
      <c r="L112" s="2">
        <v>0.0</v>
      </c>
    </row>
    <row r="113">
      <c r="A113" s="12">
        <v>45548.0</v>
      </c>
      <c r="B113" s="6" t="s">
        <v>44</v>
      </c>
      <c r="C113" s="2">
        <v>0.0</v>
      </c>
      <c r="D113" s="16">
        <f t="shared" si="3"/>
        <v>0</v>
      </c>
      <c r="E113" s="17">
        <f>D113/B1</f>
        <v>0</v>
      </c>
      <c r="F113" s="16">
        <f t="shared" si="4"/>
        <v>0</v>
      </c>
      <c r="G113" s="17">
        <f>F113/B2</f>
        <v>0</v>
      </c>
      <c r="H113" s="15">
        <f t="shared" si="5"/>
        <v>0</v>
      </c>
      <c r="I113" s="14">
        <f>H113/B3</f>
        <v>0</v>
      </c>
      <c r="J113" s="2">
        <v>0.0</v>
      </c>
      <c r="K113" s="2">
        <v>0.0</v>
      </c>
      <c r="L113" s="2">
        <v>0.0</v>
      </c>
    </row>
    <row r="114">
      <c r="A114" s="12">
        <v>45549.0</v>
      </c>
      <c r="B114" s="6" t="s">
        <v>43</v>
      </c>
      <c r="C114" s="2">
        <v>0.0</v>
      </c>
      <c r="D114" s="16">
        <f t="shared" si="3"/>
        <v>0</v>
      </c>
      <c r="E114" s="17">
        <f>D114/B1</f>
        <v>0</v>
      </c>
      <c r="F114" s="16">
        <f t="shared" si="4"/>
        <v>0</v>
      </c>
      <c r="G114" s="17">
        <f>F114/B2</f>
        <v>0</v>
      </c>
      <c r="H114" s="15">
        <f t="shared" si="5"/>
        <v>0</v>
      </c>
      <c r="I114" s="14">
        <f>H114/B3</f>
        <v>0</v>
      </c>
      <c r="J114" s="2">
        <v>0.0</v>
      </c>
      <c r="K114" s="2">
        <v>0.0</v>
      </c>
      <c r="L114" s="2">
        <v>0.0</v>
      </c>
    </row>
    <row r="115">
      <c r="A115" s="12">
        <v>45549.0</v>
      </c>
      <c r="B115" s="6" t="s">
        <v>27</v>
      </c>
      <c r="C115" s="2">
        <v>0.0</v>
      </c>
      <c r="D115" s="16">
        <f t="shared" si="3"/>
        <v>0</v>
      </c>
      <c r="E115" s="17">
        <f>D115/B1</f>
        <v>0</v>
      </c>
      <c r="F115" s="16">
        <f t="shared" si="4"/>
        <v>0</v>
      </c>
      <c r="G115" s="17">
        <f>F115/B2</f>
        <v>0</v>
      </c>
      <c r="H115" s="15">
        <f t="shared" si="5"/>
        <v>0</v>
      </c>
      <c r="I115" s="14">
        <f>H115/B3</f>
        <v>0</v>
      </c>
      <c r="J115" s="2">
        <v>0.0</v>
      </c>
      <c r="K115" s="2">
        <v>0.0</v>
      </c>
      <c r="L115" s="2">
        <v>0.0</v>
      </c>
    </row>
    <row r="116">
      <c r="A116" s="12">
        <v>45549.0</v>
      </c>
      <c r="B116" s="6" t="s">
        <v>44</v>
      </c>
      <c r="C116" s="2">
        <v>0.0</v>
      </c>
      <c r="D116" s="16">
        <f t="shared" si="3"/>
        <v>0</v>
      </c>
      <c r="E116" s="17">
        <f>D116/B1</f>
        <v>0</v>
      </c>
      <c r="F116" s="16">
        <f t="shared" si="4"/>
        <v>0</v>
      </c>
      <c r="G116" s="17">
        <f>F116/B2</f>
        <v>0</v>
      </c>
      <c r="H116" s="15">
        <f t="shared" si="5"/>
        <v>0</v>
      </c>
      <c r="I116" s="14">
        <f>H116/B3</f>
        <v>0</v>
      </c>
      <c r="J116" s="2">
        <v>0.0</v>
      </c>
      <c r="K116" s="2">
        <v>0.0</v>
      </c>
      <c r="L116" s="2">
        <v>0.0</v>
      </c>
    </row>
  </sheetData>
  <dataValidations>
    <dataValidation type="list" allowBlank="1" showErrorMessage="1" sqref="B6:B116">
      <formula1>"MAC1,Ghost Train Haze,Super Citra G"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7.0"/>
    <col customWidth="1" min="2" max="2" width="22.63"/>
    <col customWidth="1" min="3" max="3" width="10.25"/>
    <col customWidth="1" min="4" max="4" width="17.0"/>
    <col customWidth="1" min="5" max="5" width="15.0"/>
    <col customWidth="1" min="6" max="6" width="17.0"/>
    <col customWidth="1" min="7" max="7" width="16.13"/>
    <col customWidth="1" min="8" max="9" width="16.38"/>
    <col customWidth="1" min="10" max="10" width="12.63"/>
    <col customWidth="1" min="11" max="11" width="14.88"/>
    <col customWidth="1" min="12" max="12" width="13.0"/>
  </cols>
  <sheetData>
    <row r="1">
      <c r="A1" s="1" t="s">
        <v>48</v>
      </c>
      <c r="B1" s="2">
        <v>5.0</v>
      </c>
      <c r="C1" s="4">
        <f>D31</f>
        <v>0</v>
      </c>
      <c r="D1" s="5">
        <f t="shared" ref="D1:D3" si="1">C1/B1</f>
        <v>0</v>
      </c>
      <c r="G1" s="1" t="s">
        <v>1</v>
      </c>
      <c r="H1" s="3">
        <f>IFERROR(__xludf.DUMMYFUNCTION("COUNTUNIQUE(A5:A31)"),9.0)</f>
        <v>9</v>
      </c>
      <c r="I1" s="3"/>
      <c r="J1" s="6"/>
      <c r="K1" s="3"/>
      <c r="L1" s="3"/>
      <c r="M1" s="7"/>
      <c r="N1" s="7"/>
    </row>
    <row r="2">
      <c r="A2" s="1" t="s">
        <v>49</v>
      </c>
      <c r="B2" s="2">
        <v>5.0</v>
      </c>
      <c r="C2" s="4">
        <f>F31</f>
        <v>0</v>
      </c>
      <c r="D2" s="5">
        <f t="shared" si="1"/>
        <v>0</v>
      </c>
      <c r="G2" s="1" t="s">
        <v>5</v>
      </c>
      <c r="H2" s="3">
        <f>(B1+B2)/F3</f>
        <v>9</v>
      </c>
      <c r="I2" s="3"/>
      <c r="J2" s="3"/>
      <c r="K2" s="3"/>
      <c r="L2" s="3"/>
      <c r="M2" s="7"/>
      <c r="N2" s="7"/>
    </row>
    <row r="3">
      <c r="A3" s="3"/>
      <c r="B3" s="9">
        <f t="shared" ref="B3:C3" si="2">SUM(B1:B2)</f>
        <v>10</v>
      </c>
      <c r="C3" s="9">
        <f t="shared" si="2"/>
        <v>0</v>
      </c>
      <c r="D3" s="5">
        <f t="shared" si="1"/>
        <v>0</v>
      </c>
      <c r="E3" s="1" t="s">
        <v>7</v>
      </c>
      <c r="F3" s="3">
        <f>SUM(C5:C31)/H1</f>
        <v>1.111111111</v>
      </c>
      <c r="G3" s="3"/>
      <c r="H3" s="3"/>
      <c r="I3" s="3"/>
      <c r="J3" s="3"/>
      <c r="K3" s="3"/>
      <c r="L3" s="3"/>
      <c r="M3" s="7"/>
      <c r="N3" s="7"/>
    </row>
    <row r="4">
      <c r="A4" s="10" t="s">
        <v>8</v>
      </c>
      <c r="B4" s="10" t="s">
        <v>9</v>
      </c>
      <c r="C4" s="10" t="s">
        <v>10</v>
      </c>
      <c r="D4" s="10" t="s">
        <v>39</v>
      </c>
      <c r="E4" s="10" t="s">
        <v>39</v>
      </c>
      <c r="F4" s="10" t="s">
        <v>23</v>
      </c>
      <c r="G4" s="10" t="s">
        <v>23</v>
      </c>
      <c r="H4" s="10" t="s">
        <v>40</v>
      </c>
      <c r="I4" s="10" t="s">
        <v>40</v>
      </c>
      <c r="J4" s="10" t="s">
        <v>41</v>
      </c>
      <c r="K4" s="10" t="s">
        <v>25</v>
      </c>
      <c r="L4" s="10" t="s">
        <v>42</v>
      </c>
      <c r="M4" s="7"/>
      <c r="N4" s="7"/>
    </row>
    <row r="5">
      <c r="A5" s="12">
        <v>45629.0</v>
      </c>
      <c r="B5" s="6" t="s">
        <v>43</v>
      </c>
      <c r="C5" s="2">
        <v>0.52</v>
      </c>
      <c r="D5" s="4">
        <f>IF(B5="MAC1",B1-C5,B1)</f>
        <v>4.48</v>
      </c>
      <c r="E5" s="13">
        <f>D5/B1</f>
        <v>0.896</v>
      </c>
      <c r="F5" s="2">
        <f>IF(B5="Ghost Train Haze",B2-C5,B2)</f>
        <v>5</v>
      </c>
      <c r="G5" s="14">
        <f>F5/B2</f>
        <v>1</v>
      </c>
      <c r="H5" s="15" t="str">
        <f>IF(B5="Super Citra G",#REF!-C5,#REF!)</f>
        <v>#REF!</v>
      </c>
      <c r="I5" s="14" t="str">
        <f t="shared" ref="I5:I31" si="3">H5/#REF!</f>
        <v>#REF!</v>
      </c>
      <c r="J5" s="2">
        <v>0.0</v>
      </c>
      <c r="K5" s="2">
        <v>0.0</v>
      </c>
      <c r="L5" s="2">
        <v>0.0</v>
      </c>
      <c r="M5" s="7"/>
      <c r="N5" s="7"/>
    </row>
    <row r="6">
      <c r="A6" s="12">
        <v>45629.0</v>
      </c>
      <c r="B6" s="6" t="s">
        <v>27</v>
      </c>
      <c r="C6" s="2">
        <v>0.51</v>
      </c>
      <c r="D6" s="16">
        <f t="shared" ref="D6:D31" si="4">IF(B6="MAC1",D5-C6,D5)</f>
        <v>4.48</v>
      </c>
      <c r="E6" s="17">
        <f>D6/B1</f>
        <v>0.896</v>
      </c>
      <c r="F6" s="16">
        <f t="shared" ref="F6:F31" si="5">IF(B6="Ghost Train Haze",F5-C6,F5)</f>
        <v>4.49</v>
      </c>
      <c r="G6" s="17">
        <f>F6/B2</f>
        <v>0.898</v>
      </c>
      <c r="H6" s="15" t="str">
        <f t="shared" ref="H6:H31" si="6">IF(B6="Super Citra G",H5-C6,H5)</f>
        <v>#REF!</v>
      </c>
      <c r="I6" s="14" t="str">
        <f t="shared" si="3"/>
        <v>#REF!</v>
      </c>
      <c r="J6" s="2">
        <v>0.0</v>
      </c>
      <c r="K6" s="2">
        <v>0.0</v>
      </c>
      <c r="L6" s="2">
        <v>0.0</v>
      </c>
      <c r="M6" s="7"/>
      <c r="N6" s="7"/>
    </row>
    <row r="7">
      <c r="A7" s="12">
        <v>45629.0</v>
      </c>
      <c r="B7" s="6" t="s">
        <v>44</v>
      </c>
      <c r="C7" s="2">
        <v>0.0</v>
      </c>
      <c r="D7" s="16">
        <f t="shared" si="4"/>
        <v>4.48</v>
      </c>
      <c r="E7" s="17">
        <f>D7/B1</f>
        <v>0.896</v>
      </c>
      <c r="F7" s="16">
        <f t="shared" si="5"/>
        <v>4.49</v>
      </c>
      <c r="G7" s="17">
        <f>F7/B2</f>
        <v>0.898</v>
      </c>
      <c r="H7" s="15" t="str">
        <f t="shared" si="6"/>
        <v>#REF!</v>
      </c>
      <c r="I7" s="14" t="str">
        <f t="shared" si="3"/>
        <v>#REF!</v>
      </c>
      <c r="J7" s="2">
        <v>0.0</v>
      </c>
      <c r="K7" s="2">
        <v>0.0</v>
      </c>
      <c r="L7" s="2">
        <v>0.0</v>
      </c>
      <c r="M7" s="7"/>
      <c r="N7" s="7"/>
    </row>
    <row r="8">
      <c r="A8" s="12">
        <v>45630.0</v>
      </c>
      <c r="B8" s="6" t="s">
        <v>43</v>
      </c>
      <c r="C8" s="2">
        <v>0.54</v>
      </c>
      <c r="D8" s="16">
        <f t="shared" si="4"/>
        <v>3.94</v>
      </c>
      <c r="E8" s="17">
        <f>D8/B1</f>
        <v>0.788</v>
      </c>
      <c r="F8" s="16">
        <f t="shared" si="5"/>
        <v>4.49</v>
      </c>
      <c r="G8" s="17">
        <f>F8/B2</f>
        <v>0.898</v>
      </c>
      <c r="H8" s="15" t="str">
        <f t="shared" si="6"/>
        <v>#REF!</v>
      </c>
      <c r="I8" s="14" t="str">
        <f t="shared" si="3"/>
        <v>#REF!</v>
      </c>
      <c r="J8" s="2">
        <v>0.0</v>
      </c>
      <c r="K8" s="2">
        <v>0.0</v>
      </c>
      <c r="L8" s="2">
        <v>0.0</v>
      </c>
      <c r="M8" s="7"/>
      <c r="N8" s="7"/>
    </row>
    <row r="9">
      <c r="A9" s="12">
        <v>45630.0</v>
      </c>
      <c r="B9" s="6" t="s">
        <v>27</v>
      </c>
      <c r="C9" s="2">
        <v>0.57</v>
      </c>
      <c r="D9" s="16">
        <f t="shared" si="4"/>
        <v>3.94</v>
      </c>
      <c r="E9" s="17">
        <f>D9/B1</f>
        <v>0.788</v>
      </c>
      <c r="F9" s="16">
        <f t="shared" si="5"/>
        <v>3.92</v>
      </c>
      <c r="G9" s="17">
        <f>F9/B2</f>
        <v>0.784</v>
      </c>
      <c r="H9" s="15" t="str">
        <f t="shared" si="6"/>
        <v>#REF!</v>
      </c>
      <c r="I9" s="14" t="str">
        <f t="shared" si="3"/>
        <v>#REF!</v>
      </c>
      <c r="J9" s="2">
        <v>0.0</v>
      </c>
      <c r="K9" s="2">
        <v>0.0</v>
      </c>
      <c r="L9" s="2">
        <v>0.0</v>
      </c>
      <c r="M9" s="7"/>
      <c r="N9" s="7"/>
    </row>
    <row r="10">
      <c r="A10" s="12">
        <v>45630.0</v>
      </c>
      <c r="B10" s="6" t="s">
        <v>44</v>
      </c>
      <c r="C10" s="2">
        <v>0.0</v>
      </c>
      <c r="D10" s="16">
        <f t="shared" si="4"/>
        <v>3.94</v>
      </c>
      <c r="E10" s="17">
        <f>D10/B1</f>
        <v>0.788</v>
      </c>
      <c r="F10" s="16">
        <f t="shared" si="5"/>
        <v>3.92</v>
      </c>
      <c r="G10" s="17">
        <f>F10/B2</f>
        <v>0.784</v>
      </c>
      <c r="H10" s="15" t="str">
        <f t="shared" si="6"/>
        <v>#REF!</v>
      </c>
      <c r="I10" s="14" t="str">
        <f t="shared" si="3"/>
        <v>#REF!</v>
      </c>
      <c r="J10" s="2">
        <v>0.0</v>
      </c>
      <c r="K10" s="2">
        <v>0.0</v>
      </c>
      <c r="L10" s="2">
        <v>0.0</v>
      </c>
      <c r="M10" s="7"/>
      <c r="N10" s="7"/>
    </row>
    <row r="11">
      <c r="A11" s="12">
        <v>45631.0</v>
      </c>
      <c r="B11" s="6" t="s">
        <v>43</v>
      </c>
      <c r="C11" s="2">
        <v>0.55</v>
      </c>
      <c r="D11" s="16">
        <f t="shared" si="4"/>
        <v>3.39</v>
      </c>
      <c r="E11" s="17">
        <f>D11/B1</f>
        <v>0.678</v>
      </c>
      <c r="F11" s="16">
        <f t="shared" si="5"/>
        <v>3.92</v>
      </c>
      <c r="G11" s="17">
        <f>F11/B2</f>
        <v>0.784</v>
      </c>
      <c r="H11" s="15" t="str">
        <f t="shared" si="6"/>
        <v>#REF!</v>
      </c>
      <c r="I11" s="14" t="str">
        <f t="shared" si="3"/>
        <v>#REF!</v>
      </c>
      <c r="J11" s="2">
        <v>0.0</v>
      </c>
      <c r="K11" s="2">
        <v>0.0</v>
      </c>
      <c r="L11" s="2">
        <v>0.0</v>
      </c>
      <c r="M11" s="7"/>
      <c r="N11" s="7"/>
    </row>
    <row r="12">
      <c r="A12" s="12">
        <v>45631.0</v>
      </c>
      <c r="B12" s="6" t="s">
        <v>27</v>
      </c>
      <c r="C12" s="2">
        <v>0.62</v>
      </c>
      <c r="D12" s="16">
        <f t="shared" si="4"/>
        <v>3.39</v>
      </c>
      <c r="E12" s="17">
        <f>D12/B1</f>
        <v>0.678</v>
      </c>
      <c r="F12" s="16">
        <f t="shared" si="5"/>
        <v>3.3</v>
      </c>
      <c r="G12" s="17">
        <f>F12/B2</f>
        <v>0.66</v>
      </c>
      <c r="H12" s="15" t="str">
        <f t="shared" si="6"/>
        <v>#REF!</v>
      </c>
      <c r="I12" s="14" t="str">
        <f t="shared" si="3"/>
        <v>#REF!</v>
      </c>
      <c r="J12" s="2">
        <v>0.0</v>
      </c>
      <c r="K12" s="2">
        <v>0.0</v>
      </c>
      <c r="L12" s="2">
        <v>0.0</v>
      </c>
      <c r="M12" s="7"/>
      <c r="N12" s="7"/>
    </row>
    <row r="13">
      <c r="A13" s="12">
        <v>45631.0</v>
      </c>
      <c r="B13" s="6" t="s">
        <v>44</v>
      </c>
      <c r="C13" s="2">
        <v>0.0</v>
      </c>
      <c r="D13" s="16">
        <f t="shared" si="4"/>
        <v>3.39</v>
      </c>
      <c r="E13" s="17">
        <f>D13/B1</f>
        <v>0.678</v>
      </c>
      <c r="F13" s="16">
        <f t="shared" si="5"/>
        <v>3.3</v>
      </c>
      <c r="G13" s="17">
        <f>F13/B2</f>
        <v>0.66</v>
      </c>
      <c r="H13" s="15" t="str">
        <f t="shared" si="6"/>
        <v>#REF!</v>
      </c>
      <c r="I13" s="14" t="str">
        <f t="shared" si="3"/>
        <v>#REF!</v>
      </c>
      <c r="J13" s="2">
        <v>0.0</v>
      </c>
      <c r="K13" s="2">
        <v>0.0</v>
      </c>
      <c r="L13" s="2">
        <v>0.0</v>
      </c>
      <c r="M13" s="7"/>
      <c r="N13" s="7"/>
    </row>
    <row r="14">
      <c r="A14" s="12">
        <v>45632.0</v>
      </c>
      <c r="B14" s="6" t="s">
        <v>43</v>
      </c>
      <c r="C14" s="2">
        <v>0.48</v>
      </c>
      <c r="D14" s="16">
        <f t="shared" si="4"/>
        <v>2.91</v>
      </c>
      <c r="E14" s="17">
        <f>D14/B1</f>
        <v>0.582</v>
      </c>
      <c r="F14" s="16">
        <f t="shared" si="5"/>
        <v>3.3</v>
      </c>
      <c r="G14" s="17">
        <f>F14/B2</f>
        <v>0.66</v>
      </c>
      <c r="H14" s="15" t="str">
        <f t="shared" si="6"/>
        <v>#REF!</v>
      </c>
      <c r="I14" s="14" t="str">
        <f t="shared" si="3"/>
        <v>#REF!</v>
      </c>
      <c r="J14" s="2">
        <v>0.0</v>
      </c>
      <c r="K14" s="2">
        <v>0.0</v>
      </c>
      <c r="L14" s="2">
        <v>0.0</v>
      </c>
      <c r="M14" s="7"/>
      <c r="N14" s="7"/>
    </row>
    <row r="15">
      <c r="A15" s="12">
        <v>45632.0</v>
      </c>
      <c r="B15" s="6" t="s">
        <v>27</v>
      </c>
      <c r="C15" s="2">
        <v>0.54</v>
      </c>
      <c r="D15" s="16">
        <f t="shared" si="4"/>
        <v>2.91</v>
      </c>
      <c r="E15" s="17">
        <f>D15/B1</f>
        <v>0.582</v>
      </c>
      <c r="F15" s="16">
        <f t="shared" si="5"/>
        <v>2.76</v>
      </c>
      <c r="G15" s="17">
        <f>F15/B2</f>
        <v>0.552</v>
      </c>
      <c r="H15" s="15" t="str">
        <f t="shared" si="6"/>
        <v>#REF!</v>
      </c>
      <c r="I15" s="14" t="str">
        <f t="shared" si="3"/>
        <v>#REF!</v>
      </c>
      <c r="J15" s="2">
        <v>0.0</v>
      </c>
      <c r="K15" s="2">
        <v>0.0</v>
      </c>
      <c r="L15" s="2">
        <v>0.0</v>
      </c>
      <c r="M15" s="7"/>
      <c r="N15" s="7"/>
    </row>
    <row r="16">
      <c r="A16" s="12">
        <v>45632.0</v>
      </c>
      <c r="B16" s="6" t="s">
        <v>44</v>
      </c>
      <c r="C16" s="2">
        <v>0.0</v>
      </c>
      <c r="D16" s="16">
        <f t="shared" si="4"/>
        <v>2.91</v>
      </c>
      <c r="E16" s="17">
        <f>D16/B1</f>
        <v>0.582</v>
      </c>
      <c r="F16" s="16">
        <f t="shared" si="5"/>
        <v>2.76</v>
      </c>
      <c r="G16" s="17">
        <f>F16/B2</f>
        <v>0.552</v>
      </c>
      <c r="H16" s="15" t="str">
        <f t="shared" si="6"/>
        <v>#REF!</v>
      </c>
      <c r="I16" s="14" t="str">
        <f t="shared" si="3"/>
        <v>#REF!</v>
      </c>
      <c r="J16" s="2">
        <v>0.0</v>
      </c>
      <c r="K16" s="2">
        <v>0.0</v>
      </c>
      <c r="L16" s="2">
        <v>0.0</v>
      </c>
      <c r="M16" s="7"/>
      <c r="N16" s="7"/>
    </row>
    <row r="17">
      <c r="A17" s="12">
        <v>45633.0</v>
      </c>
      <c r="B17" s="6" t="s">
        <v>43</v>
      </c>
      <c r="C17" s="2">
        <v>0.61</v>
      </c>
      <c r="D17" s="16">
        <f t="shared" si="4"/>
        <v>2.3</v>
      </c>
      <c r="E17" s="17">
        <f>D17/B1</f>
        <v>0.46</v>
      </c>
      <c r="F17" s="16">
        <f t="shared" si="5"/>
        <v>2.76</v>
      </c>
      <c r="G17" s="17">
        <f>F17/B2</f>
        <v>0.552</v>
      </c>
      <c r="H17" s="15" t="str">
        <f t="shared" si="6"/>
        <v>#REF!</v>
      </c>
      <c r="I17" s="14" t="str">
        <f t="shared" si="3"/>
        <v>#REF!</v>
      </c>
      <c r="J17" s="2">
        <v>0.0</v>
      </c>
      <c r="K17" s="2">
        <v>0.0</v>
      </c>
      <c r="L17" s="2">
        <v>0.0</v>
      </c>
      <c r="M17" s="7"/>
      <c r="N17" s="7"/>
    </row>
    <row r="18">
      <c r="A18" s="12">
        <v>45633.0</v>
      </c>
      <c r="B18" s="6" t="s">
        <v>27</v>
      </c>
      <c r="C18" s="2">
        <v>0.6</v>
      </c>
      <c r="D18" s="16">
        <f t="shared" si="4"/>
        <v>2.3</v>
      </c>
      <c r="E18" s="17">
        <f>D18/B1</f>
        <v>0.46</v>
      </c>
      <c r="F18" s="16">
        <f t="shared" si="5"/>
        <v>2.16</v>
      </c>
      <c r="G18" s="17">
        <f>F18/B2</f>
        <v>0.432</v>
      </c>
      <c r="H18" s="15" t="str">
        <f t="shared" si="6"/>
        <v>#REF!</v>
      </c>
      <c r="I18" s="14" t="str">
        <f t="shared" si="3"/>
        <v>#REF!</v>
      </c>
      <c r="J18" s="2">
        <v>0.0</v>
      </c>
      <c r="K18" s="2">
        <v>0.0</v>
      </c>
      <c r="L18" s="2">
        <v>0.0</v>
      </c>
      <c r="M18" s="7"/>
      <c r="N18" s="7"/>
    </row>
    <row r="19">
      <c r="A19" s="12">
        <v>45633.0</v>
      </c>
      <c r="B19" s="6" t="s">
        <v>44</v>
      </c>
      <c r="C19" s="2">
        <v>0.0</v>
      </c>
      <c r="D19" s="16">
        <f t="shared" si="4"/>
        <v>2.3</v>
      </c>
      <c r="E19" s="17">
        <f>D19/B1</f>
        <v>0.46</v>
      </c>
      <c r="F19" s="16">
        <f t="shared" si="5"/>
        <v>2.16</v>
      </c>
      <c r="G19" s="17">
        <f>F19/B2</f>
        <v>0.432</v>
      </c>
      <c r="H19" s="15" t="str">
        <f t="shared" si="6"/>
        <v>#REF!</v>
      </c>
      <c r="I19" s="14" t="str">
        <f t="shared" si="3"/>
        <v>#REF!</v>
      </c>
      <c r="J19" s="2">
        <v>0.0</v>
      </c>
      <c r="K19" s="2">
        <v>0.0</v>
      </c>
      <c r="L19" s="2">
        <v>0.0</v>
      </c>
      <c r="M19" s="7"/>
      <c r="N19" s="7"/>
    </row>
    <row r="20">
      <c r="A20" s="12">
        <v>45634.0</v>
      </c>
      <c r="B20" s="6" t="s">
        <v>43</v>
      </c>
      <c r="C20" s="2">
        <v>0.7</v>
      </c>
      <c r="D20" s="16">
        <f t="shared" si="4"/>
        <v>1.6</v>
      </c>
      <c r="E20" s="17">
        <f>D20/B1</f>
        <v>0.32</v>
      </c>
      <c r="F20" s="16">
        <f t="shared" si="5"/>
        <v>2.16</v>
      </c>
      <c r="G20" s="17">
        <f>F20/B2</f>
        <v>0.432</v>
      </c>
      <c r="H20" s="15" t="str">
        <f t="shared" si="6"/>
        <v>#REF!</v>
      </c>
      <c r="I20" s="14" t="str">
        <f t="shared" si="3"/>
        <v>#REF!</v>
      </c>
      <c r="J20" s="2">
        <v>0.0</v>
      </c>
      <c r="K20" s="2">
        <v>0.0</v>
      </c>
      <c r="L20" s="2">
        <v>0.0</v>
      </c>
      <c r="M20" s="7"/>
      <c r="N20" s="7"/>
    </row>
    <row r="21">
      <c r="A21" s="12">
        <v>45634.0</v>
      </c>
      <c r="B21" s="6" t="s">
        <v>27</v>
      </c>
      <c r="C21" s="2">
        <v>0.69</v>
      </c>
      <c r="D21" s="16">
        <f t="shared" si="4"/>
        <v>1.6</v>
      </c>
      <c r="E21" s="17">
        <f>D21/B1</f>
        <v>0.32</v>
      </c>
      <c r="F21" s="16">
        <f t="shared" si="5"/>
        <v>1.47</v>
      </c>
      <c r="G21" s="17">
        <f>F21/B2</f>
        <v>0.294</v>
      </c>
      <c r="H21" s="15" t="str">
        <f t="shared" si="6"/>
        <v>#REF!</v>
      </c>
      <c r="I21" s="14" t="str">
        <f t="shared" si="3"/>
        <v>#REF!</v>
      </c>
      <c r="J21" s="2">
        <v>0.0</v>
      </c>
      <c r="K21" s="2">
        <v>0.0</v>
      </c>
      <c r="L21" s="2">
        <v>0.0</v>
      </c>
      <c r="M21" s="7"/>
      <c r="N21" s="7"/>
    </row>
    <row r="22">
      <c r="A22" s="12">
        <v>45634.0</v>
      </c>
      <c r="B22" s="6" t="s">
        <v>44</v>
      </c>
      <c r="C22" s="2">
        <v>0.0</v>
      </c>
      <c r="D22" s="16">
        <f t="shared" si="4"/>
        <v>1.6</v>
      </c>
      <c r="E22" s="17">
        <f>D22/B1</f>
        <v>0.32</v>
      </c>
      <c r="F22" s="16">
        <f t="shared" si="5"/>
        <v>1.47</v>
      </c>
      <c r="G22" s="17">
        <f>F22/B2</f>
        <v>0.294</v>
      </c>
      <c r="H22" s="15" t="str">
        <f t="shared" si="6"/>
        <v>#REF!</v>
      </c>
      <c r="I22" s="14" t="str">
        <f t="shared" si="3"/>
        <v>#REF!</v>
      </c>
      <c r="J22" s="2">
        <v>0.0</v>
      </c>
      <c r="K22" s="2">
        <v>0.0</v>
      </c>
      <c r="L22" s="2">
        <v>0.0</v>
      </c>
      <c r="M22" s="7"/>
      <c r="N22" s="7"/>
    </row>
    <row r="23">
      <c r="A23" s="12">
        <v>45635.0</v>
      </c>
      <c r="B23" s="6" t="s">
        <v>43</v>
      </c>
      <c r="C23" s="2">
        <v>0.64</v>
      </c>
      <c r="D23" s="16">
        <f t="shared" si="4"/>
        <v>0.96</v>
      </c>
      <c r="E23" s="17">
        <f>D23/B1</f>
        <v>0.192</v>
      </c>
      <c r="F23" s="16">
        <f t="shared" si="5"/>
        <v>1.47</v>
      </c>
      <c r="G23" s="17">
        <f>F23/B2</f>
        <v>0.294</v>
      </c>
      <c r="H23" s="15" t="str">
        <f t="shared" si="6"/>
        <v>#REF!</v>
      </c>
      <c r="I23" s="14" t="str">
        <f t="shared" si="3"/>
        <v>#REF!</v>
      </c>
      <c r="J23" s="2">
        <v>0.0</v>
      </c>
      <c r="K23" s="2">
        <v>0.0</v>
      </c>
      <c r="L23" s="2">
        <v>0.0</v>
      </c>
      <c r="M23" s="7"/>
      <c r="N23" s="7"/>
    </row>
    <row r="24">
      <c r="A24" s="12">
        <v>45635.0</v>
      </c>
      <c r="B24" s="6" t="s">
        <v>27</v>
      </c>
      <c r="C24" s="2">
        <v>0.77</v>
      </c>
      <c r="D24" s="16">
        <f t="shared" si="4"/>
        <v>0.96</v>
      </c>
      <c r="E24" s="17">
        <f>D24/B1</f>
        <v>0.192</v>
      </c>
      <c r="F24" s="16">
        <f t="shared" si="5"/>
        <v>0.7</v>
      </c>
      <c r="G24" s="17">
        <f>F24/B2</f>
        <v>0.14</v>
      </c>
      <c r="H24" s="15" t="str">
        <f t="shared" si="6"/>
        <v>#REF!</v>
      </c>
      <c r="I24" s="14" t="str">
        <f t="shared" si="3"/>
        <v>#REF!</v>
      </c>
      <c r="J24" s="2">
        <v>0.0</v>
      </c>
      <c r="K24" s="2">
        <v>0.0</v>
      </c>
      <c r="L24" s="2">
        <v>0.0</v>
      </c>
      <c r="M24" s="7"/>
      <c r="N24" s="7"/>
    </row>
    <row r="25">
      <c r="A25" s="12">
        <v>45635.0</v>
      </c>
      <c r="B25" s="6" t="s">
        <v>44</v>
      </c>
      <c r="C25" s="2">
        <v>0.0</v>
      </c>
      <c r="D25" s="16">
        <f t="shared" si="4"/>
        <v>0.96</v>
      </c>
      <c r="E25" s="17">
        <f>D25/B1</f>
        <v>0.192</v>
      </c>
      <c r="F25" s="16">
        <f t="shared" si="5"/>
        <v>0.7</v>
      </c>
      <c r="G25" s="17">
        <f>F25/B2</f>
        <v>0.14</v>
      </c>
      <c r="H25" s="15" t="str">
        <f t="shared" si="6"/>
        <v>#REF!</v>
      </c>
      <c r="I25" s="14" t="str">
        <f t="shared" si="3"/>
        <v>#REF!</v>
      </c>
      <c r="J25" s="2">
        <v>0.0</v>
      </c>
      <c r="K25" s="2">
        <v>0.0</v>
      </c>
      <c r="L25" s="2">
        <v>0.0</v>
      </c>
      <c r="M25" s="7"/>
      <c r="N25" s="7"/>
    </row>
    <row r="26">
      <c r="A26" s="12">
        <v>45636.0</v>
      </c>
      <c r="B26" s="6" t="s">
        <v>43</v>
      </c>
      <c r="C26" s="2">
        <v>0.0</v>
      </c>
      <c r="D26" s="16">
        <f t="shared" si="4"/>
        <v>0.96</v>
      </c>
      <c r="E26" s="17">
        <f>D26/B1</f>
        <v>0.192</v>
      </c>
      <c r="F26" s="16">
        <f t="shared" si="5"/>
        <v>0.7</v>
      </c>
      <c r="G26" s="17">
        <f>F26/B2</f>
        <v>0.14</v>
      </c>
      <c r="H26" s="15" t="str">
        <f t="shared" si="6"/>
        <v>#REF!</v>
      </c>
      <c r="I26" s="14" t="str">
        <f t="shared" si="3"/>
        <v>#REF!</v>
      </c>
      <c r="J26" s="2">
        <v>0.0</v>
      </c>
      <c r="K26" s="2">
        <v>0.0</v>
      </c>
      <c r="L26" s="2">
        <v>0.0</v>
      </c>
      <c r="M26" s="7"/>
      <c r="N26" s="7"/>
    </row>
    <row r="27">
      <c r="A27" s="12">
        <v>45636.0</v>
      </c>
      <c r="B27" s="6" t="s">
        <v>27</v>
      </c>
      <c r="C27" s="2">
        <v>0.0</v>
      </c>
      <c r="D27" s="16">
        <f t="shared" si="4"/>
        <v>0.96</v>
      </c>
      <c r="E27" s="17">
        <f>D27/B1</f>
        <v>0.192</v>
      </c>
      <c r="F27" s="16">
        <f t="shared" si="5"/>
        <v>0.7</v>
      </c>
      <c r="G27" s="17">
        <f>F27/B2</f>
        <v>0.14</v>
      </c>
      <c r="H27" s="15" t="str">
        <f t="shared" si="6"/>
        <v>#REF!</v>
      </c>
      <c r="I27" s="14" t="str">
        <f t="shared" si="3"/>
        <v>#REF!</v>
      </c>
      <c r="J27" s="2">
        <v>0.0</v>
      </c>
      <c r="K27" s="2">
        <v>0.0</v>
      </c>
      <c r="L27" s="2">
        <v>0.0</v>
      </c>
      <c r="M27" s="7"/>
      <c r="N27" s="7"/>
    </row>
    <row r="28">
      <c r="A28" s="12">
        <v>45636.0</v>
      </c>
      <c r="B28" s="6" t="s">
        <v>44</v>
      </c>
      <c r="C28" s="2">
        <v>0.0</v>
      </c>
      <c r="D28" s="16">
        <f t="shared" si="4"/>
        <v>0.96</v>
      </c>
      <c r="E28" s="17">
        <f>D28/B1</f>
        <v>0.192</v>
      </c>
      <c r="F28" s="16">
        <f t="shared" si="5"/>
        <v>0.7</v>
      </c>
      <c r="G28" s="17">
        <f>F28/B2</f>
        <v>0.14</v>
      </c>
      <c r="H28" s="15" t="str">
        <f t="shared" si="6"/>
        <v>#REF!</v>
      </c>
      <c r="I28" s="14" t="str">
        <f t="shared" si="3"/>
        <v>#REF!</v>
      </c>
      <c r="J28" s="2">
        <v>0.0</v>
      </c>
      <c r="K28" s="2">
        <v>0.0</v>
      </c>
      <c r="L28" s="2">
        <v>0.0</v>
      </c>
      <c r="M28" s="7"/>
      <c r="N28" s="7"/>
    </row>
    <row r="29">
      <c r="A29" s="12">
        <v>45637.0</v>
      </c>
      <c r="B29" s="6" t="s">
        <v>43</v>
      </c>
      <c r="C29" s="2">
        <v>0.96</v>
      </c>
      <c r="D29" s="16">
        <f t="shared" si="4"/>
        <v>0</v>
      </c>
      <c r="E29" s="17">
        <f>D29/B1</f>
        <v>0</v>
      </c>
      <c r="F29" s="16">
        <f t="shared" si="5"/>
        <v>0.7</v>
      </c>
      <c r="G29" s="17">
        <f>F29/B2</f>
        <v>0.14</v>
      </c>
      <c r="H29" s="15" t="str">
        <f t="shared" si="6"/>
        <v>#REF!</v>
      </c>
      <c r="I29" s="14" t="str">
        <f t="shared" si="3"/>
        <v>#REF!</v>
      </c>
      <c r="J29" s="2">
        <v>0.0</v>
      </c>
      <c r="K29" s="2">
        <v>0.0</v>
      </c>
      <c r="L29" s="2">
        <v>0.0</v>
      </c>
      <c r="M29" s="7"/>
      <c r="N29" s="7"/>
    </row>
    <row r="30">
      <c r="A30" s="12">
        <v>45637.0</v>
      </c>
      <c r="B30" s="6" t="s">
        <v>27</v>
      </c>
      <c r="C30" s="2">
        <v>0.7</v>
      </c>
      <c r="D30" s="16">
        <f t="shared" si="4"/>
        <v>0</v>
      </c>
      <c r="E30" s="17">
        <f>D30/B1</f>
        <v>0</v>
      </c>
      <c r="F30" s="16">
        <f t="shared" si="5"/>
        <v>0</v>
      </c>
      <c r="G30" s="17">
        <f>F30/B2</f>
        <v>0</v>
      </c>
      <c r="H30" s="15" t="str">
        <f t="shared" si="6"/>
        <v>#REF!</v>
      </c>
      <c r="I30" s="14" t="str">
        <f t="shared" si="3"/>
        <v>#REF!</v>
      </c>
      <c r="J30" s="2">
        <v>0.0</v>
      </c>
      <c r="K30" s="2">
        <v>0.0</v>
      </c>
      <c r="L30" s="2">
        <v>0.0</v>
      </c>
      <c r="M30" s="7"/>
      <c r="N30" s="7"/>
    </row>
    <row r="31">
      <c r="A31" s="12">
        <v>45637.0</v>
      </c>
      <c r="B31" s="6" t="s">
        <v>44</v>
      </c>
      <c r="C31" s="2">
        <v>0.0</v>
      </c>
      <c r="D31" s="16">
        <f t="shared" si="4"/>
        <v>0</v>
      </c>
      <c r="E31" s="17">
        <f>D31/B1</f>
        <v>0</v>
      </c>
      <c r="F31" s="16">
        <f t="shared" si="5"/>
        <v>0</v>
      </c>
      <c r="G31" s="17">
        <f>F31/B2</f>
        <v>0</v>
      </c>
      <c r="H31" s="15" t="str">
        <f t="shared" si="6"/>
        <v>#REF!</v>
      </c>
      <c r="I31" s="14" t="str">
        <f t="shared" si="3"/>
        <v>#REF!</v>
      </c>
      <c r="J31" s="2">
        <v>0.0</v>
      </c>
      <c r="K31" s="2">
        <v>0.0</v>
      </c>
      <c r="L31" s="2">
        <v>0.0</v>
      </c>
      <c r="M31" s="7"/>
      <c r="N31" s="7"/>
    </row>
  </sheetData>
  <dataValidations>
    <dataValidation type="list" allowBlank="1" showErrorMessage="1" sqref="B7">
      <formula1>"MAC1,Ghost Train Haze,Super Citra G"</formula1>
    </dataValidation>
    <dataValidation type="list" allowBlank="1" showErrorMessage="1" sqref="B5:B6 B8:B31">
      <formula1>"MAC1,Ghost Train Haze,Super Citra G"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6.0"/>
    <col customWidth="1" min="2" max="2" width="22.63"/>
    <col customWidth="1" min="3" max="3" width="10.25"/>
    <col customWidth="1" min="4" max="4" width="17.0"/>
    <col customWidth="1" min="5" max="5" width="16.38"/>
    <col customWidth="1" min="6" max="6" width="15.25"/>
    <col customWidth="1" min="7" max="7" width="27.38"/>
    <col customWidth="1" min="8" max="9" width="16.38"/>
    <col customWidth="1" min="10" max="10" width="12.63"/>
    <col customWidth="1" min="11" max="11" width="14.88"/>
    <col customWidth="1" min="12" max="12" width="13.0"/>
  </cols>
  <sheetData>
    <row r="1">
      <c r="A1" s="1" t="s">
        <v>50</v>
      </c>
      <c r="B1" s="2">
        <v>10.0</v>
      </c>
      <c r="C1" s="4">
        <f>D67</f>
        <v>0</v>
      </c>
      <c r="D1" s="5">
        <f t="shared" ref="D1:D3" si="1">C1/B1</f>
        <v>0</v>
      </c>
      <c r="G1" s="1" t="s">
        <v>1</v>
      </c>
      <c r="H1" s="3">
        <f>IFERROR(__xludf.DUMMYFUNCTION("COUNTUNIQUE(A5:A43)"),13.0)</f>
        <v>13</v>
      </c>
      <c r="I1" s="3"/>
      <c r="J1" s="6"/>
      <c r="K1" s="3"/>
      <c r="L1" s="3"/>
      <c r="M1" s="7"/>
      <c r="N1" s="7"/>
    </row>
    <row r="2">
      <c r="A2" s="1" t="s">
        <v>51</v>
      </c>
      <c r="B2" s="2">
        <v>5.0</v>
      </c>
      <c r="C2" s="4">
        <f>F67</f>
        <v>0</v>
      </c>
      <c r="D2" s="5">
        <f t="shared" si="1"/>
        <v>0</v>
      </c>
      <c r="G2" s="1" t="s">
        <v>5</v>
      </c>
      <c r="H2" s="3">
        <f>(B1+B2)/F3</f>
        <v>13</v>
      </c>
      <c r="I2" s="3"/>
      <c r="J2" s="3"/>
      <c r="K2" s="3"/>
      <c r="L2" s="3"/>
      <c r="M2" s="7"/>
      <c r="N2" s="7"/>
    </row>
    <row r="3">
      <c r="A3" s="3"/>
      <c r="B3" s="9">
        <f t="shared" ref="B3:C3" si="2">SUM(B1:B2)</f>
        <v>15</v>
      </c>
      <c r="C3" s="9">
        <f t="shared" si="2"/>
        <v>0</v>
      </c>
      <c r="D3" s="5">
        <f t="shared" si="1"/>
        <v>0</v>
      </c>
      <c r="E3" s="1" t="s">
        <v>7</v>
      </c>
      <c r="F3" s="3">
        <f>SUM(C5:C43)/H1</f>
        <v>1.153846154</v>
      </c>
      <c r="G3" s="3"/>
      <c r="H3" s="3"/>
      <c r="I3" s="3"/>
      <c r="J3" s="3"/>
      <c r="K3" s="3"/>
      <c r="L3" s="3"/>
      <c r="M3" s="7"/>
      <c r="N3" s="7"/>
    </row>
    <row r="4">
      <c r="A4" s="10" t="s">
        <v>8</v>
      </c>
      <c r="B4" s="10" t="s">
        <v>9</v>
      </c>
      <c r="C4" s="10" t="s">
        <v>10</v>
      </c>
      <c r="D4" s="10" t="s">
        <v>52</v>
      </c>
      <c r="E4" s="10" t="s">
        <v>52</v>
      </c>
      <c r="F4" s="10" t="s">
        <v>53</v>
      </c>
      <c r="G4" s="10" t="s">
        <v>53</v>
      </c>
      <c r="H4" s="10"/>
      <c r="I4" s="10"/>
      <c r="J4" s="10"/>
      <c r="K4" s="10"/>
      <c r="L4" s="10"/>
      <c r="M4" s="7"/>
      <c r="N4" s="7"/>
    </row>
    <row r="5">
      <c r="A5" s="12">
        <v>45637.0</v>
      </c>
      <c r="B5" s="6" t="s">
        <v>43</v>
      </c>
      <c r="C5" s="2">
        <v>0.08</v>
      </c>
      <c r="D5" s="4">
        <f>IF(B5="MAC1",B1-C5,B1)</f>
        <v>9.92</v>
      </c>
      <c r="E5" s="13">
        <f>D5/B1</f>
        <v>0.992</v>
      </c>
      <c r="F5" s="2">
        <f>IF(B5="Ghost Train Haze",B2-C5,B2)</f>
        <v>5</v>
      </c>
      <c r="G5" s="14">
        <f>F5/B2</f>
        <v>1</v>
      </c>
      <c r="H5" s="15"/>
      <c r="I5" s="14"/>
      <c r="J5" s="2"/>
      <c r="K5" s="2"/>
      <c r="L5" s="2"/>
      <c r="M5" s="7"/>
      <c r="N5" s="7"/>
    </row>
    <row r="6">
      <c r="A6" s="12">
        <v>45637.0</v>
      </c>
      <c r="B6" s="6" t="s">
        <v>27</v>
      </c>
      <c r="C6" s="2">
        <v>0.27</v>
      </c>
      <c r="D6" s="16">
        <f t="shared" ref="D6:D91" si="3">IF(B6="MAC1",D5-C6,D5)</f>
        <v>9.92</v>
      </c>
      <c r="E6" s="17">
        <f>D6/B1</f>
        <v>0.992</v>
      </c>
      <c r="F6" s="16">
        <f t="shared" ref="F6:F91" si="4">IF(B6="Ghost Train Haze",F5-C6,F5)</f>
        <v>4.73</v>
      </c>
      <c r="G6" s="17">
        <f>F6/B2</f>
        <v>0.946</v>
      </c>
      <c r="H6" s="15"/>
      <c r="I6" s="14"/>
      <c r="J6" s="2"/>
      <c r="K6" s="2"/>
      <c r="L6" s="2"/>
      <c r="M6" s="7"/>
      <c r="N6" s="7"/>
    </row>
    <row r="7">
      <c r="A7" s="12">
        <v>45637.0</v>
      </c>
      <c r="B7" s="6" t="s">
        <v>44</v>
      </c>
      <c r="C7" s="2">
        <v>0.0</v>
      </c>
      <c r="D7" s="16">
        <f t="shared" si="3"/>
        <v>9.92</v>
      </c>
      <c r="E7" s="17">
        <f>D7/B1</f>
        <v>0.992</v>
      </c>
      <c r="F7" s="16">
        <f t="shared" si="4"/>
        <v>4.73</v>
      </c>
      <c r="G7" s="17">
        <f>F7/B2</f>
        <v>0.946</v>
      </c>
      <c r="H7" s="15"/>
      <c r="I7" s="14"/>
      <c r="J7" s="2"/>
      <c r="K7" s="2"/>
      <c r="L7" s="2"/>
      <c r="M7" s="7"/>
      <c r="N7" s="7"/>
    </row>
    <row r="8">
      <c r="A8" s="12">
        <v>45638.0</v>
      </c>
      <c r="B8" s="6" t="s">
        <v>43</v>
      </c>
      <c r="C8" s="2">
        <v>0.67</v>
      </c>
      <c r="D8" s="16">
        <f t="shared" si="3"/>
        <v>9.25</v>
      </c>
      <c r="E8" s="17">
        <f>D8/B1</f>
        <v>0.925</v>
      </c>
      <c r="F8" s="16">
        <f t="shared" si="4"/>
        <v>4.73</v>
      </c>
      <c r="G8" s="17">
        <f>F8/B2</f>
        <v>0.946</v>
      </c>
      <c r="H8" s="15"/>
      <c r="I8" s="14"/>
      <c r="J8" s="2"/>
      <c r="K8" s="2"/>
      <c r="L8" s="2"/>
      <c r="M8" s="7"/>
      <c r="N8" s="7"/>
    </row>
    <row r="9">
      <c r="A9" s="12">
        <v>45638.0</v>
      </c>
      <c r="B9" s="6" t="s">
        <v>27</v>
      </c>
      <c r="C9" s="2">
        <v>0.65</v>
      </c>
      <c r="D9" s="16">
        <f t="shared" si="3"/>
        <v>9.25</v>
      </c>
      <c r="E9" s="17">
        <f>D9/B1</f>
        <v>0.925</v>
      </c>
      <c r="F9" s="16">
        <f t="shared" si="4"/>
        <v>4.08</v>
      </c>
      <c r="G9" s="17">
        <f>F9/B2</f>
        <v>0.816</v>
      </c>
      <c r="H9" s="15"/>
      <c r="I9" s="14"/>
      <c r="J9" s="2"/>
      <c r="K9" s="2"/>
      <c r="L9" s="2"/>
      <c r="M9" s="7"/>
      <c r="N9" s="7"/>
    </row>
    <row r="10">
      <c r="A10" s="12">
        <v>45638.0</v>
      </c>
      <c r="B10" s="6" t="s">
        <v>44</v>
      </c>
      <c r="C10" s="2">
        <v>0.0</v>
      </c>
      <c r="D10" s="16">
        <f t="shared" si="3"/>
        <v>9.25</v>
      </c>
      <c r="E10" s="17">
        <f>D10/B1</f>
        <v>0.925</v>
      </c>
      <c r="F10" s="16">
        <f t="shared" si="4"/>
        <v>4.08</v>
      </c>
      <c r="G10" s="17">
        <f>F10/B2</f>
        <v>0.816</v>
      </c>
      <c r="H10" s="15"/>
      <c r="I10" s="14"/>
      <c r="J10" s="2"/>
      <c r="K10" s="2"/>
      <c r="L10" s="2"/>
      <c r="M10" s="7"/>
      <c r="N10" s="7"/>
    </row>
    <row r="11">
      <c r="A11" s="12">
        <v>45639.0</v>
      </c>
      <c r="B11" s="6" t="s">
        <v>43</v>
      </c>
      <c r="C11" s="2">
        <v>0.83</v>
      </c>
      <c r="D11" s="16">
        <f t="shared" si="3"/>
        <v>8.42</v>
      </c>
      <c r="E11" s="17">
        <f>D11/B1</f>
        <v>0.842</v>
      </c>
      <c r="F11" s="16">
        <f t="shared" si="4"/>
        <v>4.08</v>
      </c>
      <c r="G11" s="17">
        <f>F11/B2</f>
        <v>0.816</v>
      </c>
      <c r="H11" s="15"/>
      <c r="I11" s="14"/>
      <c r="J11" s="2"/>
      <c r="K11" s="2"/>
      <c r="L11" s="2"/>
      <c r="M11" s="7"/>
      <c r="N11" s="7"/>
    </row>
    <row r="12">
      <c r="A12" s="12">
        <v>45639.0</v>
      </c>
      <c r="B12" s="6" t="s">
        <v>27</v>
      </c>
      <c r="C12" s="2">
        <v>0.8</v>
      </c>
      <c r="D12" s="16">
        <f t="shared" si="3"/>
        <v>8.42</v>
      </c>
      <c r="E12" s="17">
        <f>D12/B1</f>
        <v>0.842</v>
      </c>
      <c r="F12" s="16">
        <f t="shared" si="4"/>
        <v>3.28</v>
      </c>
      <c r="G12" s="17">
        <f>F12/B2</f>
        <v>0.656</v>
      </c>
      <c r="H12" s="15"/>
      <c r="I12" s="14"/>
      <c r="J12" s="2"/>
      <c r="K12" s="2"/>
      <c r="L12" s="2"/>
      <c r="M12" s="7"/>
      <c r="N12" s="7"/>
    </row>
    <row r="13">
      <c r="A13" s="12">
        <v>45639.0</v>
      </c>
      <c r="B13" s="6" t="s">
        <v>44</v>
      </c>
      <c r="C13" s="2">
        <v>0.0</v>
      </c>
      <c r="D13" s="16">
        <f t="shared" si="3"/>
        <v>8.42</v>
      </c>
      <c r="E13" s="17">
        <f>D13/B1</f>
        <v>0.842</v>
      </c>
      <c r="F13" s="16">
        <f t="shared" si="4"/>
        <v>3.28</v>
      </c>
      <c r="G13" s="17">
        <f>F13/B2</f>
        <v>0.656</v>
      </c>
      <c r="H13" s="15"/>
      <c r="I13" s="14"/>
      <c r="J13" s="2"/>
      <c r="K13" s="2"/>
      <c r="L13" s="2"/>
      <c r="M13" s="7"/>
      <c r="N13" s="7"/>
    </row>
    <row r="14">
      <c r="A14" s="12">
        <v>45640.0</v>
      </c>
      <c r="B14" s="6" t="s">
        <v>43</v>
      </c>
      <c r="C14" s="2">
        <v>0.78</v>
      </c>
      <c r="D14" s="16">
        <f t="shared" si="3"/>
        <v>7.64</v>
      </c>
      <c r="E14" s="17">
        <f>D14/B1</f>
        <v>0.764</v>
      </c>
      <c r="F14" s="16">
        <f t="shared" si="4"/>
        <v>3.28</v>
      </c>
      <c r="G14" s="17">
        <f>F14/B2</f>
        <v>0.656</v>
      </c>
      <c r="H14" s="15"/>
      <c r="I14" s="14"/>
      <c r="J14" s="2"/>
      <c r="K14" s="2"/>
      <c r="L14" s="2"/>
      <c r="M14" s="7"/>
      <c r="N14" s="7"/>
    </row>
    <row r="15">
      <c r="A15" s="12">
        <v>45640.0</v>
      </c>
      <c r="B15" s="6" t="s">
        <v>27</v>
      </c>
      <c r="C15" s="2">
        <v>0.81</v>
      </c>
      <c r="D15" s="16">
        <f t="shared" si="3"/>
        <v>7.64</v>
      </c>
      <c r="E15" s="17">
        <f>D15/B1</f>
        <v>0.764</v>
      </c>
      <c r="F15" s="16">
        <f t="shared" si="4"/>
        <v>2.47</v>
      </c>
      <c r="G15" s="17">
        <f>F15/B2</f>
        <v>0.494</v>
      </c>
      <c r="H15" s="15"/>
      <c r="I15" s="14"/>
      <c r="J15" s="2"/>
      <c r="K15" s="2"/>
      <c r="L15" s="2"/>
      <c r="M15" s="7"/>
      <c r="N15" s="7"/>
    </row>
    <row r="16">
      <c r="A16" s="12">
        <v>45640.0</v>
      </c>
      <c r="B16" s="6" t="s">
        <v>44</v>
      </c>
      <c r="C16" s="2">
        <v>0.0</v>
      </c>
      <c r="D16" s="16">
        <f t="shared" si="3"/>
        <v>7.64</v>
      </c>
      <c r="E16" s="17">
        <f>D16/B1</f>
        <v>0.764</v>
      </c>
      <c r="F16" s="16">
        <f t="shared" si="4"/>
        <v>2.47</v>
      </c>
      <c r="G16" s="17">
        <f>F16/B2</f>
        <v>0.494</v>
      </c>
      <c r="H16" s="15"/>
      <c r="I16" s="14"/>
      <c r="J16" s="2"/>
      <c r="K16" s="2"/>
      <c r="L16" s="2"/>
      <c r="M16" s="7"/>
      <c r="N16" s="7"/>
    </row>
    <row r="17">
      <c r="A17" s="12">
        <v>45641.0</v>
      </c>
      <c r="B17" s="6" t="s">
        <v>43</v>
      </c>
      <c r="C17" s="2">
        <v>0.76</v>
      </c>
      <c r="D17" s="16">
        <f t="shared" si="3"/>
        <v>6.88</v>
      </c>
      <c r="E17" s="17">
        <f>D17/B1</f>
        <v>0.688</v>
      </c>
      <c r="F17" s="16">
        <f t="shared" si="4"/>
        <v>2.47</v>
      </c>
      <c r="G17" s="17">
        <f>F17/B2</f>
        <v>0.494</v>
      </c>
      <c r="H17" s="15"/>
      <c r="I17" s="14"/>
      <c r="J17" s="2"/>
      <c r="K17" s="2"/>
      <c r="L17" s="2"/>
      <c r="M17" s="7"/>
      <c r="N17" s="7"/>
    </row>
    <row r="18">
      <c r="A18" s="12">
        <v>45641.0</v>
      </c>
      <c r="B18" s="6" t="s">
        <v>27</v>
      </c>
      <c r="C18" s="2">
        <v>0.82</v>
      </c>
      <c r="D18" s="16">
        <f t="shared" si="3"/>
        <v>6.88</v>
      </c>
      <c r="E18" s="17">
        <f>D18/B1</f>
        <v>0.688</v>
      </c>
      <c r="F18" s="16">
        <f t="shared" si="4"/>
        <v>1.65</v>
      </c>
      <c r="G18" s="17">
        <f>F18/B2</f>
        <v>0.33</v>
      </c>
      <c r="H18" s="15"/>
      <c r="I18" s="14"/>
      <c r="J18" s="2"/>
      <c r="K18" s="2"/>
      <c r="L18" s="2"/>
      <c r="M18" s="7"/>
      <c r="N18" s="7"/>
    </row>
    <row r="19">
      <c r="A19" s="12">
        <v>45641.0</v>
      </c>
      <c r="B19" s="6" t="s">
        <v>44</v>
      </c>
      <c r="C19" s="2">
        <v>0.0</v>
      </c>
      <c r="D19" s="16">
        <f t="shared" si="3"/>
        <v>6.88</v>
      </c>
      <c r="E19" s="17">
        <f>D19/B1</f>
        <v>0.688</v>
      </c>
      <c r="F19" s="16">
        <f t="shared" si="4"/>
        <v>1.65</v>
      </c>
      <c r="G19" s="17">
        <f>F19/B2</f>
        <v>0.33</v>
      </c>
      <c r="H19" s="15"/>
      <c r="I19" s="14"/>
      <c r="J19" s="2"/>
      <c r="K19" s="2"/>
      <c r="L19" s="2"/>
      <c r="M19" s="7"/>
      <c r="N19" s="7"/>
    </row>
    <row r="20">
      <c r="A20" s="12">
        <v>45642.0</v>
      </c>
      <c r="B20" s="6" t="s">
        <v>43</v>
      </c>
      <c r="C20" s="2">
        <v>0.83</v>
      </c>
      <c r="D20" s="16">
        <f t="shared" si="3"/>
        <v>6.05</v>
      </c>
      <c r="E20" s="17">
        <f>D20/B1</f>
        <v>0.605</v>
      </c>
      <c r="F20" s="16">
        <f t="shared" si="4"/>
        <v>1.65</v>
      </c>
      <c r="G20" s="17">
        <f>F20/B2</f>
        <v>0.33</v>
      </c>
      <c r="H20" s="15"/>
      <c r="I20" s="14"/>
      <c r="J20" s="2"/>
      <c r="K20" s="2"/>
      <c r="L20" s="2"/>
      <c r="M20" s="7"/>
      <c r="N20" s="7"/>
    </row>
    <row r="21">
      <c r="A21" s="12">
        <v>45642.0</v>
      </c>
      <c r="B21" s="6" t="s">
        <v>27</v>
      </c>
      <c r="C21" s="2">
        <v>0.78</v>
      </c>
      <c r="D21" s="16">
        <f t="shared" si="3"/>
        <v>6.05</v>
      </c>
      <c r="E21" s="17">
        <f>D21/B1</f>
        <v>0.605</v>
      </c>
      <c r="F21" s="16">
        <f t="shared" si="4"/>
        <v>0.87</v>
      </c>
      <c r="G21" s="17">
        <f>F21/B2</f>
        <v>0.174</v>
      </c>
      <c r="H21" s="15"/>
      <c r="I21" s="14"/>
      <c r="J21" s="2"/>
      <c r="K21" s="2"/>
      <c r="L21" s="2"/>
      <c r="M21" s="7"/>
      <c r="N21" s="7"/>
    </row>
    <row r="22">
      <c r="A22" s="12">
        <v>45642.0</v>
      </c>
      <c r="B22" s="6" t="s">
        <v>44</v>
      </c>
      <c r="C22" s="2">
        <v>0.0</v>
      </c>
      <c r="D22" s="16">
        <f t="shared" si="3"/>
        <v>6.05</v>
      </c>
      <c r="E22" s="17">
        <f>D22/B1</f>
        <v>0.605</v>
      </c>
      <c r="F22" s="16">
        <f t="shared" si="4"/>
        <v>0.87</v>
      </c>
      <c r="G22" s="17">
        <f>F22/B2</f>
        <v>0.174</v>
      </c>
      <c r="H22" s="15"/>
      <c r="I22" s="14"/>
      <c r="J22" s="2"/>
      <c r="K22" s="2"/>
      <c r="L22" s="2"/>
      <c r="M22" s="7"/>
      <c r="N22" s="7"/>
    </row>
    <row r="23">
      <c r="A23" s="12">
        <v>45643.0</v>
      </c>
      <c r="B23" s="6" t="s">
        <v>43</v>
      </c>
      <c r="C23" s="2">
        <v>0.93</v>
      </c>
      <c r="D23" s="16">
        <f t="shared" si="3"/>
        <v>5.12</v>
      </c>
      <c r="E23" s="17">
        <f>D23/B1</f>
        <v>0.512</v>
      </c>
      <c r="F23" s="16">
        <f t="shared" si="4"/>
        <v>0.87</v>
      </c>
      <c r="G23" s="17">
        <f>F23/B2</f>
        <v>0.174</v>
      </c>
      <c r="H23" s="15"/>
      <c r="I23" s="14"/>
      <c r="J23" s="2"/>
      <c r="K23" s="2"/>
      <c r="L23" s="2"/>
      <c r="M23" s="7"/>
      <c r="N23" s="7"/>
    </row>
    <row r="24">
      <c r="A24" s="12">
        <v>45643.0</v>
      </c>
      <c r="B24" s="6" t="s">
        <v>27</v>
      </c>
      <c r="C24" s="2">
        <v>0.87</v>
      </c>
      <c r="D24" s="16">
        <f t="shared" si="3"/>
        <v>5.12</v>
      </c>
      <c r="E24" s="17">
        <f>D24/B1</f>
        <v>0.512</v>
      </c>
      <c r="F24" s="16">
        <f t="shared" si="4"/>
        <v>0</v>
      </c>
      <c r="G24" s="17">
        <f>F24/B2</f>
        <v>0</v>
      </c>
      <c r="H24" s="15"/>
      <c r="I24" s="14"/>
      <c r="J24" s="2"/>
      <c r="K24" s="2"/>
      <c r="L24" s="2"/>
      <c r="M24" s="7"/>
      <c r="N24" s="7"/>
    </row>
    <row r="25">
      <c r="A25" s="12">
        <v>45643.0</v>
      </c>
      <c r="B25" s="6" t="s">
        <v>44</v>
      </c>
      <c r="C25" s="2">
        <v>0.0</v>
      </c>
      <c r="D25" s="16">
        <f t="shared" si="3"/>
        <v>5.12</v>
      </c>
      <c r="E25" s="17">
        <f>D25/B1</f>
        <v>0.512</v>
      </c>
      <c r="F25" s="16">
        <f t="shared" si="4"/>
        <v>0</v>
      </c>
      <c r="G25" s="17">
        <f>F25/B2</f>
        <v>0</v>
      </c>
      <c r="H25" s="15"/>
      <c r="I25" s="14"/>
      <c r="J25" s="2"/>
      <c r="K25" s="2"/>
      <c r="L25" s="2"/>
      <c r="M25" s="7"/>
      <c r="N25" s="7"/>
    </row>
    <row r="26">
      <c r="A26" s="12">
        <v>45644.0</v>
      </c>
      <c r="B26" s="6" t="s">
        <v>43</v>
      </c>
      <c r="C26" s="2">
        <v>0.0</v>
      </c>
      <c r="D26" s="16">
        <f t="shared" si="3"/>
        <v>5.12</v>
      </c>
      <c r="E26" s="17">
        <f>D26/B1</f>
        <v>0.512</v>
      </c>
      <c r="F26" s="16">
        <f t="shared" si="4"/>
        <v>0</v>
      </c>
      <c r="G26" s="17">
        <f>F26/B2</f>
        <v>0</v>
      </c>
      <c r="H26" s="15"/>
      <c r="I26" s="14"/>
      <c r="J26" s="2"/>
      <c r="K26" s="2"/>
      <c r="L26" s="2"/>
      <c r="M26" s="7"/>
      <c r="N26" s="7"/>
    </row>
    <row r="27">
      <c r="A27" s="12">
        <v>45644.0</v>
      </c>
      <c r="B27" s="6" t="s">
        <v>27</v>
      </c>
      <c r="C27" s="2">
        <v>0.0</v>
      </c>
      <c r="D27" s="16">
        <f t="shared" si="3"/>
        <v>5.12</v>
      </c>
      <c r="E27" s="17">
        <f>D27/B1</f>
        <v>0.512</v>
      </c>
      <c r="F27" s="16">
        <f t="shared" si="4"/>
        <v>0</v>
      </c>
      <c r="G27" s="17">
        <f>F27/B2</f>
        <v>0</v>
      </c>
      <c r="H27" s="15"/>
      <c r="I27" s="14"/>
      <c r="J27" s="2"/>
      <c r="K27" s="2"/>
      <c r="L27" s="2"/>
      <c r="M27" s="7"/>
      <c r="N27" s="7"/>
    </row>
    <row r="28">
      <c r="A28" s="12">
        <v>45644.0</v>
      </c>
      <c r="B28" s="6" t="s">
        <v>44</v>
      </c>
      <c r="C28" s="2">
        <v>0.0</v>
      </c>
      <c r="D28" s="16">
        <f t="shared" si="3"/>
        <v>5.12</v>
      </c>
      <c r="E28" s="17">
        <f>D28/B1</f>
        <v>0.512</v>
      </c>
      <c r="F28" s="16">
        <f t="shared" si="4"/>
        <v>0</v>
      </c>
      <c r="G28" s="17">
        <f>F28/B2</f>
        <v>0</v>
      </c>
      <c r="H28" s="15"/>
      <c r="I28" s="14"/>
      <c r="J28" s="2"/>
      <c r="K28" s="2"/>
      <c r="L28" s="2"/>
      <c r="M28" s="7"/>
      <c r="N28" s="7"/>
    </row>
    <row r="29">
      <c r="A29" s="12">
        <v>45645.0</v>
      </c>
      <c r="B29" s="6" t="s">
        <v>43</v>
      </c>
      <c r="C29" s="2">
        <v>1.77</v>
      </c>
      <c r="D29" s="16">
        <f t="shared" si="3"/>
        <v>3.35</v>
      </c>
      <c r="E29" s="17">
        <f>D29/B1</f>
        <v>0.335</v>
      </c>
      <c r="F29" s="16">
        <f t="shared" si="4"/>
        <v>0</v>
      </c>
      <c r="G29" s="17">
        <f>F29/B2</f>
        <v>0</v>
      </c>
      <c r="H29" s="15"/>
      <c r="I29" s="14"/>
      <c r="J29" s="2"/>
      <c r="K29" s="2"/>
      <c r="L29" s="2"/>
      <c r="M29" s="7"/>
      <c r="N29" s="7"/>
    </row>
    <row r="30">
      <c r="A30" s="12">
        <v>45645.0</v>
      </c>
      <c r="B30" s="6" t="s">
        <v>27</v>
      </c>
      <c r="C30" s="2">
        <v>0.0</v>
      </c>
      <c r="D30" s="16">
        <f t="shared" si="3"/>
        <v>3.35</v>
      </c>
      <c r="E30" s="17">
        <f>D30/B1</f>
        <v>0.335</v>
      </c>
      <c r="F30" s="16">
        <f t="shared" si="4"/>
        <v>0</v>
      </c>
      <c r="G30" s="17">
        <f>F30/B2</f>
        <v>0</v>
      </c>
      <c r="H30" s="15"/>
      <c r="I30" s="14"/>
      <c r="J30" s="2"/>
      <c r="K30" s="2"/>
      <c r="L30" s="2"/>
      <c r="M30" s="7"/>
      <c r="N30" s="7"/>
    </row>
    <row r="31">
      <c r="A31" s="12">
        <v>45645.0</v>
      </c>
      <c r="B31" s="6" t="s">
        <v>44</v>
      </c>
      <c r="C31" s="2">
        <v>0.0</v>
      </c>
      <c r="D31" s="16">
        <f t="shared" si="3"/>
        <v>3.35</v>
      </c>
      <c r="E31" s="17">
        <f>D31/B1</f>
        <v>0.335</v>
      </c>
      <c r="F31" s="16">
        <f t="shared" si="4"/>
        <v>0</v>
      </c>
      <c r="G31" s="17">
        <f>F31/B2</f>
        <v>0</v>
      </c>
      <c r="H31" s="15"/>
      <c r="I31" s="14"/>
      <c r="J31" s="2"/>
      <c r="K31" s="2"/>
      <c r="L31" s="2"/>
      <c r="M31" s="7"/>
      <c r="N31" s="7"/>
    </row>
    <row r="32">
      <c r="A32" s="12">
        <v>45646.0</v>
      </c>
      <c r="B32" s="6" t="s">
        <v>43</v>
      </c>
      <c r="C32" s="2">
        <v>1.05</v>
      </c>
      <c r="D32" s="16">
        <f t="shared" si="3"/>
        <v>2.3</v>
      </c>
      <c r="E32" s="17">
        <f>D32/B1</f>
        <v>0.23</v>
      </c>
      <c r="F32" s="16">
        <f t="shared" si="4"/>
        <v>0</v>
      </c>
      <c r="G32" s="17">
        <f>F32/B2</f>
        <v>0</v>
      </c>
      <c r="H32" s="15"/>
      <c r="I32" s="14"/>
      <c r="J32" s="2"/>
      <c r="K32" s="2"/>
      <c r="L32" s="2"/>
      <c r="M32" s="7"/>
      <c r="N32" s="7"/>
    </row>
    <row r="33">
      <c r="A33" s="12">
        <v>45646.0</v>
      </c>
      <c r="B33" s="6" t="s">
        <v>27</v>
      </c>
      <c r="C33" s="2">
        <v>0.0</v>
      </c>
      <c r="D33" s="16">
        <f t="shared" si="3"/>
        <v>2.3</v>
      </c>
      <c r="E33" s="17">
        <f>D33/B1</f>
        <v>0.23</v>
      </c>
      <c r="F33" s="16">
        <f t="shared" si="4"/>
        <v>0</v>
      </c>
      <c r="G33" s="17">
        <f>F33/B2</f>
        <v>0</v>
      </c>
      <c r="H33" s="15"/>
      <c r="I33" s="14"/>
      <c r="J33" s="2"/>
      <c r="K33" s="2"/>
      <c r="L33" s="2"/>
      <c r="M33" s="7"/>
      <c r="N33" s="7"/>
    </row>
    <row r="34">
      <c r="A34" s="12">
        <v>45646.0</v>
      </c>
      <c r="B34" s="6" t="s">
        <v>44</v>
      </c>
      <c r="C34" s="2">
        <v>0.0</v>
      </c>
      <c r="D34" s="16">
        <f t="shared" si="3"/>
        <v>2.3</v>
      </c>
      <c r="E34" s="17">
        <f>D34/B1</f>
        <v>0.23</v>
      </c>
      <c r="F34" s="16">
        <f t="shared" si="4"/>
        <v>0</v>
      </c>
      <c r="G34" s="17">
        <f>F34/B2</f>
        <v>0</v>
      </c>
      <c r="H34" s="15"/>
      <c r="I34" s="14"/>
      <c r="J34" s="2"/>
      <c r="K34" s="2"/>
      <c r="L34" s="2"/>
      <c r="M34" s="7"/>
      <c r="N34" s="7"/>
    </row>
    <row r="35">
      <c r="A35" s="12">
        <v>45647.0</v>
      </c>
      <c r="B35" s="6" t="s">
        <v>43</v>
      </c>
      <c r="C35" s="2">
        <v>0.8</v>
      </c>
      <c r="D35" s="16">
        <f t="shared" si="3"/>
        <v>1.5</v>
      </c>
      <c r="E35" s="17">
        <f>D35/B1</f>
        <v>0.15</v>
      </c>
      <c r="F35" s="16">
        <f t="shared" si="4"/>
        <v>0</v>
      </c>
      <c r="G35" s="17">
        <f>F35/B2</f>
        <v>0</v>
      </c>
      <c r="H35" s="15"/>
      <c r="I35" s="14"/>
      <c r="J35" s="2"/>
      <c r="K35" s="2"/>
      <c r="L35" s="2"/>
      <c r="M35" s="7"/>
      <c r="N35" s="7"/>
    </row>
    <row r="36">
      <c r="A36" s="12">
        <v>45647.0</v>
      </c>
      <c r="B36" s="6" t="s">
        <v>27</v>
      </c>
      <c r="C36" s="2">
        <v>0.0</v>
      </c>
      <c r="D36" s="16">
        <f t="shared" si="3"/>
        <v>1.5</v>
      </c>
      <c r="E36" s="17">
        <f>D36/B1</f>
        <v>0.15</v>
      </c>
      <c r="F36" s="16">
        <f t="shared" si="4"/>
        <v>0</v>
      </c>
      <c r="G36" s="17">
        <f>F36/B2</f>
        <v>0</v>
      </c>
      <c r="H36" s="15"/>
      <c r="I36" s="14"/>
      <c r="J36" s="2"/>
      <c r="K36" s="2"/>
      <c r="L36" s="2"/>
      <c r="M36" s="7"/>
      <c r="N36" s="7"/>
    </row>
    <row r="37">
      <c r="A37" s="12">
        <v>45647.0</v>
      </c>
      <c r="B37" s="6" t="s">
        <v>44</v>
      </c>
      <c r="C37" s="2">
        <v>0.0</v>
      </c>
      <c r="D37" s="16">
        <f t="shared" si="3"/>
        <v>1.5</v>
      </c>
      <c r="E37" s="17">
        <f>D37/B1</f>
        <v>0.15</v>
      </c>
      <c r="F37" s="16">
        <f t="shared" si="4"/>
        <v>0</v>
      </c>
      <c r="G37" s="17">
        <f>F37/B2</f>
        <v>0</v>
      </c>
      <c r="H37" s="15"/>
      <c r="I37" s="14"/>
      <c r="J37" s="2"/>
      <c r="K37" s="2"/>
      <c r="L37" s="2"/>
      <c r="M37" s="7"/>
      <c r="N37" s="7"/>
    </row>
    <row r="38">
      <c r="A38" s="12">
        <v>45648.0</v>
      </c>
      <c r="B38" s="6" t="s">
        <v>43</v>
      </c>
      <c r="C38" s="2">
        <v>0.8</v>
      </c>
      <c r="D38" s="16">
        <f t="shared" si="3"/>
        <v>0.7</v>
      </c>
      <c r="E38" s="17">
        <f>D38/B1</f>
        <v>0.07</v>
      </c>
      <c r="F38" s="16">
        <f t="shared" si="4"/>
        <v>0</v>
      </c>
      <c r="G38" s="17">
        <f>F38/B2</f>
        <v>0</v>
      </c>
      <c r="H38" s="15"/>
      <c r="I38" s="14"/>
      <c r="J38" s="2"/>
      <c r="K38" s="2"/>
      <c r="L38" s="2"/>
      <c r="M38" s="7"/>
      <c r="N38" s="7"/>
    </row>
    <row r="39">
      <c r="A39" s="12">
        <v>45648.0</v>
      </c>
      <c r="B39" s="6" t="s">
        <v>27</v>
      </c>
      <c r="C39" s="2">
        <v>0.0</v>
      </c>
      <c r="D39" s="16">
        <f t="shared" si="3"/>
        <v>0.7</v>
      </c>
      <c r="E39" s="17">
        <f>D39/B1</f>
        <v>0.07</v>
      </c>
      <c r="F39" s="16">
        <f t="shared" si="4"/>
        <v>0</v>
      </c>
      <c r="G39" s="17">
        <f>F39/B2</f>
        <v>0</v>
      </c>
      <c r="H39" s="15"/>
      <c r="I39" s="14"/>
      <c r="J39" s="2"/>
      <c r="K39" s="2"/>
      <c r="L39" s="2"/>
      <c r="M39" s="7"/>
      <c r="N39" s="7"/>
    </row>
    <row r="40">
      <c r="A40" s="12">
        <v>45648.0</v>
      </c>
      <c r="B40" s="6" t="s">
        <v>44</v>
      </c>
      <c r="C40" s="2">
        <v>0.0</v>
      </c>
      <c r="D40" s="16">
        <f t="shared" si="3"/>
        <v>0.7</v>
      </c>
      <c r="E40" s="17">
        <f>D40/B1</f>
        <v>0.07</v>
      </c>
      <c r="F40" s="16">
        <f t="shared" si="4"/>
        <v>0</v>
      </c>
      <c r="G40" s="17">
        <f>F40/B2</f>
        <v>0</v>
      </c>
      <c r="H40" s="15"/>
      <c r="I40" s="14"/>
      <c r="J40" s="2"/>
      <c r="K40" s="2"/>
      <c r="L40" s="2"/>
      <c r="M40" s="7"/>
      <c r="N40" s="7"/>
    </row>
    <row r="41">
      <c r="A41" s="12">
        <v>45649.0</v>
      </c>
      <c r="B41" s="6" t="s">
        <v>43</v>
      </c>
      <c r="C41" s="2">
        <v>0.7</v>
      </c>
      <c r="D41" s="16">
        <f t="shared" si="3"/>
        <v>0</v>
      </c>
      <c r="E41" s="17">
        <f>D41/B1</f>
        <v>0</v>
      </c>
      <c r="F41" s="16">
        <f t="shared" si="4"/>
        <v>0</v>
      </c>
      <c r="G41" s="17">
        <f>F41/B2</f>
        <v>0</v>
      </c>
      <c r="H41" s="15"/>
      <c r="I41" s="14"/>
      <c r="J41" s="2"/>
      <c r="K41" s="2"/>
      <c r="L41" s="2"/>
      <c r="M41" s="7"/>
      <c r="N41" s="7"/>
    </row>
    <row r="42">
      <c r="A42" s="12">
        <v>45649.0</v>
      </c>
      <c r="B42" s="6" t="s">
        <v>27</v>
      </c>
      <c r="C42" s="2">
        <v>0.0</v>
      </c>
      <c r="D42" s="16">
        <f t="shared" si="3"/>
        <v>0</v>
      </c>
      <c r="E42" s="17">
        <f>D42/B1</f>
        <v>0</v>
      </c>
      <c r="F42" s="16">
        <f t="shared" si="4"/>
        <v>0</v>
      </c>
      <c r="G42" s="17">
        <f>F42/B2</f>
        <v>0</v>
      </c>
      <c r="H42" s="15"/>
      <c r="I42" s="14"/>
      <c r="J42" s="2"/>
      <c r="K42" s="2"/>
      <c r="L42" s="2"/>
      <c r="M42" s="7"/>
      <c r="N42" s="7"/>
    </row>
    <row r="43">
      <c r="A43" s="12">
        <v>45649.0</v>
      </c>
      <c r="B43" s="6" t="s">
        <v>44</v>
      </c>
      <c r="C43" s="2">
        <v>0.0</v>
      </c>
      <c r="D43" s="16">
        <f t="shared" si="3"/>
        <v>0</v>
      </c>
      <c r="E43" s="17">
        <f>D43/B1</f>
        <v>0</v>
      </c>
      <c r="F43" s="16">
        <f t="shared" si="4"/>
        <v>0</v>
      </c>
      <c r="G43" s="17">
        <f>F43/B2</f>
        <v>0</v>
      </c>
      <c r="H43" s="15"/>
      <c r="I43" s="14"/>
      <c r="J43" s="2"/>
      <c r="K43" s="2"/>
      <c r="L43" s="2"/>
      <c r="M43" s="7"/>
      <c r="N43" s="7"/>
    </row>
    <row r="44">
      <c r="A44" s="12">
        <v>45650.0</v>
      </c>
      <c r="B44" s="6" t="s">
        <v>43</v>
      </c>
      <c r="C44" s="2">
        <v>0.0</v>
      </c>
      <c r="D44" s="16">
        <f t="shared" si="3"/>
        <v>0</v>
      </c>
      <c r="E44" s="17">
        <f>D44/B1</f>
        <v>0</v>
      </c>
      <c r="F44" s="16">
        <f t="shared" si="4"/>
        <v>0</v>
      </c>
      <c r="G44" s="17">
        <f>F44/B2</f>
        <v>0</v>
      </c>
      <c r="H44" s="15"/>
      <c r="I44" s="14"/>
      <c r="J44" s="2"/>
      <c r="K44" s="2"/>
      <c r="L44" s="2"/>
      <c r="M44" s="7"/>
      <c r="N44" s="7"/>
    </row>
    <row r="45">
      <c r="A45" s="12">
        <v>45650.0</v>
      </c>
      <c r="B45" s="6" t="s">
        <v>27</v>
      </c>
      <c r="C45" s="2">
        <v>0.0</v>
      </c>
      <c r="D45" s="16">
        <f t="shared" si="3"/>
        <v>0</v>
      </c>
      <c r="E45" s="17">
        <f>D45/B1</f>
        <v>0</v>
      </c>
      <c r="F45" s="16">
        <f t="shared" si="4"/>
        <v>0</v>
      </c>
      <c r="G45" s="17">
        <f>F45/B2</f>
        <v>0</v>
      </c>
      <c r="H45" s="15"/>
      <c r="I45" s="14"/>
      <c r="J45" s="2"/>
      <c r="K45" s="2"/>
      <c r="L45" s="2"/>
      <c r="M45" s="7"/>
      <c r="N45" s="7"/>
    </row>
    <row r="46">
      <c r="A46" s="12">
        <v>45650.0</v>
      </c>
      <c r="B46" s="6" t="s">
        <v>44</v>
      </c>
      <c r="C46" s="2">
        <v>0.0</v>
      </c>
      <c r="D46" s="16">
        <f t="shared" si="3"/>
        <v>0</v>
      </c>
      <c r="E46" s="17">
        <f>D46/B1</f>
        <v>0</v>
      </c>
      <c r="F46" s="16">
        <f t="shared" si="4"/>
        <v>0</v>
      </c>
      <c r="G46" s="17">
        <f>F46/B2</f>
        <v>0</v>
      </c>
      <c r="H46" s="15"/>
      <c r="I46" s="14"/>
      <c r="J46" s="2"/>
      <c r="K46" s="2"/>
      <c r="L46" s="2"/>
      <c r="M46" s="7"/>
      <c r="N46" s="7"/>
    </row>
    <row r="47">
      <c r="A47" s="12">
        <v>45651.0</v>
      </c>
      <c r="B47" s="6" t="s">
        <v>43</v>
      </c>
      <c r="C47" s="2">
        <v>0.0</v>
      </c>
      <c r="D47" s="16">
        <f t="shared" si="3"/>
        <v>0</v>
      </c>
      <c r="E47" s="17">
        <f>D47/B1</f>
        <v>0</v>
      </c>
      <c r="F47" s="16">
        <f t="shared" si="4"/>
        <v>0</v>
      </c>
      <c r="G47" s="17">
        <f>F47/B2</f>
        <v>0</v>
      </c>
      <c r="H47" s="15"/>
      <c r="I47" s="14"/>
      <c r="J47" s="2"/>
      <c r="K47" s="2"/>
      <c r="L47" s="2"/>
      <c r="M47" s="7"/>
      <c r="N47" s="7"/>
    </row>
    <row r="48">
      <c r="A48" s="12">
        <v>45651.0</v>
      </c>
      <c r="B48" s="6" t="s">
        <v>27</v>
      </c>
      <c r="C48" s="2">
        <v>0.0</v>
      </c>
      <c r="D48" s="16">
        <f t="shared" si="3"/>
        <v>0</v>
      </c>
      <c r="E48" s="17">
        <f>D48/B1</f>
        <v>0</v>
      </c>
      <c r="F48" s="16">
        <f t="shared" si="4"/>
        <v>0</v>
      </c>
      <c r="G48" s="17">
        <f>F48/B2</f>
        <v>0</v>
      </c>
      <c r="H48" s="15"/>
      <c r="I48" s="14"/>
      <c r="J48" s="2"/>
      <c r="K48" s="2"/>
      <c r="L48" s="2"/>
      <c r="M48" s="7"/>
      <c r="N48" s="7"/>
    </row>
    <row r="49">
      <c r="A49" s="12">
        <v>45651.0</v>
      </c>
      <c r="B49" s="6" t="s">
        <v>44</v>
      </c>
      <c r="C49" s="2">
        <v>0.0</v>
      </c>
      <c r="D49" s="16">
        <f t="shared" si="3"/>
        <v>0</v>
      </c>
      <c r="E49" s="17">
        <f>D49/B1</f>
        <v>0</v>
      </c>
      <c r="F49" s="16">
        <f t="shared" si="4"/>
        <v>0</v>
      </c>
      <c r="G49" s="17">
        <f>F49/B2</f>
        <v>0</v>
      </c>
      <c r="H49" s="15"/>
      <c r="I49" s="14"/>
      <c r="J49" s="2"/>
      <c r="K49" s="2"/>
      <c r="L49" s="2"/>
      <c r="M49" s="7"/>
      <c r="N49" s="7"/>
    </row>
    <row r="50">
      <c r="A50" s="12">
        <v>45652.0</v>
      </c>
      <c r="B50" s="6" t="s">
        <v>43</v>
      </c>
      <c r="C50" s="2">
        <v>0.0</v>
      </c>
      <c r="D50" s="16">
        <f t="shared" si="3"/>
        <v>0</v>
      </c>
      <c r="E50" s="17">
        <f>D50/B1</f>
        <v>0</v>
      </c>
      <c r="F50" s="16">
        <f t="shared" si="4"/>
        <v>0</v>
      </c>
      <c r="G50" s="17">
        <f>F50/B2</f>
        <v>0</v>
      </c>
      <c r="H50" s="15"/>
      <c r="I50" s="14"/>
      <c r="J50" s="2"/>
      <c r="K50" s="2"/>
      <c r="L50" s="2"/>
      <c r="M50" s="7"/>
      <c r="N50" s="7"/>
    </row>
    <row r="51">
      <c r="A51" s="12">
        <v>45652.0</v>
      </c>
      <c r="B51" s="6" t="s">
        <v>27</v>
      </c>
      <c r="C51" s="2">
        <v>0.0</v>
      </c>
      <c r="D51" s="16">
        <f t="shared" si="3"/>
        <v>0</v>
      </c>
      <c r="E51" s="17">
        <f>D51/B1</f>
        <v>0</v>
      </c>
      <c r="F51" s="16">
        <f t="shared" si="4"/>
        <v>0</v>
      </c>
      <c r="G51" s="17">
        <f>F51/B2</f>
        <v>0</v>
      </c>
      <c r="H51" s="15"/>
      <c r="I51" s="14"/>
      <c r="J51" s="2"/>
      <c r="K51" s="2"/>
      <c r="L51" s="2"/>
      <c r="M51" s="7"/>
      <c r="N51" s="7"/>
    </row>
    <row r="52">
      <c r="A52" s="12">
        <v>45652.0</v>
      </c>
      <c r="B52" s="6" t="s">
        <v>44</v>
      </c>
      <c r="C52" s="2">
        <v>0.0</v>
      </c>
      <c r="D52" s="16">
        <f t="shared" si="3"/>
        <v>0</v>
      </c>
      <c r="E52" s="17">
        <f>D52/B1</f>
        <v>0</v>
      </c>
      <c r="F52" s="16">
        <f t="shared" si="4"/>
        <v>0</v>
      </c>
      <c r="G52" s="17">
        <f>F52/B2</f>
        <v>0</v>
      </c>
      <c r="H52" s="15"/>
      <c r="I52" s="14"/>
      <c r="J52" s="2"/>
      <c r="K52" s="2"/>
      <c r="L52" s="2"/>
      <c r="M52" s="7"/>
      <c r="N52" s="7"/>
    </row>
    <row r="53">
      <c r="A53" s="12">
        <v>45653.0</v>
      </c>
      <c r="B53" s="6" t="s">
        <v>43</v>
      </c>
      <c r="C53" s="2">
        <v>0.0</v>
      </c>
      <c r="D53" s="16">
        <f t="shared" si="3"/>
        <v>0</v>
      </c>
      <c r="E53" s="17">
        <f>D53/B1</f>
        <v>0</v>
      </c>
      <c r="F53" s="16">
        <f t="shared" si="4"/>
        <v>0</v>
      </c>
      <c r="G53" s="17">
        <f>F53/B2</f>
        <v>0</v>
      </c>
      <c r="H53" s="15"/>
      <c r="I53" s="14"/>
      <c r="J53" s="2"/>
      <c r="K53" s="2"/>
      <c r="L53" s="2"/>
      <c r="M53" s="7"/>
      <c r="N53" s="7"/>
    </row>
    <row r="54">
      <c r="A54" s="12">
        <v>45653.0</v>
      </c>
      <c r="B54" s="6" t="s">
        <v>27</v>
      </c>
      <c r="C54" s="2">
        <v>0.0</v>
      </c>
      <c r="D54" s="16">
        <f t="shared" si="3"/>
        <v>0</v>
      </c>
      <c r="E54" s="17">
        <f>D54/B1</f>
        <v>0</v>
      </c>
      <c r="F54" s="16">
        <f t="shared" si="4"/>
        <v>0</v>
      </c>
      <c r="G54" s="17">
        <f>F54/B2</f>
        <v>0</v>
      </c>
      <c r="H54" s="15"/>
      <c r="I54" s="14"/>
      <c r="J54" s="2"/>
      <c r="K54" s="2"/>
      <c r="L54" s="2"/>
      <c r="M54" s="7"/>
      <c r="N54" s="7"/>
    </row>
    <row r="55">
      <c r="A55" s="12">
        <v>45653.0</v>
      </c>
      <c r="B55" s="6" t="s">
        <v>44</v>
      </c>
      <c r="C55" s="2">
        <v>0.0</v>
      </c>
      <c r="D55" s="16">
        <f t="shared" si="3"/>
        <v>0</v>
      </c>
      <c r="E55" s="17">
        <f>D55/B1</f>
        <v>0</v>
      </c>
      <c r="F55" s="16">
        <f t="shared" si="4"/>
        <v>0</v>
      </c>
      <c r="G55" s="17">
        <f>F55/B2</f>
        <v>0</v>
      </c>
      <c r="H55" s="15"/>
      <c r="I55" s="14"/>
      <c r="J55" s="2"/>
      <c r="K55" s="2"/>
      <c r="L55" s="2"/>
      <c r="M55" s="7"/>
      <c r="N55" s="7"/>
    </row>
    <row r="56">
      <c r="A56" s="12">
        <v>45654.0</v>
      </c>
      <c r="B56" s="6" t="s">
        <v>43</v>
      </c>
      <c r="C56" s="2">
        <v>0.0</v>
      </c>
      <c r="D56" s="16">
        <f t="shared" si="3"/>
        <v>0</v>
      </c>
      <c r="E56" s="17">
        <f>D56/B1</f>
        <v>0</v>
      </c>
      <c r="F56" s="16">
        <f t="shared" si="4"/>
        <v>0</v>
      </c>
      <c r="G56" s="17">
        <f>F56/B2</f>
        <v>0</v>
      </c>
      <c r="H56" s="15"/>
      <c r="I56" s="14"/>
      <c r="J56" s="2"/>
      <c r="K56" s="2"/>
      <c r="L56" s="2"/>
      <c r="M56" s="7"/>
      <c r="N56" s="7"/>
    </row>
    <row r="57">
      <c r="A57" s="12">
        <v>45654.0</v>
      </c>
      <c r="B57" s="6" t="s">
        <v>27</v>
      </c>
      <c r="C57" s="2">
        <v>0.0</v>
      </c>
      <c r="D57" s="16">
        <f t="shared" si="3"/>
        <v>0</v>
      </c>
      <c r="E57" s="17">
        <f>D57/B1</f>
        <v>0</v>
      </c>
      <c r="F57" s="16">
        <f t="shared" si="4"/>
        <v>0</v>
      </c>
      <c r="G57" s="17">
        <f>F57/B2</f>
        <v>0</v>
      </c>
      <c r="H57" s="15"/>
      <c r="I57" s="14"/>
      <c r="J57" s="2"/>
      <c r="K57" s="2"/>
      <c r="L57" s="2"/>
      <c r="M57" s="7"/>
      <c r="N57" s="7"/>
    </row>
    <row r="58">
      <c r="A58" s="12">
        <v>45654.0</v>
      </c>
      <c r="B58" s="6" t="s">
        <v>44</v>
      </c>
      <c r="C58" s="2">
        <v>0.0</v>
      </c>
      <c r="D58" s="16">
        <f t="shared" si="3"/>
        <v>0</v>
      </c>
      <c r="E58" s="17">
        <f>D58/B1</f>
        <v>0</v>
      </c>
      <c r="F58" s="16">
        <f t="shared" si="4"/>
        <v>0</v>
      </c>
      <c r="G58" s="17">
        <f>F58/B2</f>
        <v>0</v>
      </c>
      <c r="H58" s="15"/>
      <c r="I58" s="14"/>
      <c r="J58" s="2"/>
      <c r="K58" s="2"/>
      <c r="L58" s="2"/>
    </row>
    <row r="59">
      <c r="A59" s="12">
        <v>45655.0</v>
      </c>
      <c r="B59" s="6" t="s">
        <v>43</v>
      </c>
      <c r="C59" s="2">
        <v>0.0</v>
      </c>
      <c r="D59" s="16">
        <f t="shared" si="3"/>
        <v>0</v>
      </c>
      <c r="E59" s="17">
        <f>D59/B1</f>
        <v>0</v>
      </c>
      <c r="F59" s="16">
        <f t="shared" si="4"/>
        <v>0</v>
      </c>
      <c r="G59" s="17">
        <f>F59/B2</f>
        <v>0</v>
      </c>
      <c r="H59" s="15"/>
      <c r="I59" s="14"/>
      <c r="J59" s="2"/>
      <c r="K59" s="2"/>
      <c r="L59" s="2"/>
    </row>
    <row r="60">
      <c r="A60" s="12">
        <v>45655.0</v>
      </c>
      <c r="B60" s="6" t="s">
        <v>27</v>
      </c>
      <c r="C60" s="2">
        <v>0.0</v>
      </c>
      <c r="D60" s="16">
        <f t="shared" si="3"/>
        <v>0</v>
      </c>
      <c r="E60" s="17">
        <f>D60/B1</f>
        <v>0</v>
      </c>
      <c r="F60" s="16">
        <f t="shared" si="4"/>
        <v>0</v>
      </c>
      <c r="G60" s="17">
        <f>F60/B2</f>
        <v>0</v>
      </c>
      <c r="H60" s="15"/>
      <c r="I60" s="14"/>
      <c r="J60" s="2"/>
      <c r="K60" s="2"/>
      <c r="L60" s="2"/>
    </row>
    <row r="61">
      <c r="A61" s="12">
        <v>45655.0</v>
      </c>
      <c r="B61" s="6" t="s">
        <v>44</v>
      </c>
      <c r="C61" s="2">
        <v>0.0</v>
      </c>
      <c r="D61" s="16">
        <f t="shared" si="3"/>
        <v>0</v>
      </c>
      <c r="E61" s="17">
        <f>D61/B1</f>
        <v>0</v>
      </c>
      <c r="F61" s="16">
        <f t="shared" si="4"/>
        <v>0</v>
      </c>
      <c r="G61" s="17">
        <f>F61/B2</f>
        <v>0</v>
      </c>
      <c r="H61" s="15"/>
      <c r="I61" s="14"/>
      <c r="J61" s="2"/>
      <c r="K61" s="2"/>
      <c r="L61" s="2"/>
    </row>
    <row r="62">
      <c r="A62" s="12">
        <v>45656.0</v>
      </c>
      <c r="B62" s="6" t="s">
        <v>43</v>
      </c>
      <c r="C62" s="2">
        <v>0.0</v>
      </c>
      <c r="D62" s="16">
        <f t="shared" si="3"/>
        <v>0</v>
      </c>
      <c r="E62" s="17">
        <f>D62/B1</f>
        <v>0</v>
      </c>
      <c r="F62" s="16">
        <f t="shared" si="4"/>
        <v>0</v>
      </c>
      <c r="G62" s="17">
        <f>F62/B2</f>
        <v>0</v>
      </c>
      <c r="H62" s="15"/>
      <c r="I62" s="14"/>
      <c r="J62" s="2"/>
      <c r="K62" s="2"/>
      <c r="L62" s="2"/>
    </row>
    <row r="63">
      <c r="A63" s="12">
        <v>45656.0</v>
      </c>
      <c r="B63" s="6" t="s">
        <v>27</v>
      </c>
      <c r="C63" s="2">
        <v>0.0</v>
      </c>
      <c r="D63" s="16">
        <f t="shared" si="3"/>
        <v>0</v>
      </c>
      <c r="E63" s="17">
        <f>D63/B1</f>
        <v>0</v>
      </c>
      <c r="F63" s="16">
        <f t="shared" si="4"/>
        <v>0</v>
      </c>
      <c r="G63" s="17">
        <f>F63/B2</f>
        <v>0</v>
      </c>
      <c r="H63" s="15"/>
      <c r="I63" s="14"/>
      <c r="J63" s="2"/>
      <c r="K63" s="2"/>
      <c r="L63" s="2"/>
    </row>
    <row r="64">
      <c r="A64" s="12">
        <v>45656.0</v>
      </c>
      <c r="B64" s="6" t="s">
        <v>44</v>
      </c>
      <c r="C64" s="2">
        <v>0.0</v>
      </c>
      <c r="D64" s="16">
        <f t="shared" si="3"/>
        <v>0</v>
      </c>
      <c r="E64" s="17">
        <f>D64/B1</f>
        <v>0</v>
      </c>
      <c r="F64" s="16">
        <f t="shared" si="4"/>
        <v>0</v>
      </c>
      <c r="G64" s="17">
        <f>F64/B2</f>
        <v>0</v>
      </c>
      <c r="H64" s="15"/>
      <c r="I64" s="14"/>
      <c r="J64" s="2"/>
      <c r="K64" s="2"/>
      <c r="L64" s="2"/>
    </row>
    <row r="65">
      <c r="A65" s="12">
        <v>45657.0</v>
      </c>
      <c r="B65" s="6" t="s">
        <v>43</v>
      </c>
      <c r="C65" s="2">
        <v>0.0</v>
      </c>
      <c r="D65" s="16">
        <f t="shared" si="3"/>
        <v>0</v>
      </c>
      <c r="E65" s="17">
        <f>D65/B1</f>
        <v>0</v>
      </c>
      <c r="F65" s="16">
        <f t="shared" si="4"/>
        <v>0</v>
      </c>
      <c r="G65" s="17">
        <f>F65/B2</f>
        <v>0</v>
      </c>
      <c r="H65" s="15"/>
      <c r="I65" s="14"/>
      <c r="J65" s="2"/>
      <c r="K65" s="2"/>
      <c r="L65" s="2"/>
    </row>
    <row r="66">
      <c r="A66" s="12">
        <v>45657.0</v>
      </c>
      <c r="B66" s="6" t="s">
        <v>27</v>
      </c>
      <c r="C66" s="2">
        <v>0.0</v>
      </c>
      <c r="D66" s="16">
        <f t="shared" si="3"/>
        <v>0</v>
      </c>
      <c r="E66" s="17">
        <f>D66/B1</f>
        <v>0</v>
      </c>
      <c r="F66" s="16">
        <f t="shared" si="4"/>
        <v>0</v>
      </c>
      <c r="G66" s="17">
        <f>F66/B2</f>
        <v>0</v>
      </c>
      <c r="H66" s="15"/>
      <c r="I66" s="14"/>
      <c r="J66" s="2"/>
      <c r="K66" s="2"/>
      <c r="L66" s="2"/>
    </row>
    <row r="67">
      <c r="A67" s="12">
        <v>45657.0</v>
      </c>
      <c r="B67" s="6" t="s">
        <v>44</v>
      </c>
      <c r="C67" s="2">
        <v>0.0</v>
      </c>
      <c r="D67" s="16">
        <f t="shared" si="3"/>
        <v>0</v>
      </c>
      <c r="E67" s="17">
        <f>D67/B1</f>
        <v>0</v>
      </c>
      <c r="F67" s="16">
        <f t="shared" si="4"/>
        <v>0</v>
      </c>
      <c r="G67" s="17">
        <f>F67/B2</f>
        <v>0</v>
      </c>
      <c r="H67" s="15"/>
      <c r="I67" s="14"/>
      <c r="J67" s="2"/>
      <c r="K67" s="2"/>
      <c r="L67" s="2"/>
    </row>
    <row r="68">
      <c r="A68" s="12">
        <v>45650.0</v>
      </c>
      <c r="B68" s="6" t="s">
        <v>43</v>
      </c>
      <c r="C68" s="2">
        <v>0.0</v>
      </c>
      <c r="D68" s="16">
        <f t="shared" si="3"/>
        <v>0</v>
      </c>
      <c r="E68" s="17">
        <f>D68/B1</f>
        <v>0</v>
      </c>
      <c r="F68" s="16">
        <f t="shared" si="4"/>
        <v>0</v>
      </c>
      <c r="G68" s="17">
        <f>F68/B2</f>
        <v>0</v>
      </c>
      <c r="H68" s="15"/>
      <c r="I68" s="14"/>
      <c r="J68" s="2"/>
      <c r="K68" s="2"/>
      <c r="L68" s="2"/>
    </row>
    <row r="69">
      <c r="A69" s="12">
        <v>45650.0</v>
      </c>
      <c r="B69" s="6" t="s">
        <v>27</v>
      </c>
      <c r="C69" s="2">
        <v>0.0</v>
      </c>
      <c r="D69" s="16">
        <f t="shared" si="3"/>
        <v>0</v>
      </c>
      <c r="E69" s="17">
        <f>D69/B1</f>
        <v>0</v>
      </c>
      <c r="F69" s="16">
        <f t="shared" si="4"/>
        <v>0</v>
      </c>
      <c r="G69" s="17">
        <f>F69/B2</f>
        <v>0</v>
      </c>
      <c r="H69" s="15"/>
      <c r="I69" s="14"/>
      <c r="J69" s="2"/>
      <c r="K69" s="2"/>
      <c r="L69" s="2"/>
    </row>
    <row r="70">
      <c r="A70" s="12">
        <v>45650.0</v>
      </c>
      <c r="B70" s="6" t="s">
        <v>44</v>
      </c>
      <c r="C70" s="2">
        <v>0.0</v>
      </c>
      <c r="D70" s="16">
        <f t="shared" si="3"/>
        <v>0</v>
      </c>
      <c r="E70" s="17">
        <f>D70/B1</f>
        <v>0</v>
      </c>
      <c r="F70" s="16">
        <f t="shared" si="4"/>
        <v>0</v>
      </c>
      <c r="G70" s="17">
        <f>F70/B2</f>
        <v>0</v>
      </c>
      <c r="H70" s="15"/>
      <c r="I70" s="14"/>
      <c r="J70" s="2"/>
      <c r="K70" s="2"/>
      <c r="L70" s="2"/>
    </row>
    <row r="71">
      <c r="A71" s="12">
        <v>45651.0</v>
      </c>
      <c r="B71" s="6" t="s">
        <v>43</v>
      </c>
      <c r="C71" s="2">
        <v>0.0</v>
      </c>
      <c r="D71" s="16">
        <f t="shared" si="3"/>
        <v>0</v>
      </c>
      <c r="E71" s="17">
        <f>D71/B1</f>
        <v>0</v>
      </c>
      <c r="F71" s="16">
        <f t="shared" si="4"/>
        <v>0</v>
      </c>
      <c r="G71" s="17">
        <f>F71/B2</f>
        <v>0</v>
      </c>
      <c r="H71" s="15"/>
      <c r="I71" s="14"/>
      <c r="J71" s="2"/>
      <c r="K71" s="2"/>
      <c r="L71" s="2"/>
    </row>
    <row r="72">
      <c r="A72" s="12">
        <v>45651.0</v>
      </c>
      <c r="B72" s="6" t="s">
        <v>27</v>
      </c>
      <c r="C72" s="2">
        <v>0.0</v>
      </c>
      <c r="D72" s="16">
        <f t="shared" si="3"/>
        <v>0</v>
      </c>
      <c r="E72" s="17">
        <f>D72/B1</f>
        <v>0</v>
      </c>
      <c r="F72" s="16">
        <f t="shared" si="4"/>
        <v>0</v>
      </c>
      <c r="G72" s="17">
        <f>F72/B2</f>
        <v>0</v>
      </c>
      <c r="H72" s="15"/>
      <c r="I72" s="14"/>
      <c r="J72" s="2"/>
      <c r="K72" s="2"/>
      <c r="L72" s="2"/>
    </row>
    <row r="73">
      <c r="A73" s="12">
        <v>45651.0</v>
      </c>
      <c r="B73" s="6" t="s">
        <v>44</v>
      </c>
      <c r="C73" s="2">
        <v>0.0</v>
      </c>
      <c r="D73" s="16">
        <f t="shared" si="3"/>
        <v>0</v>
      </c>
      <c r="E73" s="17">
        <f>D73/B1</f>
        <v>0</v>
      </c>
      <c r="F73" s="16">
        <f t="shared" si="4"/>
        <v>0</v>
      </c>
      <c r="G73" s="17">
        <f>F73/B2</f>
        <v>0</v>
      </c>
      <c r="H73" s="15"/>
      <c r="I73" s="14"/>
      <c r="J73" s="2"/>
      <c r="K73" s="2"/>
      <c r="L73" s="2"/>
    </row>
    <row r="74">
      <c r="A74" s="12">
        <v>45652.0</v>
      </c>
      <c r="B74" s="6" t="s">
        <v>43</v>
      </c>
      <c r="C74" s="2">
        <v>0.0</v>
      </c>
      <c r="D74" s="16">
        <f t="shared" si="3"/>
        <v>0</v>
      </c>
      <c r="E74" s="17">
        <f>D74/B1</f>
        <v>0</v>
      </c>
      <c r="F74" s="16">
        <f t="shared" si="4"/>
        <v>0</v>
      </c>
      <c r="G74" s="17">
        <f>F74/B2</f>
        <v>0</v>
      </c>
      <c r="H74" s="15"/>
      <c r="I74" s="14"/>
      <c r="J74" s="2"/>
      <c r="K74" s="2"/>
      <c r="L74" s="2"/>
    </row>
    <row r="75">
      <c r="A75" s="12">
        <v>45652.0</v>
      </c>
      <c r="B75" s="6" t="s">
        <v>27</v>
      </c>
      <c r="C75" s="2">
        <v>0.0</v>
      </c>
      <c r="D75" s="16">
        <f t="shared" si="3"/>
        <v>0</v>
      </c>
      <c r="E75" s="17">
        <f>D75/B1</f>
        <v>0</v>
      </c>
      <c r="F75" s="16">
        <f t="shared" si="4"/>
        <v>0</v>
      </c>
      <c r="G75" s="17">
        <f>F75/B2</f>
        <v>0</v>
      </c>
      <c r="H75" s="15"/>
      <c r="I75" s="14"/>
      <c r="J75" s="2"/>
      <c r="K75" s="2"/>
      <c r="L75" s="2"/>
    </row>
    <row r="76">
      <c r="A76" s="12">
        <v>45652.0</v>
      </c>
      <c r="B76" s="6" t="s">
        <v>44</v>
      </c>
      <c r="C76" s="2">
        <v>0.0</v>
      </c>
      <c r="D76" s="16">
        <f t="shared" si="3"/>
        <v>0</v>
      </c>
      <c r="E76" s="17">
        <f>D76/B1</f>
        <v>0</v>
      </c>
      <c r="F76" s="16">
        <f t="shared" si="4"/>
        <v>0</v>
      </c>
      <c r="G76" s="17">
        <f>F76/B2</f>
        <v>0</v>
      </c>
      <c r="H76" s="15"/>
      <c r="I76" s="14"/>
      <c r="J76" s="2"/>
      <c r="K76" s="2"/>
      <c r="L76" s="2"/>
    </row>
    <row r="77">
      <c r="A77" s="12">
        <v>45653.0</v>
      </c>
      <c r="B77" s="6" t="s">
        <v>43</v>
      </c>
      <c r="C77" s="2">
        <v>0.0</v>
      </c>
      <c r="D77" s="16">
        <f t="shared" si="3"/>
        <v>0</v>
      </c>
      <c r="E77" s="17">
        <f>D77/B1</f>
        <v>0</v>
      </c>
      <c r="F77" s="16">
        <f t="shared" si="4"/>
        <v>0</v>
      </c>
      <c r="G77" s="17">
        <f>F77/B2</f>
        <v>0</v>
      </c>
      <c r="H77" s="15"/>
      <c r="I77" s="14"/>
      <c r="J77" s="2"/>
      <c r="K77" s="2"/>
      <c r="L77" s="2"/>
    </row>
    <row r="78">
      <c r="A78" s="12">
        <v>45653.0</v>
      </c>
      <c r="B78" s="6" t="s">
        <v>27</v>
      </c>
      <c r="C78" s="2">
        <v>0.0</v>
      </c>
      <c r="D78" s="16">
        <f t="shared" si="3"/>
        <v>0</v>
      </c>
      <c r="E78" s="17">
        <f>D78/B1</f>
        <v>0</v>
      </c>
      <c r="F78" s="16">
        <f t="shared" si="4"/>
        <v>0</v>
      </c>
      <c r="G78" s="17">
        <f>F78/B2</f>
        <v>0</v>
      </c>
      <c r="H78" s="15"/>
      <c r="I78" s="14"/>
      <c r="J78" s="2"/>
      <c r="K78" s="2"/>
      <c r="L78" s="2"/>
    </row>
    <row r="79">
      <c r="A79" s="12">
        <v>45653.0</v>
      </c>
      <c r="B79" s="6" t="s">
        <v>44</v>
      </c>
      <c r="C79" s="2">
        <v>0.0</v>
      </c>
      <c r="D79" s="16">
        <f t="shared" si="3"/>
        <v>0</v>
      </c>
      <c r="E79" s="17">
        <f>D79/B1</f>
        <v>0</v>
      </c>
      <c r="F79" s="16">
        <f t="shared" si="4"/>
        <v>0</v>
      </c>
      <c r="G79" s="17">
        <f>F79/B2</f>
        <v>0</v>
      </c>
      <c r="H79" s="15"/>
      <c r="I79" s="14"/>
      <c r="J79" s="2"/>
      <c r="K79" s="2"/>
      <c r="L79" s="2"/>
    </row>
    <row r="80">
      <c r="A80" s="12">
        <v>45654.0</v>
      </c>
      <c r="B80" s="6" t="s">
        <v>43</v>
      </c>
      <c r="C80" s="2">
        <v>0.0</v>
      </c>
      <c r="D80" s="16">
        <f t="shared" si="3"/>
        <v>0</v>
      </c>
      <c r="E80" s="17">
        <f>D80/B1</f>
        <v>0</v>
      </c>
      <c r="F80" s="16">
        <f t="shared" si="4"/>
        <v>0</v>
      </c>
      <c r="G80" s="17">
        <f>F80/B2</f>
        <v>0</v>
      </c>
      <c r="H80" s="15"/>
      <c r="I80" s="14"/>
      <c r="J80" s="2"/>
      <c r="K80" s="2"/>
      <c r="L80" s="2"/>
    </row>
    <row r="81">
      <c r="A81" s="12">
        <v>45654.0</v>
      </c>
      <c r="B81" s="6" t="s">
        <v>27</v>
      </c>
      <c r="C81" s="2">
        <v>0.0</v>
      </c>
      <c r="D81" s="16">
        <f t="shared" si="3"/>
        <v>0</v>
      </c>
      <c r="E81" s="17">
        <f>D81/B1</f>
        <v>0</v>
      </c>
      <c r="F81" s="16">
        <f t="shared" si="4"/>
        <v>0</v>
      </c>
      <c r="G81" s="17">
        <f>F81/B2</f>
        <v>0</v>
      </c>
      <c r="H81" s="15"/>
      <c r="I81" s="14"/>
      <c r="J81" s="2"/>
      <c r="K81" s="2"/>
      <c r="L81" s="2"/>
    </row>
    <row r="82">
      <c r="A82" s="12">
        <v>45654.0</v>
      </c>
      <c r="B82" s="6" t="s">
        <v>44</v>
      </c>
      <c r="C82" s="2">
        <v>0.0</v>
      </c>
      <c r="D82" s="16">
        <f t="shared" si="3"/>
        <v>0</v>
      </c>
      <c r="E82" s="17">
        <f>D82/B1</f>
        <v>0</v>
      </c>
      <c r="F82" s="16">
        <f t="shared" si="4"/>
        <v>0</v>
      </c>
      <c r="G82" s="17">
        <f>F82/B2</f>
        <v>0</v>
      </c>
      <c r="H82" s="15"/>
      <c r="I82" s="14"/>
      <c r="J82" s="2"/>
      <c r="K82" s="2"/>
      <c r="L82" s="2"/>
    </row>
    <row r="83">
      <c r="A83" s="12">
        <v>45655.0</v>
      </c>
      <c r="B83" s="6" t="s">
        <v>43</v>
      </c>
      <c r="C83" s="2">
        <v>0.0</v>
      </c>
      <c r="D83" s="16">
        <f t="shared" si="3"/>
        <v>0</v>
      </c>
      <c r="E83" s="17">
        <f>D83/B1</f>
        <v>0</v>
      </c>
      <c r="F83" s="16">
        <f t="shared" si="4"/>
        <v>0</v>
      </c>
      <c r="G83" s="17">
        <f>F83/B2</f>
        <v>0</v>
      </c>
      <c r="H83" s="15"/>
      <c r="I83" s="14"/>
      <c r="J83" s="2"/>
      <c r="K83" s="2"/>
      <c r="L83" s="2"/>
    </row>
    <row r="84">
      <c r="A84" s="12">
        <v>45655.0</v>
      </c>
      <c r="B84" s="6" t="s">
        <v>27</v>
      </c>
      <c r="C84" s="2">
        <v>0.0</v>
      </c>
      <c r="D84" s="16">
        <f t="shared" si="3"/>
        <v>0</v>
      </c>
      <c r="E84" s="17">
        <f>D84/B1</f>
        <v>0</v>
      </c>
      <c r="F84" s="16">
        <f t="shared" si="4"/>
        <v>0</v>
      </c>
      <c r="G84" s="17">
        <f>F84/B2</f>
        <v>0</v>
      </c>
      <c r="H84" s="15"/>
      <c r="I84" s="14"/>
      <c r="J84" s="2"/>
      <c r="K84" s="2"/>
      <c r="L84" s="2"/>
    </row>
    <row r="85">
      <c r="A85" s="12">
        <v>45655.0</v>
      </c>
      <c r="B85" s="6" t="s">
        <v>44</v>
      </c>
      <c r="C85" s="2">
        <v>0.0</v>
      </c>
      <c r="D85" s="16">
        <f t="shared" si="3"/>
        <v>0</v>
      </c>
      <c r="E85" s="17">
        <f>D85/B1</f>
        <v>0</v>
      </c>
      <c r="F85" s="16">
        <f t="shared" si="4"/>
        <v>0</v>
      </c>
      <c r="G85" s="17">
        <f>F85/B2</f>
        <v>0</v>
      </c>
      <c r="H85" s="15"/>
      <c r="I85" s="14"/>
      <c r="J85" s="2"/>
      <c r="K85" s="2"/>
      <c r="L85" s="2"/>
    </row>
    <row r="86">
      <c r="A86" s="12">
        <v>45656.0</v>
      </c>
      <c r="B86" s="6" t="s">
        <v>43</v>
      </c>
      <c r="C86" s="2">
        <v>0.0</v>
      </c>
      <c r="D86" s="16">
        <f t="shared" si="3"/>
        <v>0</v>
      </c>
      <c r="E86" s="17">
        <f>D86/B1</f>
        <v>0</v>
      </c>
      <c r="F86" s="16">
        <f t="shared" si="4"/>
        <v>0</v>
      </c>
      <c r="G86" s="17">
        <f>F86/B2</f>
        <v>0</v>
      </c>
      <c r="H86" s="15"/>
      <c r="I86" s="14"/>
      <c r="J86" s="2"/>
      <c r="K86" s="2"/>
      <c r="L86" s="2"/>
    </row>
    <row r="87">
      <c r="A87" s="12">
        <v>45656.0</v>
      </c>
      <c r="B87" s="6" t="s">
        <v>27</v>
      </c>
      <c r="C87" s="2">
        <v>0.0</v>
      </c>
      <c r="D87" s="16">
        <f t="shared" si="3"/>
        <v>0</v>
      </c>
      <c r="E87" s="17">
        <f>D87/B1</f>
        <v>0</v>
      </c>
      <c r="F87" s="16">
        <f t="shared" si="4"/>
        <v>0</v>
      </c>
      <c r="G87" s="17">
        <f>F87/B2</f>
        <v>0</v>
      </c>
      <c r="H87" s="15"/>
      <c r="I87" s="14"/>
      <c r="J87" s="2"/>
      <c r="K87" s="2"/>
      <c r="L87" s="2"/>
    </row>
    <row r="88">
      <c r="A88" s="12">
        <v>45656.0</v>
      </c>
      <c r="B88" s="6" t="s">
        <v>44</v>
      </c>
      <c r="C88" s="2">
        <v>0.0</v>
      </c>
      <c r="D88" s="16">
        <f t="shared" si="3"/>
        <v>0</v>
      </c>
      <c r="E88" s="17">
        <f>D88/B1</f>
        <v>0</v>
      </c>
      <c r="F88" s="16">
        <f t="shared" si="4"/>
        <v>0</v>
      </c>
      <c r="G88" s="17">
        <f>F88/B2</f>
        <v>0</v>
      </c>
      <c r="H88" s="15"/>
      <c r="I88" s="14"/>
      <c r="J88" s="2"/>
      <c r="K88" s="2"/>
      <c r="L88" s="2"/>
    </row>
    <row r="89">
      <c r="A89" s="12">
        <v>45657.0</v>
      </c>
      <c r="B89" s="6" t="s">
        <v>43</v>
      </c>
      <c r="C89" s="2">
        <v>0.0</v>
      </c>
      <c r="D89" s="16">
        <f t="shared" si="3"/>
        <v>0</v>
      </c>
      <c r="E89" s="17">
        <f>D89/B1</f>
        <v>0</v>
      </c>
      <c r="F89" s="16">
        <f t="shared" si="4"/>
        <v>0</v>
      </c>
      <c r="G89" s="17">
        <f>F89/B2</f>
        <v>0</v>
      </c>
      <c r="H89" s="15"/>
      <c r="I89" s="14"/>
      <c r="J89" s="2"/>
      <c r="K89" s="2"/>
      <c r="L89" s="2"/>
    </row>
    <row r="90">
      <c r="A90" s="12">
        <v>45657.0</v>
      </c>
      <c r="B90" s="6" t="s">
        <v>27</v>
      </c>
      <c r="C90" s="2">
        <v>0.0</v>
      </c>
      <c r="D90" s="16">
        <f t="shared" si="3"/>
        <v>0</v>
      </c>
      <c r="E90" s="17">
        <f>D90/B1</f>
        <v>0</v>
      </c>
      <c r="F90" s="16">
        <f t="shared" si="4"/>
        <v>0</v>
      </c>
      <c r="G90" s="17">
        <f>F90/B2</f>
        <v>0</v>
      </c>
      <c r="H90" s="15"/>
      <c r="I90" s="14"/>
      <c r="J90" s="2"/>
      <c r="K90" s="2"/>
      <c r="L90" s="2"/>
    </row>
    <row r="91">
      <c r="A91" s="12">
        <v>45657.0</v>
      </c>
      <c r="B91" s="6" t="s">
        <v>44</v>
      </c>
      <c r="C91" s="2">
        <v>0.0</v>
      </c>
      <c r="D91" s="16">
        <f t="shared" si="3"/>
        <v>0</v>
      </c>
      <c r="E91" s="17">
        <f>D91/B1</f>
        <v>0</v>
      </c>
      <c r="F91" s="16">
        <f t="shared" si="4"/>
        <v>0</v>
      </c>
      <c r="G91" s="17">
        <f>F91/B2</f>
        <v>0</v>
      </c>
      <c r="H91" s="15"/>
      <c r="I91" s="14"/>
      <c r="J91" s="2"/>
      <c r="K91" s="2"/>
      <c r="L91" s="2"/>
    </row>
  </sheetData>
  <dataValidations>
    <dataValidation type="list" allowBlank="1" showErrorMessage="1" sqref="B7">
      <formula1>"MAC1,Ghost Train Haze,Super Citra G"</formula1>
    </dataValidation>
    <dataValidation type="list" allowBlank="1" showErrorMessage="1" sqref="B5:B6 B8:B91">
      <formula1>"MAC1,Ghost Train Haze,Super Citra G"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8.38"/>
    <col customWidth="1" min="2" max="2" width="22.63"/>
    <col customWidth="1" min="3" max="3" width="10.25"/>
    <col customWidth="1" min="4" max="4" width="17.0"/>
    <col customWidth="1" min="5" max="5" width="15.0"/>
    <col customWidth="1" min="6" max="6" width="17.0"/>
    <col customWidth="1" min="7" max="7" width="16.13"/>
    <col customWidth="1" min="8" max="9" width="16.38"/>
    <col customWidth="1" min="10" max="10" width="12.63"/>
    <col customWidth="1" min="11" max="11" width="14.88"/>
    <col customWidth="1" min="12" max="12" width="13.0"/>
  </cols>
  <sheetData>
    <row r="1">
      <c r="A1" s="1" t="s">
        <v>50</v>
      </c>
      <c r="B1" s="2">
        <v>20.0</v>
      </c>
      <c r="C1" s="4">
        <f>D68</f>
        <v>0</v>
      </c>
      <c r="D1" s="5">
        <f t="shared" ref="D1:D4" si="1">C1/B1</f>
        <v>0</v>
      </c>
      <c r="G1" s="1" t="s">
        <v>1</v>
      </c>
      <c r="H1" s="3">
        <f>IFERROR(__xludf.DUMMYFUNCTION("COUNTUNIQUE(A6:A68)"),21.0)</f>
        <v>21</v>
      </c>
      <c r="I1" s="3"/>
      <c r="J1" s="6"/>
      <c r="K1" s="3"/>
      <c r="L1" s="3"/>
      <c r="M1" s="7"/>
      <c r="N1" s="7"/>
    </row>
    <row r="2">
      <c r="A2" s="1" t="s">
        <v>54</v>
      </c>
      <c r="B2" s="2">
        <v>5.0</v>
      </c>
      <c r="C2" s="4">
        <f>F68</f>
        <v>0</v>
      </c>
      <c r="D2" s="5">
        <f t="shared" si="1"/>
        <v>0</v>
      </c>
      <c r="G2" s="1" t="s">
        <v>5</v>
      </c>
      <c r="H2" s="3">
        <f>(B1+B2+B3)/F4</f>
        <v>21</v>
      </c>
      <c r="I2" s="3"/>
      <c r="J2" s="3"/>
      <c r="K2" s="3"/>
      <c r="L2" s="3"/>
      <c r="M2" s="7"/>
      <c r="N2" s="7"/>
    </row>
    <row r="3">
      <c r="A3" s="1" t="s">
        <v>55</v>
      </c>
      <c r="B3" s="2">
        <v>5.0</v>
      </c>
      <c r="C3" s="4">
        <f>H68</f>
        <v>0</v>
      </c>
      <c r="D3" s="8">
        <f t="shared" si="1"/>
        <v>0</v>
      </c>
      <c r="E3" s="3"/>
      <c r="F3" s="6"/>
      <c r="G3" s="3"/>
      <c r="H3" s="3"/>
      <c r="I3" s="3"/>
      <c r="J3" s="3"/>
      <c r="K3" s="3"/>
      <c r="L3" s="3"/>
      <c r="M3" s="7"/>
      <c r="N3" s="7"/>
    </row>
    <row r="4">
      <c r="A4" s="3"/>
      <c r="B4" s="9">
        <f t="shared" ref="B4:C4" si="2">SUM(B1:B3)</f>
        <v>30</v>
      </c>
      <c r="C4" s="9">
        <f t="shared" si="2"/>
        <v>0</v>
      </c>
      <c r="D4" s="5">
        <f t="shared" si="1"/>
        <v>0</v>
      </c>
      <c r="E4" s="1" t="s">
        <v>7</v>
      </c>
      <c r="F4" s="3">
        <f>SUM(C6:C68)/H1</f>
        <v>1.428571429</v>
      </c>
      <c r="G4" s="3"/>
      <c r="H4" s="3"/>
      <c r="I4" s="3"/>
      <c r="J4" s="3"/>
      <c r="K4" s="3"/>
      <c r="L4" s="3"/>
      <c r="M4" s="7"/>
      <c r="N4" s="7"/>
    </row>
    <row r="5">
      <c r="A5" s="10" t="s">
        <v>8</v>
      </c>
      <c r="B5" s="10" t="s">
        <v>9</v>
      </c>
      <c r="C5" s="10" t="s">
        <v>10</v>
      </c>
      <c r="D5" s="10" t="s">
        <v>52</v>
      </c>
      <c r="E5" s="10" t="s">
        <v>52</v>
      </c>
      <c r="F5" s="10" t="s">
        <v>56</v>
      </c>
      <c r="G5" s="10" t="s">
        <v>56</v>
      </c>
      <c r="H5" s="10" t="s">
        <v>57</v>
      </c>
      <c r="I5" s="10" t="s">
        <v>57</v>
      </c>
      <c r="J5" s="10" t="s">
        <v>58</v>
      </c>
      <c r="K5" s="10" t="s">
        <v>59</v>
      </c>
      <c r="L5" s="10" t="s">
        <v>60</v>
      </c>
      <c r="M5" s="7"/>
      <c r="N5" s="7"/>
    </row>
    <row r="6">
      <c r="A6" s="12">
        <v>45657.0</v>
      </c>
      <c r="B6" s="6" t="s">
        <v>61</v>
      </c>
      <c r="C6" s="2">
        <v>1.64</v>
      </c>
      <c r="D6" s="4">
        <f>IF(B6="WW",B1-C6,B1)</f>
        <v>18.36</v>
      </c>
      <c r="E6" s="13">
        <f>D6/B1</f>
        <v>0.918</v>
      </c>
      <c r="F6" s="2">
        <f>IF(B6="FLA",B2-C6,B2)</f>
        <v>5</v>
      </c>
      <c r="G6" s="14">
        <f>F6/B2</f>
        <v>1</v>
      </c>
      <c r="H6" s="15">
        <f>IF(B6="MAC1+",B3-C6,B3)</f>
        <v>5</v>
      </c>
      <c r="I6" s="14">
        <f>H6/B3</f>
        <v>1</v>
      </c>
      <c r="J6" s="2">
        <v>0.0</v>
      </c>
      <c r="K6" s="2">
        <v>0.0</v>
      </c>
      <c r="L6" s="2">
        <v>0.0</v>
      </c>
      <c r="M6" s="7"/>
      <c r="N6" s="7"/>
    </row>
    <row r="7">
      <c r="A7" s="12">
        <v>45657.0</v>
      </c>
      <c r="B7" s="6" t="s">
        <v>62</v>
      </c>
      <c r="C7" s="2">
        <v>0.0</v>
      </c>
      <c r="D7" s="16">
        <f t="shared" ref="D7:D68" si="3">IF(B7="WW",D6-C7,D6)</f>
        <v>18.36</v>
      </c>
      <c r="E7" s="17">
        <f>D7/B1</f>
        <v>0.918</v>
      </c>
      <c r="F7" s="16">
        <f t="shared" ref="F7:F68" si="4">IF(B7="FLA",F6-C7,F6)</f>
        <v>5</v>
      </c>
      <c r="G7" s="17">
        <f>F7/B2</f>
        <v>1</v>
      </c>
      <c r="H7" s="15">
        <f t="shared" ref="H7:H68" si="5">IF(B7="MAC1+",H6-C7,H6)</f>
        <v>5</v>
      </c>
      <c r="I7" s="14">
        <f>H7/B3</f>
        <v>1</v>
      </c>
      <c r="J7" s="2">
        <v>0.0</v>
      </c>
      <c r="K7" s="2">
        <v>0.0</v>
      </c>
      <c r="L7" s="2">
        <v>0.0</v>
      </c>
      <c r="M7" s="7"/>
      <c r="N7" s="7"/>
    </row>
    <row r="8">
      <c r="A8" s="12">
        <v>45657.0</v>
      </c>
      <c r="B8" s="6" t="s">
        <v>63</v>
      </c>
      <c r="C8" s="2">
        <v>0.0</v>
      </c>
      <c r="D8" s="16">
        <f t="shared" si="3"/>
        <v>18.36</v>
      </c>
      <c r="E8" s="17">
        <f>D8/B1</f>
        <v>0.918</v>
      </c>
      <c r="F8" s="16">
        <f t="shared" si="4"/>
        <v>5</v>
      </c>
      <c r="G8" s="17">
        <f>F8/B2</f>
        <v>1</v>
      </c>
      <c r="H8" s="15">
        <f t="shared" si="5"/>
        <v>5</v>
      </c>
      <c r="I8" s="14">
        <f>H8/B3</f>
        <v>1</v>
      </c>
      <c r="J8" s="2">
        <v>0.0</v>
      </c>
      <c r="K8" s="2">
        <v>0.0</v>
      </c>
      <c r="L8" s="2">
        <v>0.0</v>
      </c>
      <c r="M8" s="7"/>
      <c r="N8" s="7"/>
    </row>
    <row r="9">
      <c r="A9" s="12">
        <v>45658.0</v>
      </c>
      <c r="B9" s="6" t="s">
        <v>61</v>
      </c>
      <c r="C9" s="2">
        <v>0.94</v>
      </c>
      <c r="D9" s="16">
        <f t="shared" si="3"/>
        <v>17.42</v>
      </c>
      <c r="E9" s="17">
        <f>D9/B1</f>
        <v>0.871</v>
      </c>
      <c r="F9" s="16">
        <f t="shared" si="4"/>
        <v>5</v>
      </c>
      <c r="G9" s="17">
        <f>F9/B2</f>
        <v>1</v>
      </c>
      <c r="H9" s="15">
        <f t="shared" si="5"/>
        <v>5</v>
      </c>
      <c r="I9" s="14">
        <f>H9/B3</f>
        <v>1</v>
      </c>
      <c r="J9" s="2">
        <v>0.0</v>
      </c>
      <c r="K9" s="2">
        <v>0.0</v>
      </c>
      <c r="L9" s="2">
        <v>0.0</v>
      </c>
      <c r="M9" s="7"/>
      <c r="N9" s="7"/>
    </row>
    <row r="10">
      <c r="A10" s="12">
        <v>45658.0</v>
      </c>
      <c r="B10" s="6" t="s">
        <v>62</v>
      </c>
      <c r="C10" s="2">
        <v>0.0</v>
      </c>
      <c r="D10" s="16">
        <f t="shared" si="3"/>
        <v>17.42</v>
      </c>
      <c r="E10" s="17">
        <f>D10/B1</f>
        <v>0.871</v>
      </c>
      <c r="F10" s="16">
        <f t="shared" si="4"/>
        <v>5</v>
      </c>
      <c r="G10" s="17">
        <f>F10/B2</f>
        <v>1</v>
      </c>
      <c r="H10" s="15">
        <f t="shared" si="5"/>
        <v>5</v>
      </c>
      <c r="I10" s="14">
        <f>H10/B3</f>
        <v>1</v>
      </c>
      <c r="J10" s="2">
        <v>0.0</v>
      </c>
      <c r="K10" s="2">
        <v>0.0</v>
      </c>
      <c r="L10" s="2">
        <v>0.0</v>
      </c>
      <c r="M10" s="7"/>
      <c r="N10" s="7"/>
    </row>
    <row r="11">
      <c r="A11" s="12">
        <v>45658.0</v>
      </c>
      <c r="B11" s="6" t="s">
        <v>63</v>
      </c>
      <c r="C11" s="2">
        <v>0.0</v>
      </c>
      <c r="D11" s="16">
        <f t="shared" si="3"/>
        <v>17.42</v>
      </c>
      <c r="E11" s="17">
        <f>D11/B1</f>
        <v>0.871</v>
      </c>
      <c r="F11" s="16">
        <f t="shared" si="4"/>
        <v>5</v>
      </c>
      <c r="G11" s="17">
        <f>F11/B2</f>
        <v>1</v>
      </c>
      <c r="H11" s="15">
        <f t="shared" si="5"/>
        <v>5</v>
      </c>
      <c r="I11" s="14">
        <f>H11/B3</f>
        <v>1</v>
      </c>
      <c r="J11" s="2">
        <v>0.0</v>
      </c>
      <c r="K11" s="2">
        <v>0.0</v>
      </c>
      <c r="L11" s="2">
        <v>0.0</v>
      </c>
      <c r="M11" s="7"/>
      <c r="N11" s="7"/>
    </row>
    <row r="12">
      <c r="A12" s="12">
        <v>45659.0</v>
      </c>
      <c r="B12" s="6" t="s">
        <v>61</v>
      </c>
      <c r="C12" s="2">
        <v>0.97</v>
      </c>
      <c r="D12" s="16">
        <f t="shared" si="3"/>
        <v>16.45</v>
      </c>
      <c r="E12" s="17">
        <f>D12/B1</f>
        <v>0.8225</v>
      </c>
      <c r="F12" s="16">
        <f t="shared" si="4"/>
        <v>5</v>
      </c>
      <c r="G12" s="17">
        <f>F12/B2</f>
        <v>1</v>
      </c>
      <c r="H12" s="15">
        <f t="shared" si="5"/>
        <v>5</v>
      </c>
      <c r="I12" s="14">
        <f>H12/B3</f>
        <v>1</v>
      </c>
      <c r="J12" s="2">
        <v>0.0</v>
      </c>
      <c r="K12" s="2">
        <v>0.0</v>
      </c>
      <c r="L12" s="2">
        <v>0.0</v>
      </c>
      <c r="M12" s="7"/>
      <c r="N12" s="7"/>
    </row>
    <row r="13">
      <c r="A13" s="12">
        <v>45659.0</v>
      </c>
      <c r="B13" s="6" t="s">
        <v>62</v>
      </c>
      <c r="C13" s="2">
        <v>0.4</v>
      </c>
      <c r="D13" s="16">
        <f t="shared" si="3"/>
        <v>16.45</v>
      </c>
      <c r="E13" s="17">
        <f>D13/B1</f>
        <v>0.8225</v>
      </c>
      <c r="F13" s="16">
        <f t="shared" si="4"/>
        <v>4.6</v>
      </c>
      <c r="G13" s="17">
        <f>F13/B2</f>
        <v>0.92</v>
      </c>
      <c r="H13" s="15">
        <f t="shared" si="5"/>
        <v>5</v>
      </c>
      <c r="I13" s="14">
        <f>H13/B3</f>
        <v>1</v>
      </c>
      <c r="J13" s="2">
        <v>0.0</v>
      </c>
      <c r="K13" s="2">
        <v>0.0</v>
      </c>
      <c r="L13" s="2">
        <v>0.0</v>
      </c>
      <c r="M13" s="7"/>
      <c r="N13" s="7"/>
    </row>
    <row r="14">
      <c r="A14" s="12">
        <v>45659.0</v>
      </c>
      <c r="B14" s="6" t="s">
        <v>63</v>
      </c>
      <c r="C14" s="2">
        <v>0.56</v>
      </c>
      <c r="D14" s="16">
        <f t="shared" si="3"/>
        <v>16.45</v>
      </c>
      <c r="E14" s="17">
        <f>D14/B1</f>
        <v>0.8225</v>
      </c>
      <c r="F14" s="16">
        <f t="shared" si="4"/>
        <v>4.6</v>
      </c>
      <c r="G14" s="17">
        <f>F14/B2</f>
        <v>0.92</v>
      </c>
      <c r="H14" s="15">
        <f t="shared" si="5"/>
        <v>4.44</v>
      </c>
      <c r="I14" s="14">
        <f>H14/B3</f>
        <v>0.888</v>
      </c>
      <c r="J14" s="2">
        <v>0.0</v>
      </c>
      <c r="K14" s="2">
        <v>0.0</v>
      </c>
      <c r="L14" s="2">
        <v>0.0</v>
      </c>
      <c r="M14" s="7"/>
      <c r="N14" s="7"/>
    </row>
    <row r="15">
      <c r="A15" s="12">
        <v>45660.0</v>
      </c>
      <c r="B15" s="6" t="s">
        <v>61</v>
      </c>
      <c r="C15" s="2">
        <v>0.0</v>
      </c>
      <c r="D15" s="16">
        <f t="shared" si="3"/>
        <v>16.45</v>
      </c>
      <c r="E15" s="17">
        <f>D15/B1</f>
        <v>0.8225</v>
      </c>
      <c r="F15" s="16">
        <f t="shared" si="4"/>
        <v>4.6</v>
      </c>
      <c r="G15" s="17">
        <f>F15/B2</f>
        <v>0.92</v>
      </c>
      <c r="H15" s="15">
        <f t="shared" si="5"/>
        <v>4.44</v>
      </c>
      <c r="I15" s="14">
        <f>H15/B3</f>
        <v>0.888</v>
      </c>
      <c r="J15" s="2">
        <v>0.0</v>
      </c>
      <c r="K15" s="2">
        <v>0.0</v>
      </c>
      <c r="L15" s="2">
        <v>0.0</v>
      </c>
      <c r="M15" s="7"/>
      <c r="N15" s="7"/>
    </row>
    <row r="16">
      <c r="A16" s="12">
        <v>45660.0</v>
      </c>
      <c r="B16" s="6" t="s">
        <v>62</v>
      </c>
      <c r="C16" s="2">
        <v>0.0</v>
      </c>
      <c r="D16" s="16">
        <f t="shared" si="3"/>
        <v>16.45</v>
      </c>
      <c r="E16" s="17">
        <f>D16/B1</f>
        <v>0.8225</v>
      </c>
      <c r="F16" s="16">
        <f t="shared" si="4"/>
        <v>4.6</v>
      </c>
      <c r="G16" s="17">
        <f>F16/B2</f>
        <v>0.92</v>
      </c>
      <c r="H16" s="15">
        <f t="shared" si="5"/>
        <v>4.44</v>
      </c>
      <c r="I16" s="14">
        <f>H16/B3</f>
        <v>0.888</v>
      </c>
      <c r="J16" s="2">
        <v>0.0</v>
      </c>
      <c r="K16" s="2">
        <v>0.0</v>
      </c>
      <c r="L16" s="2">
        <v>0.0</v>
      </c>
      <c r="M16" s="7"/>
      <c r="N16" s="7"/>
    </row>
    <row r="17">
      <c r="A17" s="12">
        <v>45660.0</v>
      </c>
      <c r="B17" s="6" t="s">
        <v>63</v>
      </c>
      <c r="C17" s="2">
        <v>0.0</v>
      </c>
      <c r="D17" s="16">
        <f t="shared" si="3"/>
        <v>16.45</v>
      </c>
      <c r="E17" s="17">
        <f>D17/B1</f>
        <v>0.8225</v>
      </c>
      <c r="F17" s="16">
        <f t="shared" si="4"/>
        <v>4.6</v>
      </c>
      <c r="G17" s="17">
        <f>F17/B2</f>
        <v>0.92</v>
      </c>
      <c r="H17" s="15">
        <f t="shared" si="5"/>
        <v>4.44</v>
      </c>
      <c r="I17" s="14">
        <f>H17/B3</f>
        <v>0.888</v>
      </c>
      <c r="J17" s="2">
        <v>0.0</v>
      </c>
      <c r="K17" s="2">
        <v>0.0</v>
      </c>
      <c r="L17" s="2">
        <v>0.0</v>
      </c>
      <c r="M17" s="7"/>
      <c r="N17" s="7"/>
    </row>
    <row r="18">
      <c r="A18" s="12">
        <v>45661.0</v>
      </c>
      <c r="B18" s="6" t="s">
        <v>61</v>
      </c>
      <c r="C18" s="2">
        <v>1.58</v>
      </c>
      <c r="D18" s="16">
        <f t="shared" si="3"/>
        <v>14.87</v>
      </c>
      <c r="E18" s="17">
        <f>D18/B1</f>
        <v>0.7435</v>
      </c>
      <c r="F18" s="16">
        <f t="shared" si="4"/>
        <v>4.6</v>
      </c>
      <c r="G18" s="17">
        <f>F18/B2</f>
        <v>0.92</v>
      </c>
      <c r="H18" s="15">
        <f t="shared" si="5"/>
        <v>4.44</v>
      </c>
      <c r="I18" s="14">
        <f>H18/B3</f>
        <v>0.888</v>
      </c>
      <c r="J18" s="2">
        <v>0.0</v>
      </c>
      <c r="K18" s="2">
        <v>0.0</v>
      </c>
      <c r="L18" s="2">
        <v>0.0</v>
      </c>
      <c r="M18" s="7"/>
      <c r="N18" s="7"/>
    </row>
    <row r="19">
      <c r="A19" s="12">
        <v>45661.0</v>
      </c>
      <c r="B19" s="6" t="s">
        <v>62</v>
      </c>
      <c r="C19" s="2">
        <v>0.31</v>
      </c>
      <c r="D19" s="16">
        <f t="shared" si="3"/>
        <v>14.87</v>
      </c>
      <c r="E19" s="17">
        <f>D19/B1</f>
        <v>0.7435</v>
      </c>
      <c r="F19" s="16">
        <f t="shared" si="4"/>
        <v>4.29</v>
      </c>
      <c r="G19" s="17">
        <f>F19/B2</f>
        <v>0.858</v>
      </c>
      <c r="H19" s="15">
        <f t="shared" si="5"/>
        <v>4.44</v>
      </c>
      <c r="I19" s="14">
        <f>H19/B3</f>
        <v>0.888</v>
      </c>
      <c r="J19" s="2">
        <v>0.0</v>
      </c>
      <c r="K19" s="2">
        <v>0.0</v>
      </c>
      <c r="L19" s="2">
        <v>0.0</v>
      </c>
      <c r="M19" s="7"/>
      <c r="N19" s="7"/>
    </row>
    <row r="20">
      <c r="A20" s="12">
        <v>45661.0</v>
      </c>
      <c r="B20" s="6" t="s">
        <v>63</v>
      </c>
      <c r="C20" s="2">
        <v>0.0</v>
      </c>
      <c r="D20" s="16">
        <f t="shared" si="3"/>
        <v>14.87</v>
      </c>
      <c r="E20" s="17">
        <f>D20/B1</f>
        <v>0.7435</v>
      </c>
      <c r="F20" s="16">
        <f t="shared" si="4"/>
        <v>4.29</v>
      </c>
      <c r="G20" s="17">
        <f>F20/B2</f>
        <v>0.858</v>
      </c>
      <c r="H20" s="15">
        <f t="shared" si="5"/>
        <v>4.44</v>
      </c>
      <c r="I20" s="14">
        <f>H20/B3</f>
        <v>0.888</v>
      </c>
      <c r="J20" s="2">
        <v>0.0</v>
      </c>
      <c r="K20" s="2">
        <v>0.0</v>
      </c>
      <c r="L20" s="2">
        <v>0.0</v>
      </c>
      <c r="M20" s="7"/>
      <c r="N20" s="7"/>
    </row>
    <row r="21">
      <c r="A21" s="12">
        <v>45662.0</v>
      </c>
      <c r="B21" s="6" t="s">
        <v>61</v>
      </c>
      <c r="C21" s="2">
        <v>0.87</v>
      </c>
      <c r="D21" s="16">
        <f t="shared" si="3"/>
        <v>14</v>
      </c>
      <c r="E21" s="17">
        <f>D21/B1</f>
        <v>0.7</v>
      </c>
      <c r="F21" s="16">
        <f t="shared" si="4"/>
        <v>4.29</v>
      </c>
      <c r="G21" s="17">
        <f>F21/B2</f>
        <v>0.858</v>
      </c>
      <c r="H21" s="15">
        <f t="shared" si="5"/>
        <v>4.44</v>
      </c>
      <c r="I21" s="14">
        <f>H21/B3</f>
        <v>0.888</v>
      </c>
      <c r="J21" s="2">
        <v>0.0</v>
      </c>
      <c r="K21" s="2">
        <v>0.0</v>
      </c>
      <c r="L21" s="2">
        <v>0.0</v>
      </c>
      <c r="M21" s="7"/>
      <c r="N21" s="7"/>
    </row>
    <row r="22">
      <c r="A22" s="12">
        <v>45662.0</v>
      </c>
      <c r="B22" s="6" t="s">
        <v>62</v>
      </c>
      <c r="C22" s="2">
        <v>0.56</v>
      </c>
      <c r="D22" s="16">
        <f t="shared" si="3"/>
        <v>14</v>
      </c>
      <c r="E22" s="17">
        <f>D22/B1</f>
        <v>0.7</v>
      </c>
      <c r="F22" s="16">
        <f t="shared" si="4"/>
        <v>3.73</v>
      </c>
      <c r="G22" s="17">
        <f>F22/B2</f>
        <v>0.746</v>
      </c>
      <c r="H22" s="15">
        <f t="shared" si="5"/>
        <v>4.44</v>
      </c>
      <c r="I22" s="14">
        <f>H22/B3</f>
        <v>0.888</v>
      </c>
      <c r="J22" s="2">
        <v>0.0</v>
      </c>
      <c r="K22" s="2">
        <v>0.0</v>
      </c>
      <c r="L22" s="2">
        <v>0.0</v>
      </c>
      <c r="M22" s="7"/>
      <c r="N22" s="7"/>
    </row>
    <row r="23">
      <c r="A23" s="12">
        <v>45662.0</v>
      </c>
      <c r="B23" s="6" t="s">
        <v>63</v>
      </c>
      <c r="C23" s="2">
        <v>0.47</v>
      </c>
      <c r="D23" s="16">
        <f t="shared" si="3"/>
        <v>14</v>
      </c>
      <c r="E23" s="17">
        <f>D23/B1</f>
        <v>0.7</v>
      </c>
      <c r="F23" s="16">
        <f t="shared" si="4"/>
        <v>3.73</v>
      </c>
      <c r="G23" s="17">
        <f>F23/B2</f>
        <v>0.746</v>
      </c>
      <c r="H23" s="15">
        <f t="shared" si="5"/>
        <v>3.97</v>
      </c>
      <c r="I23" s="14">
        <f>H23/B3</f>
        <v>0.794</v>
      </c>
      <c r="J23" s="2">
        <v>0.0</v>
      </c>
      <c r="K23" s="2">
        <v>0.0</v>
      </c>
      <c r="L23" s="2">
        <v>0.0</v>
      </c>
      <c r="M23" s="7"/>
      <c r="N23" s="7"/>
    </row>
    <row r="24">
      <c r="A24" s="12">
        <v>45663.0</v>
      </c>
      <c r="B24" s="6" t="s">
        <v>61</v>
      </c>
      <c r="C24" s="2">
        <v>0.0</v>
      </c>
      <c r="D24" s="16">
        <f t="shared" si="3"/>
        <v>14</v>
      </c>
      <c r="E24" s="17">
        <f>D24/B1</f>
        <v>0.7</v>
      </c>
      <c r="F24" s="16">
        <f t="shared" si="4"/>
        <v>3.73</v>
      </c>
      <c r="G24" s="17">
        <f>F24/B2</f>
        <v>0.746</v>
      </c>
      <c r="H24" s="15">
        <f t="shared" si="5"/>
        <v>3.97</v>
      </c>
      <c r="I24" s="14">
        <f>H24/B3</f>
        <v>0.794</v>
      </c>
      <c r="J24" s="2">
        <v>0.0</v>
      </c>
      <c r="K24" s="2">
        <v>0.0</v>
      </c>
      <c r="L24" s="2">
        <v>0.0</v>
      </c>
      <c r="M24" s="7"/>
      <c r="N24" s="7"/>
    </row>
    <row r="25">
      <c r="A25" s="12">
        <v>45663.0</v>
      </c>
      <c r="B25" s="6" t="s">
        <v>62</v>
      </c>
      <c r="C25" s="2">
        <v>0.98</v>
      </c>
      <c r="D25" s="16">
        <f t="shared" si="3"/>
        <v>14</v>
      </c>
      <c r="E25" s="17">
        <f>D25/B1</f>
        <v>0.7</v>
      </c>
      <c r="F25" s="16">
        <f t="shared" si="4"/>
        <v>2.75</v>
      </c>
      <c r="G25" s="17">
        <f>F25/B2</f>
        <v>0.55</v>
      </c>
      <c r="H25" s="15">
        <f t="shared" si="5"/>
        <v>3.97</v>
      </c>
      <c r="I25" s="14">
        <f>H25/B3</f>
        <v>0.794</v>
      </c>
      <c r="J25" s="2">
        <v>0.0</v>
      </c>
      <c r="K25" s="2">
        <v>0.0</v>
      </c>
      <c r="L25" s="2">
        <v>0.0</v>
      </c>
      <c r="M25" s="7"/>
      <c r="N25" s="7"/>
    </row>
    <row r="26">
      <c r="A26" s="12">
        <v>45663.0</v>
      </c>
      <c r="B26" s="6" t="s">
        <v>63</v>
      </c>
      <c r="C26" s="2">
        <v>0.0</v>
      </c>
      <c r="D26" s="16">
        <f t="shared" si="3"/>
        <v>14</v>
      </c>
      <c r="E26" s="17">
        <f>D26/B1</f>
        <v>0.7</v>
      </c>
      <c r="F26" s="16">
        <f t="shared" si="4"/>
        <v>2.75</v>
      </c>
      <c r="G26" s="17">
        <f>F26/B2</f>
        <v>0.55</v>
      </c>
      <c r="H26" s="15">
        <f t="shared" si="5"/>
        <v>3.97</v>
      </c>
      <c r="I26" s="14">
        <f>H26/B3</f>
        <v>0.794</v>
      </c>
      <c r="J26" s="2">
        <v>0.0</v>
      </c>
      <c r="K26" s="2">
        <v>0.0</v>
      </c>
      <c r="L26" s="2">
        <v>0.0</v>
      </c>
      <c r="M26" s="7"/>
      <c r="N26" s="7"/>
    </row>
    <row r="27">
      <c r="A27" s="12">
        <v>45664.0</v>
      </c>
      <c r="B27" s="6" t="s">
        <v>61</v>
      </c>
      <c r="C27" s="2">
        <v>1.0</v>
      </c>
      <c r="D27" s="16">
        <f t="shared" si="3"/>
        <v>13</v>
      </c>
      <c r="E27" s="17">
        <f>D27/B1</f>
        <v>0.65</v>
      </c>
      <c r="F27" s="16">
        <f t="shared" si="4"/>
        <v>2.75</v>
      </c>
      <c r="G27" s="17">
        <f>F27/B2</f>
        <v>0.55</v>
      </c>
      <c r="H27" s="15">
        <f t="shared" si="5"/>
        <v>3.97</v>
      </c>
      <c r="I27" s="14">
        <f>H27/B3</f>
        <v>0.794</v>
      </c>
      <c r="J27" s="2">
        <v>0.0</v>
      </c>
      <c r="K27" s="2">
        <v>0.0</v>
      </c>
      <c r="L27" s="2">
        <v>0.0</v>
      </c>
      <c r="M27" s="7"/>
      <c r="N27" s="7"/>
    </row>
    <row r="28">
      <c r="A28" s="12">
        <v>45664.0</v>
      </c>
      <c r="B28" s="6" t="s">
        <v>62</v>
      </c>
      <c r="C28" s="2">
        <v>0.0</v>
      </c>
      <c r="D28" s="16">
        <f t="shared" si="3"/>
        <v>13</v>
      </c>
      <c r="E28" s="17">
        <f>D28/B1</f>
        <v>0.65</v>
      </c>
      <c r="F28" s="16">
        <f t="shared" si="4"/>
        <v>2.75</v>
      </c>
      <c r="G28" s="17">
        <f>F28/B2</f>
        <v>0.55</v>
      </c>
      <c r="H28" s="15">
        <f t="shared" si="5"/>
        <v>3.97</v>
      </c>
      <c r="I28" s="14">
        <f>H28/B3</f>
        <v>0.794</v>
      </c>
      <c r="J28" s="2">
        <v>0.0</v>
      </c>
      <c r="K28" s="2">
        <v>0.0</v>
      </c>
      <c r="L28" s="2">
        <v>0.0</v>
      </c>
      <c r="M28" s="7"/>
      <c r="N28" s="7"/>
    </row>
    <row r="29">
      <c r="A29" s="12">
        <v>45664.0</v>
      </c>
      <c r="B29" s="6" t="s">
        <v>63</v>
      </c>
      <c r="C29" s="2">
        <v>0.76</v>
      </c>
      <c r="D29" s="16">
        <f t="shared" si="3"/>
        <v>13</v>
      </c>
      <c r="E29" s="17">
        <f>D29/B1</f>
        <v>0.65</v>
      </c>
      <c r="F29" s="16">
        <f t="shared" si="4"/>
        <v>2.75</v>
      </c>
      <c r="G29" s="17">
        <f>F29/B2</f>
        <v>0.55</v>
      </c>
      <c r="H29" s="15">
        <f t="shared" si="5"/>
        <v>3.21</v>
      </c>
      <c r="I29" s="14">
        <f>H29/B3</f>
        <v>0.642</v>
      </c>
      <c r="J29" s="2">
        <v>0.0</v>
      </c>
      <c r="K29" s="2">
        <v>0.0</v>
      </c>
      <c r="L29" s="2">
        <v>0.0</v>
      </c>
      <c r="M29" s="7"/>
      <c r="N29" s="7"/>
    </row>
    <row r="30">
      <c r="A30" s="12">
        <v>45665.0</v>
      </c>
      <c r="B30" s="6" t="s">
        <v>61</v>
      </c>
      <c r="C30" s="2">
        <v>0.89</v>
      </c>
      <c r="D30" s="16">
        <f t="shared" si="3"/>
        <v>12.11</v>
      </c>
      <c r="E30" s="17">
        <f>D30/B1</f>
        <v>0.6055</v>
      </c>
      <c r="F30" s="16">
        <f t="shared" si="4"/>
        <v>2.75</v>
      </c>
      <c r="G30" s="17">
        <f>F30/B2</f>
        <v>0.55</v>
      </c>
      <c r="H30" s="15">
        <f t="shared" si="5"/>
        <v>3.21</v>
      </c>
      <c r="I30" s="14">
        <f>H30/B3</f>
        <v>0.642</v>
      </c>
      <c r="J30" s="2">
        <v>0.0</v>
      </c>
      <c r="K30" s="2">
        <v>0.0</v>
      </c>
      <c r="L30" s="2">
        <v>0.0</v>
      </c>
      <c r="M30" s="7"/>
      <c r="N30" s="7"/>
    </row>
    <row r="31">
      <c r="A31" s="12">
        <v>45665.0</v>
      </c>
      <c r="B31" s="6" t="s">
        <v>62</v>
      </c>
      <c r="C31" s="2">
        <v>0.57</v>
      </c>
      <c r="D31" s="16">
        <f t="shared" si="3"/>
        <v>12.11</v>
      </c>
      <c r="E31" s="17">
        <f>D31/B1</f>
        <v>0.6055</v>
      </c>
      <c r="F31" s="16">
        <f t="shared" si="4"/>
        <v>2.18</v>
      </c>
      <c r="G31" s="17">
        <f>F31/B2</f>
        <v>0.436</v>
      </c>
      <c r="H31" s="15">
        <f t="shared" si="5"/>
        <v>3.21</v>
      </c>
      <c r="I31" s="14">
        <f>H31/B3</f>
        <v>0.642</v>
      </c>
      <c r="J31" s="2">
        <v>0.0</v>
      </c>
      <c r="K31" s="2">
        <v>0.0</v>
      </c>
      <c r="L31" s="2">
        <v>0.0</v>
      </c>
      <c r="M31" s="7"/>
      <c r="N31" s="7"/>
    </row>
    <row r="32">
      <c r="A32" s="12">
        <v>45665.0</v>
      </c>
      <c r="B32" s="6" t="s">
        <v>63</v>
      </c>
      <c r="C32" s="2">
        <v>0.68</v>
      </c>
      <c r="D32" s="16">
        <f t="shared" si="3"/>
        <v>12.11</v>
      </c>
      <c r="E32" s="17">
        <f>D32/B1</f>
        <v>0.6055</v>
      </c>
      <c r="F32" s="16">
        <f t="shared" si="4"/>
        <v>2.18</v>
      </c>
      <c r="G32" s="17">
        <f>F32/B2</f>
        <v>0.436</v>
      </c>
      <c r="H32" s="15">
        <f t="shared" si="5"/>
        <v>2.53</v>
      </c>
      <c r="I32" s="14">
        <f>H32/B3</f>
        <v>0.506</v>
      </c>
      <c r="J32" s="2">
        <v>0.0</v>
      </c>
      <c r="K32" s="2">
        <v>0.0</v>
      </c>
      <c r="L32" s="2">
        <v>0.0</v>
      </c>
      <c r="M32" s="7"/>
      <c r="N32" s="7"/>
    </row>
    <row r="33">
      <c r="A33" s="12">
        <v>45666.0</v>
      </c>
      <c r="B33" s="6" t="s">
        <v>61</v>
      </c>
      <c r="C33" s="2">
        <v>0.95</v>
      </c>
      <c r="D33" s="16">
        <f t="shared" si="3"/>
        <v>11.16</v>
      </c>
      <c r="E33" s="17">
        <f>D33/B1</f>
        <v>0.558</v>
      </c>
      <c r="F33" s="16">
        <f t="shared" si="4"/>
        <v>2.18</v>
      </c>
      <c r="G33" s="17">
        <f>F33/B2</f>
        <v>0.436</v>
      </c>
      <c r="H33" s="15">
        <f t="shared" si="5"/>
        <v>2.53</v>
      </c>
      <c r="I33" s="14">
        <f>H33/B3</f>
        <v>0.506</v>
      </c>
      <c r="J33" s="2">
        <v>0.0</v>
      </c>
      <c r="K33" s="2">
        <v>0.0</v>
      </c>
      <c r="L33" s="2">
        <v>0.0</v>
      </c>
      <c r="M33" s="7"/>
      <c r="N33" s="7"/>
    </row>
    <row r="34">
      <c r="A34" s="12">
        <v>45666.0</v>
      </c>
      <c r="B34" s="6" t="s">
        <v>62</v>
      </c>
      <c r="C34" s="2">
        <v>0.61</v>
      </c>
      <c r="D34" s="16">
        <f t="shared" si="3"/>
        <v>11.16</v>
      </c>
      <c r="E34" s="17">
        <f>D34/B1</f>
        <v>0.558</v>
      </c>
      <c r="F34" s="16">
        <f t="shared" si="4"/>
        <v>1.57</v>
      </c>
      <c r="G34" s="17">
        <f>F34/B2</f>
        <v>0.314</v>
      </c>
      <c r="H34" s="15">
        <f t="shared" si="5"/>
        <v>2.53</v>
      </c>
      <c r="I34" s="14">
        <f>H34/B3</f>
        <v>0.506</v>
      </c>
      <c r="J34" s="2">
        <v>0.0</v>
      </c>
      <c r="K34" s="2">
        <v>0.0</v>
      </c>
      <c r="L34" s="2">
        <v>0.0</v>
      </c>
      <c r="M34" s="7"/>
      <c r="N34" s="7"/>
    </row>
    <row r="35">
      <c r="A35" s="12">
        <v>45666.0</v>
      </c>
      <c r="B35" s="6" t="s">
        <v>63</v>
      </c>
      <c r="C35" s="2">
        <v>0.49</v>
      </c>
      <c r="D35" s="16">
        <f t="shared" si="3"/>
        <v>11.16</v>
      </c>
      <c r="E35" s="17">
        <f>D35/B1</f>
        <v>0.558</v>
      </c>
      <c r="F35" s="16">
        <f t="shared" si="4"/>
        <v>1.57</v>
      </c>
      <c r="G35" s="17">
        <f>F35/B2</f>
        <v>0.314</v>
      </c>
      <c r="H35" s="15">
        <f t="shared" si="5"/>
        <v>2.04</v>
      </c>
      <c r="I35" s="14">
        <f>H35/B3</f>
        <v>0.408</v>
      </c>
      <c r="J35" s="2">
        <v>0.0</v>
      </c>
      <c r="K35" s="2">
        <v>0.0</v>
      </c>
      <c r="L35" s="2">
        <v>0.0</v>
      </c>
      <c r="M35" s="7"/>
      <c r="N35" s="7"/>
    </row>
    <row r="36">
      <c r="A36" s="12">
        <v>45667.0</v>
      </c>
      <c r="B36" s="6" t="s">
        <v>61</v>
      </c>
      <c r="C36" s="2">
        <v>0.0</v>
      </c>
      <c r="D36" s="16">
        <f t="shared" si="3"/>
        <v>11.16</v>
      </c>
      <c r="E36" s="17">
        <f>D36/B1</f>
        <v>0.558</v>
      </c>
      <c r="F36" s="16">
        <f t="shared" si="4"/>
        <v>1.57</v>
      </c>
      <c r="G36" s="17">
        <f>F36/B2</f>
        <v>0.314</v>
      </c>
      <c r="H36" s="15">
        <f t="shared" si="5"/>
        <v>2.04</v>
      </c>
      <c r="I36" s="14">
        <f>H36/B3</f>
        <v>0.408</v>
      </c>
      <c r="J36" s="2">
        <v>0.0</v>
      </c>
      <c r="K36" s="2">
        <v>0.0</v>
      </c>
      <c r="L36" s="2">
        <v>0.0</v>
      </c>
      <c r="M36" s="7"/>
      <c r="N36" s="7"/>
    </row>
    <row r="37">
      <c r="A37" s="12">
        <v>45667.0</v>
      </c>
      <c r="B37" s="6" t="s">
        <v>62</v>
      </c>
      <c r="C37" s="2">
        <v>0.41</v>
      </c>
      <c r="D37" s="16">
        <f t="shared" si="3"/>
        <v>11.16</v>
      </c>
      <c r="E37" s="17">
        <f>D37/B1</f>
        <v>0.558</v>
      </c>
      <c r="F37" s="16">
        <f t="shared" si="4"/>
        <v>1.16</v>
      </c>
      <c r="G37" s="17">
        <f>F37/B2</f>
        <v>0.232</v>
      </c>
      <c r="H37" s="15">
        <f t="shared" si="5"/>
        <v>2.04</v>
      </c>
      <c r="I37" s="14">
        <f>H37/B3</f>
        <v>0.408</v>
      </c>
      <c r="J37" s="2">
        <v>0.0</v>
      </c>
      <c r="K37" s="2">
        <v>0.0</v>
      </c>
      <c r="L37" s="2">
        <v>0.0</v>
      </c>
      <c r="M37" s="7"/>
      <c r="N37" s="7"/>
    </row>
    <row r="38">
      <c r="A38" s="12">
        <v>45667.0</v>
      </c>
      <c r="B38" s="6" t="s">
        <v>63</v>
      </c>
      <c r="C38" s="2">
        <v>0.5</v>
      </c>
      <c r="D38" s="16">
        <f t="shared" si="3"/>
        <v>11.16</v>
      </c>
      <c r="E38" s="17">
        <f>D38/B1</f>
        <v>0.558</v>
      </c>
      <c r="F38" s="16">
        <f t="shared" si="4"/>
        <v>1.16</v>
      </c>
      <c r="G38" s="17">
        <f>F38/B2</f>
        <v>0.232</v>
      </c>
      <c r="H38" s="15">
        <f t="shared" si="5"/>
        <v>1.54</v>
      </c>
      <c r="I38" s="14">
        <f>H38/B3</f>
        <v>0.308</v>
      </c>
      <c r="J38" s="2">
        <v>0.0</v>
      </c>
      <c r="K38" s="2">
        <v>0.0</v>
      </c>
      <c r="L38" s="2">
        <v>0.0</v>
      </c>
      <c r="M38" s="7"/>
      <c r="N38" s="7"/>
    </row>
    <row r="39">
      <c r="A39" s="12">
        <v>45668.0</v>
      </c>
      <c r="B39" s="6" t="s">
        <v>61</v>
      </c>
      <c r="C39" s="2">
        <v>1.0</v>
      </c>
      <c r="D39" s="16">
        <f t="shared" si="3"/>
        <v>10.16</v>
      </c>
      <c r="E39" s="17">
        <f>D39/B1</f>
        <v>0.508</v>
      </c>
      <c r="F39" s="16">
        <f t="shared" si="4"/>
        <v>1.16</v>
      </c>
      <c r="G39" s="17">
        <f>F39/B2</f>
        <v>0.232</v>
      </c>
      <c r="H39" s="15">
        <f t="shared" si="5"/>
        <v>1.54</v>
      </c>
      <c r="I39" s="14">
        <f>H39/B3</f>
        <v>0.308</v>
      </c>
      <c r="J39" s="2">
        <v>0.0</v>
      </c>
      <c r="K39" s="2">
        <v>0.0</v>
      </c>
      <c r="L39" s="2">
        <v>0.0</v>
      </c>
      <c r="M39" s="7"/>
      <c r="N39" s="7"/>
    </row>
    <row r="40">
      <c r="A40" s="12">
        <v>45668.0</v>
      </c>
      <c r="B40" s="6" t="s">
        <v>62</v>
      </c>
      <c r="C40" s="2">
        <v>0.0</v>
      </c>
      <c r="D40" s="16">
        <f t="shared" si="3"/>
        <v>10.16</v>
      </c>
      <c r="E40" s="17">
        <f>D40/B1</f>
        <v>0.508</v>
      </c>
      <c r="F40" s="16">
        <f t="shared" si="4"/>
        <v>1.16</v>
      </c>
      <c r="G40" s="17">
        <f>F40/B2</f>
        <v>0.232</v>
      </c>
      <c r="H40" s="15">
        <f t="shared" si="5"/>
        <v>1.54</v>
      </c>
      <c r="I40" s="14">
        <f>H40/B3</f>
        <v>0.308</v>
      </c>
      <c r="J40" s="2">
        <v>0.0</v>
      </c>
      <c r="K40" s="2">
        <v>0.0</v>
      </c>
      <c r="L40" s="2">
        <v>0.0</v>
      </c>
      <c r="M40" s="7"/>
      <c r="N40" s="7"/>
    </row>
    <row r="41">
      <c r="A41" s="12">
        <v>45668.0</v>
      </c>
      <c r="B41" s="6" t="s">
        <v>63</v>
      </c>
      <c r="C41" s="2">
        <v>0.0</v>
      </c>
      <c r="D41" s="16">
        <f t="shared" si="3"/>
        <v>10.16</v>
      </c>
      <c r="E41" s="17">
        <f>D41/B1</f>
        <v>0.508</v>
      </c>
      <c r="F41" s="16">
        <f t="shared" si="4"/>
        <v>1.16</v>
      </c>
      <c r="G41" s="17">
        <f>F41/B2</f>
        <v>0.232</v>
      </c>
      <c r="H41" s="15">
        <f t="shared" si="5"/>
        <v>1.54</v>
      </c>
      <c r="I41" s="14">
        <f>H41/B3</f>
        <v>0.308</v>
      </c>
      <c r="J41" s="2">
        <v>0.0</v>
      </c>
      <c r="K41" s="2">
        <v>0.0</v>
      </c>
      <c r="L41" s="2">
        <v>0.0</v>
      </c>
      <c r="M41" s="7"/>
      <c r="N41" s="7"/>
    </row>
    <row r="42">
      <c r="A42" s="12">
        <v>45669.0</v>
      </c>
      <c r="B42" s="6" t="s">
        <v>61</v>
      </c>
      <c r="C42" s="2">
        <v>0.99</v>
      </c>
      <c r="D42" s="16">
        <f t="shared" si="3"/>
        <v>9.17</v>
      </c>
      <c r="E42" s="17">
        <f>D42/B1</f>
        <v>0.4585</v>
      </c>
      <c r="F42" s="16">
        <f t="shared" si="4"/>
        <v>1.16</v>
      </c>
      <c r="G42" s="17">
        <f>F42/B2</f>
        <v>0.232</v>
      </c>
      <c r="H42" s="15">
        <f t="shared" si="5"/>
        <v>1.54</v>
      </c>
      <c r="I42" s="14">
        <f>H42/B3</f>
        <v>0.308</v>
      </c>
      <c r="J42" s="2">
        <v>0.0</v>
      </c>
      <c r="K42" s="2">
        <v>0.0</v>
      </c>
      <c r="L42" s="2">
        <v>0.0</v>
      </c>
      <c r="M42" s="7"/>
      <c r="N42" s="7"/>
    </row>
    <row r="43">
      <c r="A43" s="12">
        <v>45669.0</v>
      </c>
      <c r="B43" s="6" t="s">
        <v>62</v>
      </c>
      <c r="C43" s="2">
        <v>0.53</v>
      </c>
      <c r="D43" s="16">
        <f t="shared" si="3"/>
        <v>9.17</v>
      </c>
      <c r="E43" s="17">
        <f>D43/B1</f>
        <v>0.4585</v>
      </c>
      <c r="F43" s="16">
        <f t="shared" si="4"/>
        <v>0.63</v>
      </c>
      <c r="G43" s="17">
        <f>F43/B2</f>
        <v>0.126</v>
      </c>
      <c r="H43" s="15">
        <f t="shared" si="5"/>
        <v>1.54</v>
      </c>
      <c r="I43" s="14">
        <f>H43/B3</f>
        <v>0.308</v>
      </c>
      <c r="J43" s="2">
        <v>0.0</v>
      </c>
      <c r="K43" s="2">
        <v>0.0</v>
      </c>
      <c r="L43" s="2">
        <v>0.0</v>
      </c>
      <c r="M43" s="7"/>
      <c r="N43" s="7"/>
    </row>
    <row r="44">
      <c r="A44" s="12">
        <v>45669.0</v>
      </c>
      <c r="B44" s="6" t="s">
        <v>63</v>
      </c>
      <c r="C44" s="2">
        <v>0.51</v>
      </c>
      <c r="D44" s="16">
        <f t="shared" si="3"/>
        <v>9.17</v>
      </c>
      <c r="E44" s="17">
        <f>D44/B1</f>
        <v>0.4585</v>
      </c>
      <c r="F44" s="16">
        <f t="shared" si="4"/>
        <v>0.63</v>
      </c>
      <c r="G44" s="17">
        <f>F44/B2</f>
        <v>0.126</v>
      </c>
      <c r="H44" s="15">
        <f t="shared" si="5"/>
        <v>1.03</v>
      </c>
      <c r="I44" s="14">
        <f>H44/B3</f>
        <v>0.206</v>
      </c>
      <c r="J44" s="2">
        <v>0.0</v>
      </c>
      <c r="K44" s="2">
        <v>0.0</v>
      </c>
      <c r="L44" s="2">
        <v>0.0</v>
      </c>
      <c r="M44" s="7"/>
      <c r="N44" s="7"/>
    </row>
    <row r="45">
      <c r="A45" s="12">
        <v>45670.0</v>
      </c>
      <c r="B45" s="6" t="s">
        <v>61</v>
      </c>
      <c r="C45" s="2">
        <v>1.08</v>
      </c>
      <c r="D45" s="16">
        <f t="shared" si="3"/>
        <v>8.09</v>
      </c>
      <c r="E45" s="17">
        <f>D45/B1</f>
        <v>0.4045</v>
      </c>
      <c r="F45" s="16">
        <f t="shared" si="4"/>
        <v>0.63</v>
      </c>
      <c r="G45" s="17">
        <f>F45/B2</f>
        <v>0.126</v>
      </c>
      <c r="H45" s="15">
        <f t="shared" si="5"/>
        <v>1.03</v>
      </c>
      <c r="I45" s="14">
        <f>H45/B3</f>
        <v>0.206</v>
      </c>
      <c r="J45" s="2">
        <v>0.0</v>
      </c>
      <c r="K45" s="2">
        <v>0.0</v>
      </c>
      <c r="L45" s="2">
        <v>0.0</v>
      </c>
      <c r="M45" s="7"/>
      <c r="N45" s="7"/>
    </row>
    <row r="46">
      <c r="A46" s="12">
        <v>45670.0</v>
      </c>
      <c r="B46" s="6" t="s">
        <v>62</v>
      </c>
      <c r="C46" s="2">
        <v>0.0</v>
      </c>
      <c r="D46" s="16">
        <f t="shared" si="3"/>
        <v>8.09</v>
      </c>
      <c r="E46" s="17">
        <f>D46/B1</f>
        <v>0.4045</v>
      </c>
      <c r="F46" s="16">
        <f t="shared" si="4"/>
        <v>0.63</v>
      </c>
      <c r="G46" s="17">
        <f>F46/B2</f>
        <v>0.126</v>
      </c>
      <c r="H46" s="15">
        <f t="shared" si="5"/>
        <v>1.03</v>
      </c>
      <c r="I46" s="14">
        <f>H46/B3</f>
        <v>0.206</v>
      </c>
      <c r="J46" s="2">
        <v>0.0</v>
      </c>
      <c r="K46" s="2">
        <v>0.0</v>
      </c>
      <c r="L46" s="2">
        <v>0.0</v>
      </c>
      <c r="M46" s="7"/>
      <c r="N46" s="7"/>
    </row>
    <row r="47">
      <c r="A47" s="12">
        <v>45670.0</v>
      </c>
      <c r="B47" s="6" t="s">
        <v>63</v>
      </c>
      <c r="C47" s="2">
        <v>0.55</v>
      </c>
      <c r="D47" s="16">
        <f t="shared" si="3"/>
        <v>8.09</v>
      </c>
      <c r="E47" s="17">
        <f>D47/B1</f>
        <v>0.4045</v>
      </c>
      <c r="F47" s="16">
        <f t="shared" si="4"/>
        <v>0.63</v>
      </c>
      <c r="G47" s="17">
        <f>F47/B2</f>
        <v>0.126</v>
      </c>
      <c r="H47" s="15">
        <f t="shared" si="5"/>
        <v>0.48</v>
      </c>
      <c r="I47" s="14">
        <f>H47/B3</f>
        <v>0.096</v>
      </c>
      <c r="J47" s="2">
        <v>0.0</v>
      </c>
      <c r="K47" s="2">
        <v>0.0</v>
      </c>
      <c r="L47" s="2">
        <v>0.0</v>
      </c>
      <c r="M47" s="7"/>
      <c r="N47" s="7"/>
    </row>
    <row r="48">
      <c r="A48" s="12">
        <v>45671.0</v>
      </c>
      <c r="B48" s="6" t="s">
        <v>61</v>
      </c>
      <c r="C48" s="2">
        <v>1.22</v>
      </c>
      <c r="D48" s="16">
        <f t="shared" si="3"/>
        <v>6.87</v>
      </c>
      <c r="E48" s="17">
        <f>D48/B1</f>
        <v>0.3435</v>
      </c>
      <c r="F48" s="16">
        <f t="shared" si="4"/>
        <v>0.63</v>
      </c>
      <c r="G48" s="17">
        <f>F48/B2</f>
        <v>0.126</v>
      </c>
      <c r="H48" s="15">
        <f t="shared" si="5"/>
        <v>0.48</v>
      </c>
      <c r="I48" s="14">
        <f>H48/B3</f>
        <v>0.096</v>
      </c>
      <c r="J48" s="2">
        <v>0.0</v>
      </c>
      <c r="K48" s="2">
        <v>0.0</v>
      </c>
      <c r="L48" s="2">
        <v>0.0</v>
      </c>
      <c r="M48" s="7"/>
      <c r="N48" s="7"/>
    </row>
    <row r="49">
      <c r="A49" s="12">
        <v>45671.0</v>
      </c>
      <c r="B49" s="6" t="s">
        <v>62</v>
      </c>
      <c r="C49" s="2">
        <v>0.0</v>
      </c>
      <c r="D49" s="16">
        <f t="shared" si="3"/>
        <v>6.87</v>
      </c>
      <c r="E49" s="17">
        <f>D49/B1</f>
        <v>0.3435</v>
      </c>
      <c r="F49" s="16">
        <f t="shared" si="4"/>
        <v>0.63</v>
      </c>
      <c r="G49" s="17">
        <f>F49/B2</f>
        <v>0.126</v>
      </c>
      <c r="H49" s="15">
        <f t="shared" si="5"/>
        <v>0.48</v>
      </c>
      <c r="I49" s="14">
        <f>H49/B3</f>
        <v>0.096</v>
      </c>
      <c r="J49" s="2">
        <v>0.0</v>
      </c>
      <c r="K49" s="2">
        <v>0.0</v>
      </c>
      <c r="L49" s="2">
        <v>0.0</v>
      </c>
      <c r="M49" s="7"/>
      <c r="N49" s="7"/>
    </row>
    <row r="50">
      <c r="A50" s="12">
        <v>45671.0</v>
      </c>
      <c r="B50" s="6" t="s">
        <v>63</v>
      </c>
      <c r="C50" s="2">
        <v>0.48</v>
      </c>
      <c r="D50" s="16">
        <f t="shared" si="3"/>
        <v>6.87</v>
      </c>
      <c r="E50" s="17">
        <f>D50/B1</f>
        <v>0.3435</v>
      </c>
      <c r="F50" s="16">
        <f t="shared" si="4"/>
        <v>0.63</v>
      </c>
      <c r="G50" s="17">
        <f>F50/B2</f>
        <v>0.126</v>
      </c>
      <c r="H50" s="15">
        <f t="shared" si="5"/>
        <v>0</v>
      </c>
      <c r="I50" s="14">
        <f>H50/B3</f>
        <v>0</v>
      </c>
      <c r="J50" s="2">
        <v>0.0</v>
      </c>
      <c r="K50" s="2">
        <v>0.0</v>
      </c>
      <c r="L50" s="2">
        <v>0.0</v>
      </c>
      <c r="M50" s="7"/>
      <c r="N50" s="7"/>
    </row>
    <row r="51">
      <c r="A51" s="12">
        <v>45672.0</v>
      </c>
      <c r="B51" s="6" t="s">
        <v>61</v>
      </c>
      <c r="C51" s="2">
        <v>0.99</v>
      </c>
      <c r="D51" s="16">
        <f t="shared" si="3"/>
        <v>5.88</v>
      </c>
      <c r="E51" s="17">
        <f>D51/B1</f>
        <v>0.294</v>
      </c>
      <c r="F51" s="16">
        <f t="shared" si="4"/>
        <v>0.63</v>
      </c>
      <c r="G51" s="17">
        <f>F51/B2</f>
        <v>0.126</v>
      </c>
      <c r="H51" s="15">
        <f t="shared" si="5"/>
        <v>0</v>
      </c>
      <c r="I51" s="14">
        <f>H51/B3</f>
        <v>0</v>
      </c>
      <c r="J51" s="2">
        <v>0.0</v>
      </c>
      <c r="K51" s="2">
        <v>0.0</v>
      </c>
      <c r="L51" s="2">
        <v>0.0</v>
      </c>
      <c r="M51" s="7"/>
      <c r="N51" s="7"/>
    </row>
    <row r="52">
      <c r="A52" s="12">
        <v>45672.0</v>
      </c>
      <c r="B52" s="6" t="s">
        <v>62</v>
      </c>
      <c r="C52" s="2">
        <v>0.63</v>
      </c>
      <c r="D52" s="16">
        <f t="shared" si="3"/>
        <v>5.88</v>
      </c>
      <c r="E52" s="17">
        <f>D52/B1</f>
        <v>0.294</v>
      </c>
      <c r="F52" s="16">
        <f t="shared" si="4"/>
        <v>0</v>
      </c>
      <c r="G52" s="17">
        <f>F52/B2</f>
        <v>0</v>
      </c>
      <c r="H52" s="15">
        <f t="shared" si="5"/>
        <v>0</v>
      </c>
      <c r="I52" s="14">
        <f>H52/B3</f>
        <v>0</v>
      </c>
      <c r="J52" s="2">
        <v>0.0</v>
      </c>
      <c r="K52" s="2">
        <v>0.0</v>
      </c>
      <c r="L52" s="2">
        <v>0.0</v>
      </c>
      <c r="M52" s="7"/>
      <c r="N52" s="7"/>
    </row>
    <row r="53">
      <c r="A53" s="12">
        <v>45672.0</v>
      </c>
      <c r="B53" s="6" t="s">
        <v>63</v>
      </c>
      <c r="C53" s="2">
        <v>0.0</v>
      </c>
      <c r="D53" s="16">
        <f t="shared" si="3"/>
        <v>5.88</v>
      </c>
      <c r="E53" s="17">
        <f>D53/B1</f>
        <v>0.294</v>
      </c>
      <c r="F53" s="16">
        <f t="shared" si="4"/>
        <v>0</v>
      </c>
      <c r="G53" s="17">
        <f>F53/B2</f>
        <v>0</v>
      </c>
      <c r="H53" s="15">
        <f t="shared" si="5"/>
        <v>0</v>
      </c>
      <c r="I53" s="14">
        <f>H53/B3</f>
        <v>0</v>
      </c>
      <c r="J53" s="2">
        <v>0.0</v>
      </c>
      <c r="K53" s="2">
        <v>0.0</v>
      </c>
      <c r="L53" s="2">
        <v>0.0</v>
      </c>
      <c r="M53" s="7"/>
      <c r="N53" s="7"/>
    </row>
    <row r="54">
      <c r="A54" s="12">
        <v>45673.0</v>
      </c>
      <c r="B54" s="6" t="s">
        <v>61</v>
      </c>
      <c r="C54" s="2">
        <v>1.1</v>
      </c>
      <c r="D54" s="16">
        <f t="shared" si="3"/>
        <v>4.78</v>
      </c>
      <c r="E54" s="17">
        <f>D54/B1</f>
        <v>0.239</v>
      </c>
      <c r="F54" s="16">
        <f t="shared" si="4"/>
        <v>0</v>
      </c>
      <c r="G54" s="17">
        <f>F54/B2</f>
        <v>0</v>
      </c>
      <c r="H54" s="15">
        <f t="shared" si="5"/>
        <v>0</v>
      </c>
      <c r="I54" s="14">
        <f>H54/B3</f>
        <v>0</v>
      </c>
      <c r="J54" s="2">
        <v>0.0</v>
      </c>
      <c r="K54" s="2">
        <v>0.0</v>
      </c>
      <c r="L54" s="2">
        <v>0.0</v>
      </c>
      <c r="M54" s="7"/>
      <c r="N54" s="7"/>
    </row>
    <row r="55">
      <c r="A55" s="12">
        <v>45673.0</v>
      </c>
      <c r="B55" s="6" t="s">
        <v>62</v>
      </c>
      <c r="C55" s="2">
        <v>0.0</v>
      </c>
      <c r="D55" s="16">
        <f t="shared" si="3"/>
        <v>4.78</v>
      </c>
      <c r="E55" s="17">
        <f>D55/B1</f>
        <v>0.239</v>
      </c>
      <c r="F55" s="16">
        <f t="shared" si="4"/>
        <v>0</v>
      </c>
      <c r="G55" s="17">
        <f>F55/B2</f>
        <v>0</v>
      </c>
      <c r="H55" s="15">
        <f t="shared" si="5"/>
        <v>0</v>
      </c>
      <c r="I55" s="14">
        <f>H55/B3</f>
        <v>0</v>
      </c>
      <c r="J55" s="2">
        <v>0.0</v>
      </c>
      <c r="K55" s="2">
        <v>0.0</v>
      </c>
      <c r="L55" s="2">
        <v>0.0</v>
      </c>
      <c r="M55" s="7"/>
      <c r="N55" s="7"/>
    </row>
    <row r="56">
      <c r="A56" s="12">
        <v>45673.0</v>
      </c>
      <c r="B56" s="6" t="s">
        <v>63</v>
      </c>
      <c r="C56" s="2">
        <v>0.0</v>
      </c>
      <c r="D56" s="16">
        <f t="shared" si="3"/>
        <v>4.78</v>
      </c>
      <c r="E56" s="17">
        <f>D56/B1</f>
        <v>0.239</v>
      </c>
      <c r="F56" s="16">
        <f t="shared" si="4"/>
        <v>0</v>
      </c>
      <c r="G56" s="17">
        <f>F56/B2</f>
        <v>0</v>
      </c>
      <c r="H56" s="15">
        <f t="shared" si="5"/>
        <v>0</v>
      </c>
      <c r="I56" s="14">
        <f>H56/B3</f>
        <v>0</v>
      </c>
      <c r="J56" s="2">
        <v>0.0</v>
      </c>
      <c r="K56" s="2">
        <v>0.0</v>
      </c>
      <c r="L56" s="2">
        <v>0.0</v>
      </c>
      <c r="M56" s="7"/>
      <c r="N56" s="7"/>
    </row>
    <row r="57">
      <c r="A57" s="12">
        <v>45674.0</v>
      </c>
      <c r="B57" s="6" t="s">
        <v>61</v>
      </c>
      <c r="C57" s="2">
        <v>1.12</v>
      </c>
      <c r="D57" s="16">
        <f t="shared" si="3"/>
        <v>3.66</v>
      </c>
      <c r="E57" s="17">
        <f>D57/B1</f>
        <v>0.183</v>
      </c>
      <c r="F57" s="16">
        <f t="shared" si="4"/>
        <v>0</v>
      </c>
      <c r="G57" s="17">
        <f>F57/B2</f>
        <v>0</v>
      </c>
      <c r="H57" s="15">
        <f t="shared" si="5"/>
        <v>0</v>
      </c>
      <c r="I57" s="14">
        <f>H57/B3</f>
        <v>0</v>
      </c>
      <c r="J57" s="2">
        <v>0.0</v>
      </c>
      <c r="K57" s="2">
        <v>0.0</v>
      </c>
      <c r="L57" s="2">
        <v>0.0</v>
      </c>
      <c r="M57" s="7"/>
      <c r="N57" s="7"/>
    </row>
    <row r="58">
      <c r="A58" s="12">
        <v>45674.0</v>
      </c>
      <c r="B58" s="6" t="s">
        <v>62</v>
      </c>
      <c r="C58" s="2">
        <v>0.0</v>
      </c>
      <c r="D58" s="16">
        <f t="shared" si="3"/>
        <v>3.66</v>
      </c>
      <c r="E58" s="17">
        <f>D58/B1</f>
        <v>0.183</v>
      </c>
      <c r="F58" s="16">
        <f t="shared" si="4"/>
        <v>0</v>
      </c>
      <c r="G58" s="17">
        <f>F58/B2</f>
        <v>0</v>
      </c>
      <c r="H58" s="15">
        <f t="shared" si="5"/>
        <v>0</v>
      </c>
      <c r="I58" s="14">
        <f>H58/B3</f>
        <v>0</v>
      </c>
      <c r="J58" s="2">
        <v>0.0</v>
      </c>
      <c r="K58" s="2">
        <v>0.0</v>
      </c>
      <c r="L58" s="2">
        <v>0.0</v>
      </c>
      <c r="M58" s="7"/>
      <c r="N58" s="7"/>
    </row>
    <row r="59">
      <c r="A59" s="12">
        <v>45674.0</v>
      </c>
      <c r="B59" s="6" t="s">
        <v>63</v>
      </c>
      <c r="C59" s="2">
        <v>0.0</v>
      </c>
      <c r="D59" s="16">
        <f t="shared" si="3"/>
        <v>3.66</v>
      </c>
      <c r="E59" s="17">
        <f>D59/B1</f>
        <v>0.183</v>
      </c>
      <c r="F59" s="16">
        <f t="shared" si="4"/>
        <v>0</v>
      </c>
      <c r="G59" s="17">
        <f>F59/B2</f>
        <v>0</v>
      </c>
      <c r="H59" s="15">
        <f t="shared" si="5"/>
        <v>0</v>
      </c>
      <c r="I59" s="14">
        <f>H59/B3</f>
        <v>0</v>
      </c>
      <c r="J59" s="2">
        <v>0.0</v>
      </c>
      <c r="K59" s="2">
        <v>0.0</v>
      </c>
      <c r="L59" s="2">
        <v>0.0</v>
      </c>
    </row>
    <row r="60">
      <c r="A60" s="12">
        <v>45675.0</v>
      </c>
      <c r="B60" s="6" t="s">
        <v>61</v>
      </c>
      <c r="C60" s="2">
        <v>1.2</v>
      </c>
      <c r="D60" s="16">
        <f t="shared" si="3"/>
        <v>2.46</v>
      </c>
      <c r="E60" s="17">
        <f>D60/B1</f>
        <v>0.123</v>
      </c>
      <c r="F60" s="16">
        <f t="shared" si="4"/>
        <v>0</v>
      </c>
      <c r="G60" s="17">
        <f>F60/B2</f>
        <v>0</v>
      </c>
      <c r="H60" s="15">
        <f t="shared" si="5"/>
        <v>0</v>
      </c>
      <c r="I60" s="14">
        <f>H60/B3</f>
        <v>0</v>
      </c>
      <c r="J60" s="2">
        <v>0.0</v>
      </c>
      <c r="K60" s="2">
        <v>0.0</v>
      </c>
      <c r="L60" s="2">
        <v>0.0</v>
      </c>
    </row>
    <row r="61">
      <c r="A61" s="12">
        <v>45675.0</v>
      </c>
      <c r="B61" s="6" t="s">
        <v>62</v>
      </c>
      <c r="C61" s="2">
        <v>0.0</v>
      </c>
      <c r="D61" s="16">
        <f t="shared" si="3"/>
        <v>2.46</v>
      </c>
      <c r="E61" s="17">
        <f>D61/B1</f>
        <v>0.123</v>
      </c>
      <c r="F61" s="16">
        <f t="shared" si="4"/>
        <v>0</v>
      </c>
      <c r="G61" s="17">
        <f>F61/B2</f>
        <v>0</v>
      </c>
      <c r="H61" s="15">
        <f t="shared" si="5"/>
        <v>0</v>
      </c>
      <c r="I61" s="14">
        <f>H61/B3</f>
        <v>0</v>
      </c>
      <c r="J61" s="2">
        <v>0.0</v>
      </c>
      <c r="K61" s="2">
        <v>0.0</v>
      </c>
      <c r="L61" s="2">
        <v>0.0</v>
      </c>
    </row>
    <row r="62">
      <c r="A62" s="12">
        <v>45675.0</v>
      </c>
      <c r="B62" s="6" t="s">
        <v>63</v>
      </c>
      <c r="C62" s="2">
        <v>0.0</v>
      </c>
      <c r="D62" s="16">
        <f t="shared" si="3"/>
        <v>2.46</v>
      </c>
      <c r="E62" s="17">
        <f>D62/B1</f>
        <v>0.123</v>
      </c>
      <c r="F62" s="16">
        <f t="shared" si="4"/>
        <v>0</v>
      </c>
      <c r="G62" s="17">
        <f>F62/B2</f>
        <v>0</v>
      </c>
      <c r="H62" s="15">
        <f t="shared" si="5"/>
        <v>0</v>
      </c>
      <c r="I62" s="14">
        <f>H62/B3</f>
        <v>0</v>
      </c>
      <c r="J62" s="2">
        <v>0.0</v>
      </c>
      <c r="K62" s="2">
        <v>0.0</v>
      </c>
      <c r="L62" s="2">
        <v>0.0</v>
      </c>
    </row>
    <row r="63">
      <c r="A63" s="12">
        <v>45676.0</v>
      </c>
      <c r="B63" s="6" t="s">
        <v>61</v>
      </c>
      <c r="C63" s="2">
        <v>1.02</v>
      </c>
      <c r="D63" s="16">
        <f t="shared" si="3"/>
        <v>1.44</v>
      </c>
      <c r="E63" s="17">
        <f>D63/B1</f>
        <v>0.072</v>
      </c>
      <c r="F63" s="16">
        <f t="shared" si="4"/>
        <v>0</v>
      </c>
      <c r="G63" s="17">
        <f>F63/B2</f>
        <v>0</v>
      </c>
      <c r="H63" s="15">
        <f t="shared" si="5"/>
        <v>0</v>
      </c>
      <c r="I63" s="14">
        <f>H63/B3</f>
        <v>0</v>
      </c>
      <c r="J63" s="2">
        <v>0.0</v>
      </c>
      <c r="K63" s="2">
        <v>0.0</v>
      </c>
      <c r="L63" s="2">
        <v>0.0</v>
      </c>
    </row>
    <row r="64">
      <c r="A64" s="12">
        <v>45676.0</v>
      </c>
      <c r="B64" s="6" t="s">
        <v>62</v>
      </c>
      <c r="C64" s="2">
        <v>0.0</v>
      </c>
      <c r="D64" s="16">
        <f t="shared" si="3"/>
        <v>1.44</v>
      </c>
      <c r="E64" s="17">
        <f>D64/B1</f>
        <v>0.072</v>
      </c>
      <c r="F64" s="16">
        <f t="shared" si="4"/>
        <v>0</v>
      </c>
      <c r="G64" s="17">
        <f>F64/B2</f>
        <v>0</v>
      </c>
      <c r="H64" s="15">
        <f t="shared" si="5"/>
        <v>0</v>
      </c>
      <c r="I64" s="14">
        <f>H64/B3</f>
        <v>0</v>
      </c>
      <c r="J64" s="2">
        <v>0.0</v>
      </c>
      <c r="K64" s="2">
        <v>0.0</v>
      </c>
      <c r="L64" s="2">
        <v>0.0</v>
      </c>
    </row>
    <row r="65">
      <c r="A65" s="12">
        <v>45676.0</v>
      </c>
      <c r="B65" s="6" t="s">
        <v>63</v>
      </c>
      <c r="C65" s="2">
        <v>0.0</v>
      </c>
      <c r="D65" s="16">
        <f t="shared" si="3"/>
        <v>1.44</v>
      </c>
      <c r="E65" s="17">
        <f>D65/B1</f>
        <v>0.072</v>
      </c>
      <c r="F65" s="16">
        <f t="shared" si="4"/>
        <v>0</v>
      </c>
      <c r="G65" s="17">
        <f>F65/B2</f>
        <v>0</v>
      </c>
      <c r="H65" s="15">
        <f t="shared" si="5"/>
        <v>0</v>
      </c>
      <c r="I65" s="14">
        <f>H65/B3</f>
        <v>0</v>
      </c>
      <c r="J65" s="2">
        <v>0.0</v>
      </c>
      <c r="K65" s="2">
        <v>0.0</v>
      </c>
      <c r="L65" s="2">
        <v>0.0</v>
      </c>
    </row>
    <row r="66">
      <c r="A66" s="12">
        <v>45677.0</v>
      </c>
      <c r="B66" s="6" t="s">
        <v>61</v>
      </c>
      <c r="C66" s="2">
        <v>1.44</v>
      </c>
      <c r="D66" s="16">
        <f t="shared" si="3"/>
        <v>0</v>
      </c>
      <c r="E66" s="17">
        <f>D66/B1</f>
        <v>0</v>
      </c>
      <c r="F66" s="16">
        <f t="shared" si="4"/>
        <v>0</v>
      </c>
      <c r="G66" s="17">
        <f>F66/B2</f>
        <v>0</v>
      </c>
      <c r="H66" s="15">
        <f t="shared" si="5"/>
        <v>0</v>
      </c>
      <c r="I66" s="14">
        <f>H66/B3</f>
        <v>0</v>
      </c>
      <c r="J66" s="2">
        <v>0.0</v>
      </c>
      <c r="K66" s="2">
        <v>0.0</v>
      </c>
      <c r="L66" s="2">
        <v>0.0</v>
      </c>
    </row>
    <row r="67">
      <c r="A67" s="12">
        <v>45677.0</v>
      </c>
      <c r="B67" s="6" t="s">
        <v>62</v>
      </c>
      <c r="C67" s="2">
        <v>0.0</v>
      </c>
      <c r="D67" s="16">
        <f t="shared" si="3"/>
        <v>0</v>
      </c>
      <c r="E67" s="17">
        <f>D67/B1</f>
        <v>0</v>
      </c>
      <c r="F67" s="16">
        <f t="shared" si="4"/>
        <v>0</v>
      </c>
      <c r="G67" s="17">
        <f>F67/B2</f>
        <v>0</v>
      </c>
      <c r="H67" s="15">
        <f t="shared" si="5"/>
        <v>0</v>
      </c>
      <c r="I67" s="14">
        <f>H67/B3</f>
        <v>0</v>
      </c>
      <c r="J67" s="2">
        <v>0.0</v>
      </c>
      <c r="K67" s="2">
        <v>0.0</v>
      </c>
      <c r="L67" s="2">
        <v>0.0</v>
      </c>
    </row>
    <row r="68">
      <c r="A68" s="12">
        <v>45677.0</v>
      </c>
      <c r="B68" s="6" t="s">
        <v>63</v>
      </c>
      <c r="C68" s="2">
        <v>0.0</v>
      </c>
      <c r="D68" s="16">
        <f t="shared" si="3"/>
        <v>0</v>
      </c>
      <c r="E68" s="17">
        <f>D68/B1</f>
        <v>0</v>
      </c>
      <c r="F68" s="16">
        <f t="shared" si="4"/>
        <v>0</v>
      </c>
      <c r="G68" s="17">
        <f>F68/B2</f>
        <v>0</v>
      </c>
      <c r="H68" s="15">
        <f t="shared" si="5"/>
        <v>0</v>
      </c>
      <c r="I68" s="14">
        <f>H68/B3</f>
        <v>0</v>
      </c>
      <c r="J68" s="2">
        <v>0.0</v>
      </c>
      <c r="K68" s="2">
        <v>0.0</v>
      </c>
      <c r="L68" s="2">
        <v>0.0</v>
      </c>
    </row>
  </sheetData>
  <dataValidations>
    <dataValidation type="list" allowBlank="1" showErrorMessage="1" sqref="B6:B68">
      <formula1>"WW,FLA,MAC1+"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42.75"/>
    <col customWidth="1" min="2" max="2" width="22.63"/>
    <col customWidth="1" min="3" max="3" width="10.25"/>
    <col customWidth="1" min="4" max="4" width="17.0"/>
    <col customWidth="1" min="5" max="5" width="15.0"/>
    <col customWidth="1" min="6" max="6" width="17.0"/>
    <col customWidth="1" min="7" max="7" width="16.13"/>
    <col customWidth="1" min="8" max="9" width="16.38"/>
    <col customWidth="1" min="10" max="10" width="12.63"/>
    <col customWidth="1" min="11" max="11" width="14.88"/>
    <col customWidth="1" min="12" max="12" width="13.0"/>
  </cols>
  <sheetData>
    <row r="1">
      <c r="A1" s="1" t="s">
        <v>50</v>
      </c>
      <c r="B1" s="2">
        <v>20.0</v>
      </c>
      <c r="C1" s="4">
        <f>D74</f>
        <v>0</v>
      </c>
      <c r="D1" s="5">
        <f t="shared" ref="D1:D4" si="1">C1/B1</f>
        <v>0</v>
      </c>
      <c r="G1" s="1" t="s">
        <v>1</v>
      </c>
      <c r="H1" s="3">
        <f>IFERROR(__xludf.DUMMYFUNCTION("COUNTUNIQUE(A6:A74)"),23.0)</f>
        <v>23</v>
      </c>
      <c r="I1" s="3"/>
      <c r="J1" s="6"/>
      <c r="K1" s="3"/>
      <c r="L1" s="3"/>
      <c r="M1" s="7"/>
      <c r="N1" s="7"/>
    </row>
    <row r="2">
      <c r="A2" s="1" t="s">
        <v>21</v>
      </c>
      <c r="B2" s="2">
        <v>5.0</v>
      </c>
      <c r="C2" s="4">
        <f>F74</f>
        <v>0</v>
      </c>
      <c r="D2" s="5">
        <f t="shared" si="1"/>
        <v>0</v>
      </c>
      <c r="G2" s="1" t="s">
        <v>5</v>
      </c>
      <c r="H2" s="3">
        <f>(B1+B2+B3)/F4</f>
        <v>23</v>
      </c>
      <c r="I2" s="3"/>
      <c r="J2" s="3"/>
      <c r="K2" s="3"/>
      <c r="L2" s="3"/>
      <c r="M2" s="7"/>
      <c r="N2" s="7"/>
    </row>
    <row r="3">
      <c r="A3" s="1" t="s">
        <v>55</v>
      </c>
      <c r="B3" s="2">
        <v>5.0</v>
      </c>
      <c r="C3" s="4">
        <f>H74</f>
        <v>0</v>
      </c>
      <c r="D3" s="8">
        <f t="shared" si="1"/>
        <v>0</v>
      </c>
      <c r="E3" s="3"/>
      <c r="F3" s="6"/>
      <c r="G3" s="3"/>
      <c r="H3" s="3"/>
      <c r="I3" s="3"/>
      <c r="J3" s="3"/>
      <c r="K3" s="3"/>
      <c r="L3" s="3"/>
      <c r="M3" s="7"/>
      <c r="N3" s="7"/>
    </row>
    <row r="4">
      <c r="A4" s="3"/>
      <c r="B4" s="9">
        <f t="shared" ref="B4:C4" si="2">SUM(B1:B3)</f>
        <v>30</v>
      </c>
      <c r="C4" s="9">
        <f t="shared" si="2"/>
        <v>0</v>
      </c>
      <c r="D4" s="5">
        <f t="shared" si="1"/>
        <v>0</v>
      </c>
      <c r="E4" s="1" t="s">
        <v>7</v>
      </c>
      <c r="F4" s="3">
        <f>SUM(C6:C74)/H1</f>
        <v>1.304347826</v>
      </c>
      <c r="G4" s="3"/>
      <c r="H4" s="3"/>
      <c r="I4" s="3"/>
      <c r="J4" s="3"/>
      <c r="K4" s="3"/>
      <c r="L4" s="3"/>
      <c r="M4" s="7"/>
      <c r="N4" s="7"/>
    </row>
    <row r="5">
      <c r="A5" s="10" t="s">
        <v>8</v>
      </c>
      <c r="B5" s="10" t="s">
        <v>9</v>
      </c>
      <c r="C5" s="10" t="s">
        <v>10</v>
      </c>
      <c r="D5" s="10" t="s">
        <v>52</v>
      </c>
      <c r="E5" s="10" t="s">
        <v>52</v>
      </c>
      <c r="F5" s="10" t="s">
        <v>23</v>
      </c>
      <c r="G5" s="10" t="s">
        <v>23</v>
      </c>
      <c r="H5" s="10" t="s">
        <v>57</v>
      </c>
      <c r="I5" s="10" t="s">
        <v>57</v>
      </c>
      <c r="J5" s="10" t="s">
        <v>58</v>
      </c>
      <c r="K5" s="10" t="s">
        <v>25</v>
      </c>
      <c r="L5" s="10" t="s">
        <v>60</v>
      </c>
      <c r="M5" s="7"/>
      <c r="N5" s="7"/>
    </row>
    <row r="6">
      <c r="A6" s="12">
        <v>45694.0</v>
      </c>
      <c r="B6" s="6" t="s">
        <v>61</v>
      </c>
      <c r="C6" s="2">
        <v>2.14</v>
      </c>
      <c r="D6" s="4">
        <f>IF(B6="WW",B1-C6,B1)</f>
        <v>17.86</v>
      </c>
      <c r="E6" s="13">
        <f>D6/B1</f>
        <v>0.893</v>
      </c>
      <c r="F6" s="2">
        <f>IF(B6="FLA",B2-C6,B2)</f>
        <v>5</v>
      </c>
      <c r="G6" s="14">
        <f>F6/B2</f>
        <v>1</v>
      </c>
      <c r="H6" s="15">
        <f>IF(B6="MAC1+",B3-C6,B3)</f>
        <v>5</v>
      </c>
      <c r="I6" s="14">
        <f>H6/B3</f>
        <v>1</v>
      </c>
      <c r="J6" s="2">
        <v>0.0</v>
      </c>
      <c r="K6" s="2">
        <v>0.0</v>
      </c>
      <c r="L6" s="2">
        <v>0.0</v>
      </c>
      <c r="M6" s="7"/>
      <c r="N6" s="7"/>
    </row>
    <row r="7">
      <c r="A7" s="12">
        <v>45694.0</v>
      </c>
      <c r="B7" s="6" t="s">
        <v>62</v>
      </c>
      <c r="C7" s="2">
        <v>0.38</v>
      </c>
      <c r="D7" s="16">
        <f t="shared" ref="D7:D74" si="3">IF(B7="WW",D6-C7,D6)</f>
        <v>17.86</v>
      </c>
      <c r="E7" s="17">
        <f>D7/B1</f>
        <v>0.893</v>
      </c>
      <c r="F7" s="16">
        <f t="shared" ref="F7:F74" si="4">IF(B7="FLA",F6-C7,F6)</f>
        <v>4.62</v>
      </c>
      <c r="G7" s="17">
        <f>F7/B2</f>
        <v>0.924</v>
      </c>
      <c r="H7" s="15">
        <f t="shared" ref="H7:H74" si="5">IF(B7="MAC1+",H6-C7,H6)</f>
        <v>5</v>
      </c>
      <c r="I7" s="14">
        <f>H7/B3</f>
        <v>1</v>
      </c>
      <c r="J7" s="2">
        <v>0.0</v>
      </c>
      <c r="K7" s="2">
        <v>0.0</v>
      </c>
      <c r="L7" s="2">
        <v>0.0</v>
      </c>
      <c r="M7" s="7"/>
      <c r="N7" s="7"/>
    </row>
    <row r="8">
      <c r="A8" s="12">
        <v>45694.0</v>
      </c>
      <c r="B8" s="6" t="s">
        <v>63</v>
      </c>
      <c r="C8" s="2">
        <v>0.4</v>
      </c>
      <c r="D8" s="16">
        <f t="shared" si="3"/>
        <v>17.86</v>
      </c>
      <c r="E8" s="17">
        <f>D8/B1</f>
        <v>0.893</v>
      </c>
      <c r="F8" s="16">
        <f t="shared" si="4"/>
        <v>4.62</v>
      </c>
      <c r="G8" s="17">
        <f>F8/B2</f>
        <v>0.924</v>
      </c>
      <c r="H8" s="15">
        <f t="shared" si="5"/>
        <v>4.6</v>
      </c>
      <c r="I8" s="14">
        <f>H8/B3</f>
        <v>0.92</v>
      </c>
      <c r="J8" s="2">
        <v>0.0</v>
      </c>
      <c r="K8" s="2">
        <v>0.0</v>
      </c>
      <c r="L8" s="2">
        <v>0.0</v>
      </c>
      <c r="M8" s="7"/>
      <c r="N8" s="7"/>
    </row>
    <row r="9">
      <c r="A9" s="12">
        <v>45695.0</v>
      </c>
      <c r="B9" s="6" t="s">
        <v>61</v>
      </c>
      <c r="C9" s="2">
        <v>0.91</v>
      </c>
      <c r="D9" s="16">
        <f t="shared" si="3"/>
        <v>16.95</v>
      </c>
      <c r="E9" s="17">
        <f>D9/B1</f>
        <v>0.8475</v>
      </c>
      <c r="F9" s="16">
        <f t="shared" si="4"/>
        <v>4.62</v>
      </c>
      <c r="G9" s="17">
        <f>F9/B2</f>
        <v>0.924</v>
      </c>
      <c r="H9" s="15">
        <f t="shared" si="5"/>
        <v>4.6</v>
      </c>
      <c r="I9" s="14">
        <f>H9/B3</f>
        <v>0.92</v>
      </c>
      <c r="J9" s="2">
        <v>0.0</v>
      </c>
      <c r="K9" s="2">
        <v>0.0</v>
      </c>
      <c r="L9" s="2">
        <v>0.0</v>
      </c>
      <c r="M9" s="7"/>
      <c r="N9" s="7"/>
    </row>
    <row r="10">
      <c r="A10" s="12">
        <v>45695.0</v>
      </c>
      <c r="B10" s="6" t="s">
        <v>62</v>
      </c>
      <c r="C10" s="2">
        <v>0.66</v>
      </c>
      <c r="D10" s="16">
        <f t="shared" si="3"/>
        <v>16.95</v>
      </c>
      <c r="E10" s="17">
        <f>D10/B1</f>
        <v>0.8475</v>
      </c>
      <c r="F10" s="16">
        <f t="shared" si="4"/>
        <v>3.96</v>
      </c>
      <c r="G10" s="17">
        <f>F10/B2</f>
        <v>0.792</v>
      </c>
      <c r="H10" s="15">
        <f t="shared" si="5"/>
        <v>4.6</v>
      </c>
      <c r="I10" s="14">
        <f>H10/B3</f>
        <v>0.92</v>
      </c>
      <c r="J10" s="2">
        <v>0.0</v>
      </c>
      <c r="K10" s="2">
        <v>0.0</v>
      </c>
      <c r="L10" s="2">
        <v>0.0</v>
      </c>
      <c r="M10" s="7"/>
      <c r="N10" s="7"/>
    </row>
    <row r="11">
      <c r="A11" s="12">
        <v>45695.0</v>
      </c>
      <c r="B11" s="6" t="s">
        <v>63</v>
      </c>
      <c r="C11" s="2">
        <v>0.0</v>
      </c>
      <c r="D11" s="16">
        <f t="shared" si="3"/>
        <v>16.95</v>
      </c>
      <c r="E11" s="17">
        <f>D11/B1</f>
        <v>0.8475</v>
      </c>
      <c r="F11" s="16">
        <f t="shared" si="4"/>
        <v>3.96</v>
      </c>
      <c r="G11" s="17">
        <f>F11/B2</f>
        <v>0.792</v>
      </c>
      <c r="H11" s="15">
        <f t="shared" si="5"/>
        <v>4.6</v>
      </c>
      <c r="I11" s="14">
        <f>H11/B3</f>
        <v>0.92</v>
      </c>
      <c r="J11" s="2">
        <v>0.0</v>
      </c>
      <c r="K11" s="2">
        <v>0.0</v>
      </c>
      <c r="L11" s="2">
        <v>0.0</v>
      </c>
      <c r="M11" s="7"/>
      <c r="N11" s="7"/>
    </row>
    <row r="12">
      <c r="A12" s="12">
        <v>45696.0</v>
      </c>
      <c r="B12" s="6" t="s">
        <v>61</v>
      </c>
      <c r="C12" s="2">
        <v>0.0</v>
      </c>
      <c r="D12" s="16">
        <f t="shared" si="3"/>
        <v>16.95</v>
      </c>
      <c r="E12" s="17">
        <f>D12/B1</f>
        <v>0.8475</v>
      </c>
      <c r="F12" s="16">
        <f t="shared" si="4"/>
        <v>3.96</v>
      </c>
      <c r="G12" s="17">
        <f>F12/B2</f>
        <v>0.792</v>
      </c>
      <c r="H12" s="15">
        <f t="shared" si="5"/>
        <v>4.6</v>
      </c>
      <c r="I12" s="14">
        <f>H12/B3</f>
        <v>0.92</v>
      </c>
      <c r="J12" s="2">
        <v>0.0</v>
      </c>
      <c r="K12" s="2">
        <v>0.0</v>
      </c>
      <c r="L12" s="2">
        <v>0.0</v>
      </c>
      <c r="M12" s="7"/>
      <c r="N12" s="7"/>
    </row>
    <row r="13">
      <c r="A13" s="12">
        <v>45696.0</v>
      </c>
      <c r="B13" s="6" t="s">
        <v>62</v>
      </c>
      <c r="C13" s="2">
        <v>0.61</v>
      </c>
      <c r="D13" s="16">
        <f t="shared" si="3"/>
        <v>16.95</v>
      </c>
      <c r="E13" s="17">
        <f>D13/B1</f>
        <v>0.8475</v>
      </c>
      <c r="F13" s="16">
        <f t="shared" si="4"/>
        <v>3.35</v>
      </c>
      <c r="G13" s="17">
        <f>F13/B2</f>
        <v>0.67</v>
      </c>
      <c r="H13" s="15">
        <f t="shared" si="5"/>
        <v>4.6</v>
      </c>
      <c r="I13" s="14">
        <f>H13/B3</f>
        <v>0.92</v>
      </c>
      <c r="J13" s="2">
        <v>0.0</v>
      </c>
      <c r="K13" s="2">
        <v>0.0</v>
      </c>
      <c r="L13" s="2">
        <v>0.0</v>
      </c>
      <c r="M13" s="7"/>
      <c r="N13" s="7"/>
    </row>
    <row r="14">
      <c r="A14" s="12">
        <v>45696.0</v>
      </c>
      <c r="B14" s="6" t="s">
        <v>63</v>
      </c>
      <c r="C14" s="2">
        <v>0.47</v>
      </c>
      <c r="D14" s="16">
        <f t="shared" si="3"/>
        <v>16.95</v>
      </c>
      <c r="E14" s="17">
        <f>D14/B1</f>
        <v>0.8475</v>
      </c>
      <c r="F14" s="16">
        <f t="shared" si="4"/>
        <v>3.35</v>
      </c>
      <c r="G14" s="17">
        <f>F14/B2</f>
        <v>0.67</v>
      </c>
      <c r="H14" s="15">
        <f t="shared" si="5"/>
        <v>4.13</v>
      </c>
      <c r="I14" s="14">
        <f>H14/B3</f>
        <v>0.826</v>
      </c>
      <c r="J14" s="2">
        <v>0.0</v>
      </c>
      <c r="K14" s="2">
        <v>0.0</v>
      </c>
      <c r="L14" s="2">
        <v>0.0</v>
      </c>
      <c r="M14" s="7"/>
      <c r="N14" s="7"/>
    </row>
    <row r="15">
      <c r="A15" s="12">
        <v>45697.0</v>
      </c>
      <c r="B15" s="6" t="s">
        <v>61</v>
      </c>
      <c r="C15" s="2">
        <v>1.2</v>
      </c>
      <c r="D15" s="16">
        <f t="shared" si="3"/>
        <v>15.75</v>
      </c>
      <c r="E15" s="17">
        <f>D15/B1</f>
        <v>0.7875</v>
      </c>
      <c r="F15" s="16">
        <f t="shared" si="4"/>
        <v>3.35</v>
      </c>
      <c r="G15" s="17">
        <f>F15/B2</f>
        <v>0.67</v>
      </c>
      <c r="H15" s="15">
        <f t="shared" si="5"/>
        <v>4.13</v>
      </c>
      <c r="I15" s="14">
        <f>H15/B3</f>
        <v>0.826</v>
      </c>
      <c r="J15" s="2">
        <v>0.0</v>
      </c>
      <c r="K15" s="2">
        <v>0.0</v>
      </c>
      <c r="L15" s="2">
        <v>0.0</v>
      </c>
      <c r="M15" s="7"/>
      <c r="N15" s="7"/>
    </row>
    <row r="16">
      <c r="A16" s="12">
        <v>45697.0</v>
      </c>
      <c r="B16" s="6" t="s">
        <v>62</v>
      </c>
      <c r="C16" s="2">
        <v>0.0</v>
      </c>
      <c r="D16" s="16">
        <f t="shared" si="3"/>
        <v>15.75</v>
      </c>
      <c r="E16" s="17">
        <f>D16/B1</f>
        <v>0.7875</v>
      </c>
      <c r="F16" s="16">
        <f t="shared" si="4"/>
        <v>3.35</v>
      </c>
      <c r="G16" s="17">
        <f>F16/B2</f>
        <v>0.67</v>
      </c>
      <c r="H16" s="15">
        <f t="shared" si="5"/>
        <v>4.13</v>
      </c>
      <c r="I16" s="14">
        <f>H16/B3</f>
        <v>0.826</v>
      </c>
      <c r="J16" s="2">
        <v>0.0</v>
      </c>
      <c r="K16" s="2">
        <v>0.0</v>
      </c>
      <c r="L16" s="2">
        <v>0.0</v>
      </c>
      <c r="M16" s="7"/>
      <c r="N16" s="7"/>
    </row>
    <row r="17">
      <c r="A17" s="12">
        <v>45697.0</v>
      </c>
      <c r="B17" s="6" t="s">
        <v>63</v>
      </c>
      <c r="C17" s="2">
        <v>0.53</v>
      </c>
      <c r="D17" s="16">
        <f t="shared" si="3"/>
        <v>15.75</v>
      </c>
      <c r="E17" s="17">
        <f>D17/B1</f>
        <v>0.7875</v>
      </c>
      <c r="F17" s="16">
        <f t="shared" si="4"/>
        <v>3.35</v>
      </c>
      <c r="G17" s="17">
        <f>F17/B2</f>
        <v>0.67</v>
      </c>
      <c r="H17" s="15">
        <f t="shared" si="5"/>
        <v>3.6</v>
      </c>
      <c r="I17" s="14">
        <f>H17/B3</f>
        <v>0.72</v>
      </c>
      <c r="J17" s="2">
        <v>0.0</v>
      </c>
      <c r="K17" s="2">
        <v>0.0</v>
      </c>
      <c r="L17" s="2">
        <v>0.0</v>
      </c>
      <c r="M17" s="7"/>
      <c r="N17" s="7"/>
    </row>
    <row r="18">
      <c r="A18" s="12">
        <v>45698.0</v>
      </c>
      <c r="B18" s="6" t="s">
        <v>61</v>
      </c>
      <c r="C18" s="2">
        <v>0.0</v>
      </c>
      <c r="D18" s="16">
        <f t="shared" si="3"/>
        <v>15.75</v>
      </c>
      <c r="E18" s="17">
        <f>D18/B1</f>
        <v>0.7875</v>
      </c>
      <c r="F18" s="16">
        <f t="shared" si="4"/>
        <v>3.35</v>
      </c>
      <c r="G18" s="17">
        <f>F18/B2</f>
        <v>0.67</v>
      </c>
      <c r="H18" s="15">
        <f t="shared" si="5"/>
        <v>3.6</v>
      </c>
      <c r="I18" s="14">
        <f>H18/B3</f>
        <v>0.72</v>
      </c>
      <c r="J18" s="2">
        <v>0.0</v>
      </c>
      <c r="K18" s="2">
        <v>0.0</v>
      </c>
      <c r="L18" s="2">
        <v>0.0</v>
      </c>
      <c r="M18" s="7"/>
      <c r="N18" s="7"/>
    </row>
    <row r="19">
      <c r="A19" s="12">
        <v>45698.0</v>
      </c>
      <c r="B19" s="6" t="s">
        <v>62</v>
      </c>
      <c r="C19" s="2">
        <v>0.0</v>
      </c>
      <c r="D19" s="16">
        <f t="shared" si="3"/>
        <v>15.75</v>
      </c>
      <c r="E19" s="17">
        <f>D19/B1</f>
        <v>0.7875</v>
      </c>
      <c r="F19" s="16">
        <f t="shared" si="4"/>
        <v>3.35</v>
      </c>
      <c r="G19" s="17">
        <f>F19/B2</f>
        <v>0.67</v>
      </c>
      <c r="H19" s="15">
        <f t="shared" si="5"/>
        <v>3.6</v>
      </c>
      <c r="I19" s="14">
        <f>H19/B3</f>
        <v>0.72</v>
      </c>
      <c r="J19" s="2">
        <v>0.0</v>
      </c>
      <c r="K19" s="2">
        <v>0.0</v>
      </c>
      <c r="L19" s="2">
        <v>0.0</v>
      </c>
      <c r="M19" s="7"/>
      <c r="N19" s="7"/>
    </row>
    <row r="20">
      <c r="A20" s="12">
        <v>45698.0</v>
      </c>
      <c r="B20" s="6" t="s">
        <v>63</v>
      </c>
      <c r="C20" s="2">
        <v>0.0</v>
      </c>
      <c r="D20" s="16">
        <f t="shared" si="3"/>
        <v>15.75</v>
      </c>
      <c r="E20" s="17">
        <f>D20/B1</f>
        <v>0.7875</v>
      </c>
      <c r="F20" s="16">
        <f t="shared" si="4"/>
        <v>3.35</v>
      </c>
      <c r="G20" s="17">
        <f>F20/B2</f>
        <v>0.67</v>
      </c>
      <c r="H20" s="15">
        <f t="shared" si="5"/>
        <v>3.6</v>
      </c>
      <c r="I20" s="14">
        <f>H20/B3</f>
        <v>0.72</v>
      </c>
      <c r="J20" s="2">
        <v>0.0</v>
      </c>
      <c r="K20" s="2">
        <v>0.0</v>
      </c>
      <c r="L20" s="2">
        <v>0.0</v>
      </c>
      <c r="M20" s="7"/>
      <c r="N20" s="7"/>
    </row>
    <row r="21">
      <c r="A21" s="12">
        <v>45699.0</v>
      </c>
      <c r="B21" s="6" t="s">
        <v>61</v>
      </c>
      <c r="C21" s="2">
        <v>0.92</v>
      </c>
      <c r="D21" s="16">
        <f t="shared" si="3"/>
        <v>14.83</v>
      </c>
      <c r="E21" s="17">
        <f>D21/B1</f>
        <v>0.7415</v>
      </c>
      <c r="F21" s="16">
        <f t="shared" si="4"/>
        <v>3.35</v>
      </c>
      <c r="G21" s="17">
        <f>F21/B2</f>
        <v>0.67</v>
      </c>
      <c r="H21" s="15">
        <f t="shared" si="5"/>
        <v>3.6</v>
      </c>
      <c r="I21" s="14">
        <f>H21/B3</f>
        <v>0.72</v>
      </c>
      <c r="J21" s="2">
        <v>0.0</v>
      </c>
      <c r="K21" s="2">
        <v>0.0</v>
      </c>
      <c r="L21" s="2">
        <v>0.0</v>
      </c>
      <c r="M21" s="7"/>
      <c r="N21" s="7"/>
    </row>
    <row r="22">
      <c r="A22" s="12">
        <v>45699.0</v>
      </c>
      <c r="B22" s="6" t="s">
        <v>62</v>
      </c>
      <c r="C22" s="2">
        <v>0.71</v>
      </c>
      <c r="D22" s="16">
        <f t="shared" si="3"/>
        <v>14.83</v>
      </c>
      <c r="E22" s="17">
        <f>D22/B1</f>
        <v>0.7415</v>
      </c>
      <c r="F22" s="16">
        <f t="shared" si="4"/>
        <v>2.64</v>
      </c>
      <c r="G22" s="17">
        <f>F22/B2</f>
        <v>0.528</v>
      </c>
      <c r="H22" s="15">
        <f t="shared" si="5"/>
        <v>3.6</v>
      </c>
      <c r="I22" s="14">
        <f>H22/B3</f>
        <v>0.72</v>
      </c>
      <c r="J22" s="2">
        <v>0.0</v>
      </c>
      <c r="K22" s="2">
        <v>0.0</v>
      </c>
      <c r="L22" s="2">
        <v>0.0</v>
      </c>
      <c r="M22" s="7"/>
      <c r="N22" s="7"/>
    </row>
    <row r="23">
      <c r="A23" s="12">
        <v>45699.0</v>
      </c>
      <c r="B23" s="6" t="s">
        <v>63</v>
      </c>
      <c r="C23" s="2">
        <v>0.58</v>
      </c>
      <c r="D23" s="16">
        <f t="shared" si="3"/>
        <v>14.83</v>
      </c>
      <c r="E23" s="17">
        <f>D23/B1</f>
        <v>0.7415</v>
      </c>
      <c r="F23" s="16">
        <f t="shared" si="4"/>
        <v>2.64</v>
      </c>
      <c r="G23" s="17">
        <f>F23/B2</f>
        <v>0.528</v>
      </c>
      <c r="H23" s="15">
        <f t="shared" si="5"/>
        <v>3.02</v>
      </c>
      <c r="I23" s="14">
        <f>H23/B3</f>
        <v>0.604</v>
      </c>
      <c r="J23" s="2">
        <v>0.0</v>
      </c>
      <c r="K23" s="2">
        <v>0.0</v>
      </c>
      <c r="L23" s="2">
        <v>0.0</v>
      </c>
      <c r="M23" s="7"/>
      <c r="N23" s="7"/>
    </row>
    <row r="24">
      <c r="A24" s="12">
        <v>45700.0</v>
      </c>
      <c r="B24" s="6" t="s">
        <v>61</v>
      </c>
      <c r="C24" s="2">
        <v>0.85</v>
      </c>
      <c r="D24" s="16">
        <f t="shared" si="3"/>
        <v>13.98</v>
      </c>
      <c r="E24" s="17">
        <f>D24/B1</f>
        <v>0.699</v>
      </c>
      <c r="F24" s="16">
        <f t="shared" si="4"/>
        <v>2.64</v>
      </c>
      <c r="G24" s="17">
        <f>F24/B2</f>
        <v>0.528</v>
      </c>
      <c r="H24" s="15">
        <f t="shared" si="5"/>
        <v>3.02</v>
      </c>
      <c r="I24" s="14">
        <f>H24/B3</f>
        <v>0.604</v>
      </c>
      <c r="J24" s="2">
        <v>0.0</v>
      </c>
      <c r="K24" s="2">
        <v>0.0</v>
      </c>
      <c r="L24" s="2">
        <v>0.0</v>
      </c>
      <c r="M24" s="7"/>
      <c r="N24" s="7"/>
    </row>
    <row r="25">
      <c r="A25" s="12">
        <v>45700.0</v>
      </c>
      <c r="B25" s="6" t="s">
        <v>62</v>
      </c>
      <c r="C25" s="2">
        <v>0.0</v>
      </c>
      <c r="D25" s="16">
        <f t="shared" si="3"/>
        <v>13.98</v>
      </c>
      <c r="E25" s="17">
        <f>D25/B1</f>
        <v>0.699</v>
      </c>
      <c r="F25" s="16">
        <f t="shared" si="4"/>
        <v>2.64</v>
      </c>
      <c r="G25" s="17">
        <f>F25/B2</f>
        <v>0.528</v>
      </c>
      <c r="H25" s="15">
        <f t="shared" si="5"/>
        <v>3.02</v>
      </c>
      <c r="I25" s="14">
        <f>H25/B3</f>
        <v>0.604</v>
      </c>
      <c r="J25" s="2">
        <v>0.0</v>
      </c>
      <c r="K25" s="2">
        <v>0.0</v>
      </c>
      <c r="L25" s="2">
        <v>0.0</v>
      </c>
      <c r="M25" s="7"/>
      <c r="N25" s="7"/>
    </row>
    <row r="26">
      <c r="A26" s="12">
        <v>45700.0</v>
      </c>
      <c r="B26" s="6" t="s">
        <v>63</v>
      </c>
      <c r="C26" s="2">
        <v>0.56</v>
      </c>
      <c r="D26" s="16">
        <f t="shared" si="3"/>
        <v>13.98</v>
      </c>
      <c r="E26" s="17">
        <f>D26/B1</f>
        <v>0.699</v>
      </c>
      <c r="F26" s="16">
        <f t="shared" si="4"/>
        <v>2.64</v>
      </c>
      <c r="G26" s="17">
        <f>F26/B2</f>
        <v>0.528</v>
      </c>
      <c r="H26" s="15">
        <f t="shared" si="5"/>
        <v>2.46</v>
      </c>
      <c r="I26" s="14">
        <f>H26/B3</f>
        <v>0.492</v>
      </c>
      <c r="J26" s="2">
        <v>0.0</v>
      </c>
      <c r="K26" s="2">
        <v>0.0</v>
      </c>
      <c r="L26" s="2">
        <v>0.0</v>
      </c>
      <c r="M26" s="7"/>
      <c r="N26" s="7"/>
    </row>
    <row r="27">
      <c r="A27" s="12">
        <v>45701.0</v>
      </c>
      <c r="B27" s="6" t="s">
        <v>61</v>
      </c>
      <c r="C27" s="2">
        <v>0.92</v>
      </c>
      <c r="D27" s="16">
        <f t="shared" si="3"/>
        <v>13.06</v>
      </c>
      <c r="E27" s="17">
        <f>D27/B1</f>
        <v>0.653</v>
      </c>
      <c r="F27" s="16">
        <f t="shared" si="4"/>
        <v>2.64</v>
      </c>
      <c r="G27" s="17">
        <f>F27/B2</f>
        <v>0.528</v>
      </c>
      <c r="H27" s="15">
        <f t="shared" si="5"/>
        <v>2.46</v>
      </c>
      <c r="I27" s="14">
        <f>H27/B3</f>
        <v>0.492</v>
      </c>
      <c r="J27" s="2">
        <v>0.0</v>
      </c>
      <c r="K27" s="2">
        <v>0.0</v>
      </c>
      <c r="L27" s="2">
        <v>0.0</v>
      </c>
      <c r="M27" s="7"/>
      <c r="N27" s="7"/>
    </row>
    <row r="28">
      <c r="A28" s="12">
        <v>45701.0</v>
      </c>
      <c r="B28" s="6" t="s">
        <v>62</v>
      </c>
      <c r="C28" s="2">
        <v>0.64</v>
      </c>
      <c r="D28" s="16">
        <f t="shared" si="3"/>
        <v>13.06</v>
      </c>
      <c r="E28" s="17">
        <f>D28/B1</f>
        <v>0.653</v>
      </c>
      <c r="F28" s="16">
        <f t="shared" si="4"/>
        <v>2</v>
      </c>
      <c r="G28" s="17">
        <f>F28/B2</f>
        <v>0.4</v>
      </c>
      <c r="H28" s="15">
        <f t="shared" si="5"/>
        <v>2.46</v>
      </c>
      <c r="I28" s="14">
        <f>H28/B3</f>
        <v>0.492</v>
      </c>
      <c r="J28" s="2">
        <v>0.0</v>
      </c>
      <c r="K28" s="2">
        <v>0.0</v>
      </c>
      <c r="L28" s="2">
        <v>0.0</v>
      </c>
      <c r="M28" s="7"/>
      <c r="N28" s="7"/>
    </row>
    <row r="29">
      <c r="A29" s="12">
        <v>45701.0</v>
      </c>
      <c r="B29" s="6" t="s">
        <v>63</v>
      </c>
      <c r="C29" s="2">
        <v>0.0</v>
      </c>
      <c r="D29" s="16">
        <f t="shared" si="3"/>
        <v>13.06</v>
      </c>
      <c r="E29" s="17">
        <f>D29/B1</f>
        <v>0.653</v>
      </c>
      <c r="F29" s="16">
        <f t="shared" si="4"/>
        <v>2</v>
      </c>
      <c r="G29" s="17">
        <f>F29/B2</f>
        <v>0.4</v>
      </c>
      <c r="H29" s="15">
        <f t="shared" si="5"/>
        <v>2.46</v>
      </c>
      <c r="I29" s="14">
        <f>H29/B3</f>
        <v>0.492</v>
      </c>
      <c r="J29" s="2">
        <v>0.0</v>
      </c>
      <c r="K29" s="2">
        <v>0.0</v>
      </c>
      <c r="L29" s="2">
        <v>0.0</v>
      </c>
      <c r="M29" s="7"/>
      <c r="N29" s="7"/>
    </row>
    <row r="30">
      <c r="A30" s="12">
        <v>45702.0</v>
      </c>
      <c r="B30" s="6" t="s">
        <v>61</v>
      </c>
      <c r="C30" s="2">
        <v>0.0</v>
      </c>
      <c r="D30" s="16">
        <f t="shared" si="3"/>
        <v>13.06</v>
      </c>
      <c r="E30" s="17">
        <f>D30/B1</f>
        <v>0.653</v>
      </c>
      <c r="F30" s="16">
        <f t="shared" si="4"/>
        <v>2</v>
      </c>
      <c r="G30" s="17">
        <f>F30/B2</f>
        <v>0.4</v>
      </c>
      <c r="H30" s="15">
        <f t="shared" si="5"/>
        <v>2.46</v>
      </c>
      <c r="I30" s="14">
        <f>H30/B3</f>
        <v>0.492</v>
      </c>
      <c r="J30" s="2">
        <v>0.0</v>
      </c>
      <c r="K30" s="2">
        <v>0.0</v>
      </c>
      <c r="L30" s="2">
        <v>0.0</v>
      </c>
      <c r="M30" s="7"/>
      <c r="N30" s="7"/>
    </row>
    <row r="31">
      <c r="A31" s="12">
        <v>45702.0</v>
      </c>
      <c r="B31" s="6" t="s">
        <v>62</v>
      </c>
      <c r="C31" s="2">
        <v>0.0</v>
      </c>
      <c r="D31" s="16">
        <f t="shared" si="3"/>
        <v>13.06</v>
      </c>
      <c r="E31" s="17">
        <f>D31/B1</f>
        <v>0.653</v>
      </c>
      <c r="F31" s="16">
        <f t="shared" si="4"/>
        <v>2</v>
      </c>
      <c r="G31" s="17">
        <f>F31/B2</f>
        <v>0.4</v>
      </c>
      <c r="H31" s="15">
        <f t="shared" si="5"/>
        <v>2.46</v>
      </c>
      <c r="I31" s="14">
        <f>H31/B3</f>
        <v>0.492</v>
      </c>
      <c r="J31" s="2">
        <v>0.0</v>
      </c>
      <c r="K31" s="2">
        <v>0.0</v>
      </c>
      <c r="L31" s="2">
        <v>0.0</v>
      </c>
      <c r="M31" s="7"/>
      <c r="N31" s="7"/>
    </row>
    <row r="32">
      <c r="A32" s="12">
        <v>45702.0</v>
      </c>
      <c r="B32" s="6" t="s">
        <v>63</v>
      </c>
      <c r="C32" s="2">
        <v>0.46</v>
      </c>
      <c r="D32" s="16">
        <f t="shared" si="3"/>
        <v>13.06</v>
      </c>
      <c r="E32" s="17">
        <f>D32/B1</f>
        <v>0.653</v>
      </c>
      <c r="F32" s="16">
        <f t="shared" si="4"/>
        <v>2</v>
      </c>
      <c r="G32" s="17">
        <f>F32/B2</f>
        <v>0.4</v>
      </c>
      <c r="H32" s="15">
        <f t="shared" si="5"/>
        <v>2</v>
      </c>
      <c r="I32" s="14">
        <f>H32/B3</f>
        <v>0.4</v>
      </c>
      <c r="J32" s="2">
        <v>0.0</v>
      </c>
      <c r="K32" s="2">
        <v>0.0</v>
      </c>
      <c r="L32" s="2">
        <v>0.0</v>
      </c>
      <c r="M32" s="7"/>
      <c r="N32" s="7"/>
    </row>
    <row r="33">
      <c r="A33" s="12">
        <v>45703.0</v>
      </c>
      <c r="B33" s="6" t="s">
        <v>61</v>
      </c>
      <c r="C33" s="2">
        <v>1.02</v>
      </c>
      <c r="D33" s="16">
        <f t="shared" si="3"/>
        <v>12.04</v>
      </c>
      <c r="E33" s="17">
        <f>D33/B1</f>
        <v>0.602</v>
      </c>
      <c r="F33" s="16">
        <f t="shared" si="4"/>
        <v>2</v>
      </c>
      <c r="G33" s="17">
        <f>F33/B2</f>
        <v>0.4</v>
      </c>
      <c r="H33" s="15">
        <f t="shared" si="5"/>
        <v>2</v>
      </c>
      <c r="I33" s="14">
        <f>H33/B3</f>
        <v>0.4</v>
      </c>
      <c r="J33" s="2">
        <v>0.0</v>
      </c>
      <c r="K33" s="2">
        <v>0.0</v>
      </c>
      <c r="L33" s="2">
        <v>0.0</v>
      </c>
      <c r="M33" s="7"/>
      <c r="N33" s="7"/>
    </row>
    <row r="34">
      <c r="A34" s="12">
        <v>45703.0</v>
      </c>
      <c r="B34" s="6" t="s">
        <v>62</v>
      </c>
      <c r="C34" s="2">
        <v>0.0</v>
      </c>
      <c r="D34" s="16">
        <f t="shared" si="3"/>
        <v>12.04</v>
      </c>
      <c r="E34" s="17">
        <f>D34/B1</f>
        <v>0.602</v>
      </c>
      <c r="F34" s="16">
        <f t="shared" si="4"/>
        <v>2</v>
      </c>
      <c r="G34" s="17">
        <f>F34/B2</f>
        <v>0.4</v>
      </c>
      <c r="H34" s="15">
        <f t="shared" si="5"/>
        <v>2</v>
      </c>
      <c r="I34" s="14">
        <f>H34/B3</f>
        <v>0.4</v>
      </c>
      <c r="J34" s="2">
        <v>0.0</v>
      </c>
      <c r="K34" s="2">
        <v>0.0</v>
      </c>
      <c r="L34" s="2">
        <v>0.0</v>
      </c>
      <c r="M34" s="7"/>
      <c r="N34" s="7"/>
    </row>
    <row r="35">
      <c r="A35" s="12">
        <v>45703.0</v>
      </c>
      <c r="B35" s="6" t="s">
        <v>63</v>
      </c>
      <c r="C35" s="2">
        <v>0.55</v>
      </c>
      <c r="D35" s="16">
        <f t="shared" si="3"/>
        <v>12.04</v>
      </c>
      <c r="E35" s="17">
        <f>D35/B1</f>
        <v>0.602</v>
      </c>
      <c r="F35" s="16">
        <f t="shared" si="4"/>
        <v>2</v>
      </c>
      <c r="G35" s="17">
        <f>F35/B2</f>
        <v>0.4</v>
      </c>
      <c r="H35" s="15">
        <f t="shared" si="5"/>
        <v>1.45</v>
      </c>
      <c r="I35" s="14">
        <f>H35/B3</f>
        <v>0.29</v>
      </c>
      <c r="J35" s="2">
        <v>0.0</v>
      </c>
      <c r="K35" s="2">
        <v>0.0</v>
      </c>
      <c r="L35" s="2">
        <v>0.0</v>
      </c>
      <c r="M35" s="7"/>
      <c r="N35" s="7"/>
    </row>
    <row r="36">
      <c r="A36" s="12">
        <v>45704.0</v>
      </c>
      <c r="B36" s="6" t="s">
        <v>61</v>
      </c>
      <c r="C36" s="2">
        <v>0.93</v>
      </c>
      <c r="D36" s="16">
        <f t="shared" si="3"/>
        <v>11.11</v>
      </c>
      <c r="E36" s="17">
        <f>D36/B1</f>
        <v>0.5555</v>
      </c>
      <c r="F36" s="16">
        <f t="shared" si="4"/>
        <v>2</v>
      </c>
      <c r="G36" s="17">
        <f>F36/B2</f>
        <v>0.4</v>
      </c>
      <c r="H36" s="15">
        <f t="shared" si="5"/>
        <v>1.45</v>
      </c>
      <c r="I36" s="14">
        <f>H36/B3</f>
        <v>0.29</v>
      </c>
      <c r="J36" s="2">
        <v>0.0</v>
      </c>
      <c r="K36" s="2">
        <v>0.0</v>
      </c>
      <c r="L36" s="2">
        <v>0.0</v>
      </c>
      <c r="M36" s="7"/>
      <c r="N36" s="7"/>
    </row>
    <row r="37">
      <c r="A37" s="12">
        <v>45704.0</v>
      </c>
      <c r="B37" s="6" t="s">
        <v>62</v>
      </c>
      <c r="C37" s="2">
        <v>0.54</v>
      </c>
      <c r="D37" s="16">
        <f t="shared" si="3"/>
        <v>11.11</v>
      </c>
      <c r="E37" s="17">
        <f>D37/B1</f>
        <v>0.5555</v>
      </c>
      <c r="F37" s="16">
        <f t="shared" si="4"/>
        <v>1.46</v>
      </c>
      <c r="G37" s="17">
        <f>F37/B2</f>
        <v>0.292</v>
      </c>
      <c r="H37" s="15">
        <f t="shared" si="5"/>
        <v>1.45</v>
      </c>
      <c r="I37" s="14">
        <f>H37/B3</f>
        <v>0.29</v>
      </c>
      <c r="J37" s="2">
        <v>0.0</v>
      </c>
      <c r="K37" s="2">
        <v>0.0</v>
      </c>
      <c r="L37" s="2">
        <v>0.0</v>
      </c>
      <c r="M37" s="7"/>
      <c r="N37" s="7"/>
    </row>
    <row r="38">
      <c r="A38" s="12">
        <v>45704.0</v>
      </c>
      <c r="B38" s="6" t="s">
        <v>63</v>
      </c>
      <c r="C38" s="2">
        <v>0.0</v>
      </c>
      <c r="D38" s="16">
        <f t="shared" si="3"/>
        <v>11.11</v>
      </c>
      <c r="E38" s="17">
        <f>D38/B1</f>
        <v>0.5555</v>
      </c>
      <c r="F38" s="16">
        <f t="shared" si="4"/>
        <v>1.46</v>
      </c>
      <c r="G38" s="17">
        <f>F38/B2</f>
        <v>0.292</v>
      </c>
      <c r="H38" s="15">
        <f t="shared" si="5"/>
        <v>1.45</v>
      </c>
      <c r="I38" s="14">
        <f>H38/B3</f>
        <v>0.29</v>
      </c>
      <c r="J38" s="2">
        <v>0.0</v>
      </c>
      <c r="K38" s="2">
        <v>0.0</v>
      </c>
      <c r="L38" s="2">
        <v>0.0</v>
      </c>
      <c r="M38" s="7"/>
      <c r="N38" s="7"/>
    </row>
    <row r="39">
      <c r="A39" s="12">
        <v>45705.0</v>
      </c>
      <c r="B39" s="6" t="s">
        <v>61</v>
      </c>
      <c r="C39" s="2">
        <v>0.0</v>
      </c>
      <c r="D39" s="16">
        <f t="shared" si="3"/>
        <v>11.11</v>
      </c>
      <c r="E39" s="17">
        <f>D39/B1</f>
        <v>0.5555</v>
      </c>
      <c r="F39" s="16">
        <f t="shared" si="4"/>
        <v>1.46</v>
      </c>
      <c r="G39" s="17">
        <f>F39/B2</f>
        <v>0.292</v>
      </c>
      <c r="H39" s="15">
        <f t="shared" si="5"/>
        <v>1.45</v>
      </c>
      <c r="I39" s="14">
        <f>H39/B3</f>
        <v>0.29</v>
      </c>
      <c r="J39" s="2">
        <v>0.0</v>
      </c>
      <c r="K39" s="2">
        <v>0.0</v>
      </c>
      <c r="L39" s="2">
        <v>0.0</v>
      </c>
      <c r="M39" s="7"/>
      <c r="N39" s="7"/>
    </row>
    <row r="40">
      <c r="A40" s="12">
        <v>45705.0</v>
      </c>
      <c r="B40" s="6" t="s">
        <v>62</v>
      </c>
      <c r="C40" s="2">
        <v>0.0</v>
      </c>
      <c r="D40" s="16">
        <f t="shared" si="3"/>
        <v>11.11</v>
      </c>
      <c r="E40" s="17">
        <f>D40/B1</f>
        <v>0.5555</v>
      </c>
      <c r="F40" s="16">
        <f t="shared" si="4"/>
        <v>1.46</v>
      </c>
      <c r="G40" s="17">
        <f>F40/B2</f>
        <v>0.292</v>
      </c>
      <c r="H40" s="15">
        <f t="shared" si="5"/>
        <v>1.45</v>
      </c>
      <c r="I40" s="14">
        <f>H40/B3</f>
        <v>0.29</v>
      </c>
      <c r="J40" s="2">
        <v>0.0</v>
      </c>
      <c r="K40" s="2">
        <v>0.0</v>
      </c>
      <c r="L40" s="2">
        <v>0.0</v>
      </c>
      <c r="M40" s="7"/>
      <c r="N40" s="7"/>
    </row>
    <row r="41">
      <c r="A41" s="12">
        <v>45705.0</v>
      </c>
      <c r="B41" s="6" t="s">
        <v>63</v>
      </c>
      <c r="C41" s="2">
        <v>0.64</v>
      </c>
      <c r="D41" s="16">
        <f t="shared" si="3"/>
        <v>11.11</v>
      </c>
      <c r="E41" s="17">
        <f>D41/B1</f>
        <v>0.5555</v>
      </c>
      <c r="F41" s="16">
        <f t="shared" si="4"/>
        <v>1.46</v>
      </c>
      <c r="G41" s="17">
        <f>F41/B2</f>
        <v>0.292</v>
      </c>
      <c r="H41" s="15">
        <f t="shared" si="5"/>
        <v>0.81</v>
      </c>
      <c r="I41" s="14">
        <f>H41/B3</f>
        <v>0.162</v>
      </c>
      <c r="J41" s="2">
        <v>0.0</v>
      </c>
      <c r="K41" s="2">
        <v>0.0</v>
      </c>
      <c r="L41" s="2">
        <v>0.0</v>
      </c>
      <c r="M41" s="7"/>
      <c r="N41" s="7"/>
    </row>
    <row r="42">
      <c r="A42" s="12">
        <v>45706.0</v>
      </c>
      <c r="B42" s="6" t="s">
        <v>61</v>
      </c>
      <c r="C42" s="2">
        <v>1.1</v>
      </c>
      <c r="D42" s="16">
        <f t="shared" si="3"/>
        <v>10.01</v>
      </c>
      <c r="E42" s="17">
        <f>D42/B1</f>
        <v>0.5005</v>
      </c>
      <c r="F42" s="16">
        <f t="shared" si="4"/>
        <v>1.46</v>
      </c>
      <c r="G42" s="17">
        <f>F42/B2</f>
        <v>0.292</v>
      </c>
      <c r="H42" s="15">
        <f t="shared" si="5"/>
        <v>0.81</v>
      </c>
      <c r="I42" s="14">
        <f>H42/B3</f>
        <v>0.162</v>
      </c>
      <c r="J42" s="2">
        <v>0.0</v>
      </c>
      <c r="K42" s="2">
        <v>0.0</v>
      </c>
      <c r="L42" s="2">
        <v>0.0</v>
      </c>
      <c r="M42" s="7"/>
      <c r="N42" s="7"/>
    </row>
    <row r="43">
      <c r="A43" s="12">
        <v>45706.0</v>
      </c>
      <c r="B43" s="6" t="s">
        <v>62</v>
      </c>
      <c r="C43" s="2">
        <v>0.53</v>
      </c>
      <c r="D43" s="16">
        <f t="shared" si="3"/>
        <v>10.01</v>
      </c>
      <c r="E43" s="17">
        <f>D43/B1</f>
        <v>0.5005</v>
      </c>
      <c r="F43" s="16">
        <f t="shared" si="4"/>
        <v>0.93</v>
      </c>
      <c r="G43" s="17">
        <f>F43/B2</f>
        <v>0.186</v>
      </c>
      <c r="H43" s="15">
        <f t="shared" si="5"/>
        <v>0.81</v>
      </c>
      <c r="I43" s="14">
        <f>H43/B3</f>
        <v>0.162</v>
      </c>
      <c r="J43" s="2">
        <v>0.0</v>
      </c>
      <c r="K43" s="2">
        <v>0.0</v>
      </c>
      <c r="L43" s="2">
        <v>0.0</v>
      </c>
      <c r="M43" s="7"/>
      <c r="N43" s="7"/>
    </row>
    <row r="44">
      <c r="A44" s="12">
        <v>45706.0</v>
      </c>
      <c r="B44" s="6" t="s">
        <v>63</v>
      </c>
      <c r="C44" s="2">
        <v>0.0</v>
      </c>
      <c r="D44" s="16">
        <f t="shared" si="3"/>
        <v>10.01</v>
      </c>
      <c r="E44" s="17">
        <f>D44/B1</f>
        <v>0.5005</v>
      </c>
      <c r="F44" s="16">
        <f t="shared" si="4"/>
        <v>0.93</v>
      </c>
      <c r="G44" s="17">
        <f>F44/B2</f>
        <v>0.186</v>
      </c>
      <c r="H44" s="15">
        <f t="shared" si="5"/>
        <v>0.81</v>
      </c>
      <c r="I44" s="14">
        <f>H44/B3</f>
        <v>0.162</v>
      </c>
      <c r="J44" s="2">
        <v>0.0</v>
      </c>
      <c r="K44" s="2">
        <v>0.0</v>
      </c>
      <c r="L44" s="2">
        <v>0.0</v>
      </c>
      <c r="M44" s="7"/>
      <c r="N44" s="7"/>
    </row>
    <row r="45">
      <c r="A45" s="12">
        <v>45707.0</v>
      </c>
      <c r="B45" s="6" t="s">
        <v>61</v>
      </c>
      <c r="C45" s="2">
        <v>0.0</v>
      </c>
      <c r="D45" s="16">
        <f t="shared" si="3"/>
        <v>10.01</v>
      </c>
      <c r="E45" s="17">
        <f>D45/B1</f>
        <v>0.5005</v>
      </c>
      <c r="F45" s="16">
        <f t="shared" si="4"/>
        <v>0.93</v>
      </c>
      <c r="G45" s="17">
        <f>F45/B2</f>
        <v>0.186</v>
      </c>
      <c r="H45" s="15">
        <f t="shared" si="5"/>
        <v>0.81</v>
      </c>
      <c r="I45" s="14">
        <f>H45/B3</f>
        <v>0.162</v>
      </c>
      <c r="J45" s="2">
        <v>0.0</v>
      </c>
      <c r="K45" s="2">
        <v>0.0</v>
      </c>
      <c r="L45" s="2">
        <v>0.0</v>
      </c>
      <c r="M45" s="7"/>
      <c r="N45" s="7"/>
    </row>
    <row r="46">
      <c r="A46" s="12">
        <v>45707.0</v>
      </c>
      <c r="B46" s="6" t="s">
        <v>62</v>
      </c>
      <c r="C46" s="2">
        <v>0.0</v>
      </c>
      <c r="D46" s="16">
        <f t="shared" si="3"/>
        <v>10.01</v>
      </c>
      <c r="E46" s="17">
        <f>D46/B1</f>
        <v>0.5005</v>
      </c>
      <c r="F46" s="16">
        <f t="shared" si="4"/>
        <v>0.93</v>
      </c>
      <c r="G46" s="17">
        <f>F46/B2</f>
        <v>0.186</v>
      </c>
      <c r="H46" s="15">
        <f t="shared" si="5"/>
        <v>0.81</v>
      </c>
      <c r="I46" s="14">
        <f>H46/B3</f>
        <v>0.162</v>
      </c>
      <c r="J46" s="2">
        <v>0.0</v>
      </c>
      <c r="K46" s="2">
        <v>0.0</v>
      </c>
      <c r="L46" s="2">
        <v>0.0</v>
      </c>
      <c r="M46" s="7"/>
      <c r="N46" s="7"/>
    </row>
    <row r="47">
      <c r="A47" s="12">
        <v>45707.0</v>
      </c>
      <c r="B47" s="6" t="s">
        <v>63</v>
      </c>
      <c r="C47" s="2">
        <v>0.81</v>
      </c>
      <c r="D47" s="16">
        <f t="shared" si="3"/>
        <v>10.01</v>
      </c>
      <c r="E47" s="17">
        <f>D47/B1</f>
        <v>0.5005</v>
      </c>
      <c r="F47" s="16">
        <f t="shared" si="4"/>
        <v>0.93</v>
      </c>
      <c r="G47" s="17">
        <f>F47/B2</f>
        <v>0.186</v>
      </c>
      <c r="H47" s="15">
        <f t="shared" si="5"/>
        <v>0</v>
      </c>
      <c r="I47" s="14">
        <f>H47/B3</f>
        <v>0</v>
      </c>
      <c r="J47" s="2">
        <v>0.0</v>
      </c>
      <c r="K47" s="2">
        <v>0.0</v>
      </c>
      <c r="L47" s="2">
        <v>0.0</v>
      </c>
      <c r="M47" s="7"/>
      <c r="N47" s="7"/>
    </row>
    <row r="48">
      <c r="A48" s="12">
        <v>45708.0</v>
      </c>
      <c r="B48" s="6" t="s">
        <v>61</v>
      </c>
      <c r="C48" s="2">
        <v>0.0</v>
      </c>
      <c r="D48" s="16">
        <f t="shared" si="3"/>
        <v>10.01</v>
      </c>
      <c r="E48" s="17">
        <f>D48/B1</f>
        <v>0.5005</v>
      </c>
      <c r="F48" s="16">
        <f t="shared" si="4"/>
        <v>0.93</v>
      </c>
      <c r="G48" s="17">
        <f>F48/B2</f>
        <v>0.186</v>
      </c>
      <c r="H48" s="15">
        <f t="shared" si="5"/>
        <v>0</v>
      </c>
      <c r="I48" s="14">
        <f>H48/B3</f>
        <v>0</v>
      </c>
      <c r="J48" s="2">
        <v>0.0</v>
      </c>
      <c r="K48" s="2">
        <v>0.0</v>
      </c>
      <c r="L48" s="2">
        <v>0.0</v>
      </c>
      <c r="M48" s="7"/>
      <c r="N48" s="7"/>
    </row>
    <row r="49">
      <c r="A49" s="12">
        <v>45708.0</v>
      </c>
      <c r="B49" s="6" t="s">
        <v>62</v>
      </c>
      <c r="C49" s="2">
        <v>0.93</v>
      </c>
      <c r="D49" s="16">
        <f t="shared" si="3"/>
        <v>10.01</v>
      </c>
      <c r="E49" s="17">
        <f>D49/B1</f>
        <v>0.5005</v>
      </c>
      <c r="F49" s="16">
        <f t="shared" si="4"/>
        <v>0</v>
      </c>
      <c r="G49" s="17">
        <f>F49/B2</f>
        <v>0</v>
      </c>
      <c r="H49" s="15">
        <f t="shared" si="5"/>
        <v>0</v>
      </c>
      <c r="I49" s="14">
        <f>H49/B3</f>
        <v>0</v>
      </c>
      <c r="J49" s="2">
        <v>0.0</v>
      </c>
      <c r="K49" s="2">
        <v>0.0</v>
      </c>
      <c r="L49" s="2">
        <v>0.0</v>
      </c>
      <c r="M49" s="7"/>
      <c r="N49" s="7"/>
    </row>
    <row r="50">
      <c r="A50" s="12">
        <v>45708.0</v>
      </c>
      <c r="B50" s="6" t="s">
        <v>63</v>
      </c>
      <c r="C50" s="2">
        <v>0.0</v>
      </c>
      <c r="D50" s="16">
        <f t="shared" si="3"/>
        <v>10.01</v>
      </c>
      <c r="E50" s="17">
        <f>D50/B1</f>
        <v>0.5005</v>
      </c>
      <c r="F50" s="16">
        <f t="shared" si="4"/>
        <v>0</v>
      </c>
      <c r="G50" s="17">
        <f>F50/B2</f>
        <v>0</v>
      </c>
      <c r="H50" s="15">
        <f t="shared" si="5"/>
        <v>0</v>
      </c>
      <c r="I50" s="14">
        <f>H50/B3</f>
        <v>0</v>
      </c>
      <c r="J50" s="2">
        <v>0.0</v>
      </c>
      <c r="K50" s="2">
        <v>0.0</v>
      </c>
      <c r="L50" s="2">
        <v>0.0</v>
      </c>
      <c r="M50" s="7"/>
      <c r="N50" s="7"/>
    </row>
    <row r="51">
      <c r="A51" s="12">
        <v>45709.0</v>
      </c>
      <c r="B51" s="6" t="s">
        <v>61</v>
      </c>
      <c r="C51" s="2">
        <v>1.06</v>
      </c>
      <c r="D51" s="16">
        <f t="shared" si="3"/>
        <v>8.95</v>
      </c>
      <c r="E51" s="17">
        <f>D51/B1</f>
        <v>0.4475</v>
      </c>
      <c r="F51" s="16">
        <f t="shared" si="4"/>
        <v>0</v>
      </c>
      <c r="G51" s="17">
        <f>F51/B2</f>
        <v>0</v>
      </c>
      <c r="H51" s="15">
        <f t="shared" si="5"/>
        <v>0</v>
      </c>
      <c r="I51" s="14">
        <f>H51/B3</f>
        <v>0</v>
      </c>
      <c r="J51" s="2">
        <v>0.0</v>
      </c>
      <c r="K51" s="2">
        <v>0.0</v>
      </c>
      <c r="L51" s="2">
        <v>0.0</v>
      </c>
      <c r="M51" s="7"/>
      <c r="N51" s="7"/>
    </row>
    <row r="52">
      <c r="A52" s="12">
        <v>45709.0</v>
      </c>
      <c r="B52" s="6" t="s">
        <v>62</v>
      </c>
      <c r="C52" s="2">
        <v>0.0</v>
      </c>
      <c r="D52" s="16">
        <f t="shared" si="3"/>
        <v>8.95</v>
      </c>
      <c r="E52" s="17">
        <f>D52/B1</f>
        <v>0.4475</v>
      </c>
      <c r="F52" s="16">
        <f t="shared" si="4"/>
        <v>0</v>
      </c>
      <c r="G52" s="17">
        <f>F52/B2</f>
        <v>0</v>
      </c>
      <c r="H52" s="15">
        <f t="shared" si="5"/>
        <v>0</v>
      </c>
      <c r="I52" s="14">
        <f>H52/B3</f>
        <v>0</v>
      </c>
      <c r="J52" s="2">
        <v>0.0</v>
      </c>
      <c r="K52" s="2">
        <v>0.0</v>
      </c>
      <c r="L52" s="2">
        <v>0.0</v>
      </c>
      <c r="M52" s="7"/>
      <c r="N52" s="7"/>
    </row>
    <row r="53">
      <c r="A53" s="12">
        <v>45709.0</v>
      </c>
      <c r="B53" s="6" t="s">
        <v>63</v>
      </c>
      <c r="C53" s="2">
        <v>0.0</v>
      </c>
      <c r="D53" s="16">
        <f t="shared" si="3"/>
        <v>8.95</v>
      </c>
      <c r="E53" s="17">
        <f>D53/B1</f>
        <v>0.4475</v>
      </c>
      <c r="F53" s="16">
        <f t="shared" si="4"/>
        <v>0</v>
      </c>
      <c r="G53" s="17">
        <f>F53/B2</f>
        <v>0</v>
      </c>
      <c r="H53" s="15">
        <f t="shared" si="5"/>
        <v>0</v>
      </c>
      <c r="I53" s="14">
        <f>H53/B3</f>
        <v>0</v>
      </c>
      <c r="J53" s="2">
        <v>0.0</v>
      </c>
      <c r="K53" s="2">
        <v>0.0</v>
      </c>
      <c r="L53" s="2">
        <v>0.0</v>
      </c>
      <c r="M53" s="7"/>
      <c r="N53" s="7"/>
    </row>
    <row r="54">
      <c r="A54" s="12">
        <v>45710.0</v>
      </c>
      <c r="B54" s="6" t="s">
        <v>61</v>
      </c>
      <c r="C54" s="2">
        <v>1.25</v>
      </c>
      <c r="D54" s="16">
        <f t="shared" si="3"/>
        <v>7.7</v>
      </c>
      <c r="E54" s="17">
        <f>D54/B1</f>
        <v>0.385</v>
      </c>
      <c r="F54" s="16">
        <f t="shared" si="4"/>
        <v>0</v>
      </c>
      <c r="G54" s="17">
        <f>F54/B2</f>
        <v>0</v>
      </c>
      <c r="H54" s="15">
        <f t="shared" si="5"/>
        <v>0</v>
      </c>
      <c r="I54" s="14">
        <f>H54/B3</f>
        <v>0</v>
      </c>
      <c r="J54" s="2">
        <v>0.0</v>
      </c>
      <c r="K54" s="2">
        <v>0.0</v>
      </c>
      <c r="L54" s="2">
        <v>0.0</v>
      </c>
      <c r="M54" s="7"/>
      <c r="N54" s="7"/>
    </row>
    <row r="55">
      <c r="A55" s="12">
        <v>45710.0</v>
      </c>
      <c r="B55" s="6" t="s">
        <v>62</v>
      </c>
      <c r="C55" s="2">
        <v>0.0</v>
      </c>
      <c r="D55" s="16">
        <f t="shared" si="3"/>
        <v>7.7</v>
      </c>
      <c r="E55" s="17">
        <f>D55/B1</f>
        <v>0.385</v>
      </c>
      <c r="F55" s="16">
        <f t="shared" si="4"/>
        <v>0</v>
      </c>
      <c r="G55" s="17">
        <f>F55/B2</f>
        <v>0</v>
      </c>
      <c r="H55" s="15">
        <f t="shared" si="5"/>
        <v>0</v>
      </c>
      <c r="I55" s="14">
        <f>H55/B3</f>
        <v>0</v>
      </c>
      <c r="J55" s="2">
        <v>0.0</v>
      </c>
      <c r="K55" s="2">
        <v>0.0</v>
      </c>
      <c r="L55" s="2">
        <v>0.0</v>
      </c>
      <c r="M55" s="7"/>
      <c r="N55" s="7"/>
    </row>
    <row r="56">
      <c r="A56" s="12">
        <v>45710.0</v>
      </c>
      <c r="B56" s="6" t="s">
        <v>63</v>
      </c>
      <c r="C56" s="2">
        <v>0.0</v>
      </c>
      <c r="D56" s="16">
        <f t="shared" si="3"/>
        <v>7.7</v>
      </c>
      <c r="E56" s="17">
        <f>D56/B1</f>
        <v>0.385</v>
      </c>
      <c r="F56" s="16">
        <f t="shared" si="4"/>
        <v>0</v>
      </c>
      <c r="G56" s="17">
        <f>F56/B2</f>
        <v>0</v>
      </c>
      <c r="H56" s="15">
        <f t="shared" si="5"/>
        <v>0</v>
      </c>
      <c r="I56" s="14">
        <f>H56/B3</f>
        <v>0</v>
      </c>
      <c r="J56" s="2">
        <v>0.0</v>
      </c>
      <c r="K56" s="2">
        <v>0.0</v>
      </c>
      <c r="L56" s="2">
        <v>0.0</v>
      </c>
      <c r="M56" s="7"/>
      <c r="N56" s="7"/>
    </row>
    <row r="57">
      <c r="A57" s="12">
        <v>45711.0</v>
      </c>
      <c r="B57" s="6" t="s">
        <v>61</v>
      </c>
      <c r="C57" s="2">
        <v>1.22</v>
      </c>
      <c r="D57" s="16">
        <f t="shared" si="3"/>
        <v>6.48</v>
      </c>
      <c r="E57" s="17">
        <f>D57/B1</f>
        <v>0.324</v>
      </c>
      <c r="F57" s="16">
        <f t="shared" si="4"/>
        <v>0</v>
      </c>
      <c r="G57" s="17">
        <f>F57/B2</f>
        <v>0</v>
      </c>
      <c r="H57" s="15">
        <f t="shared" si="5"/>
        <v>0</v>
      </c>
      <c r="I57" s="14">
        <f>H57/B3</f>
        <v>0</v>
      </c>
      <c r="J57" s="2">
        <v>0.0</v>
      </c>
      <c r="K57" s="2">
        <v>0.0</v>
      </c>
      <c r="L57" s="2">
        <v>0.0</v>
      </c>
      <c r="M57" s="7"/>
      <c r="N57" s="7"/>
    </row>
    <row r="58">
      <c r="A58" s="12">
        <v>45711.0</v>
      </c>
      <c r="B58" s="6" t="s">
        <v>62</v>
      </c>
      <c r="C58" s="2">
        <v>0.0</v>
      </c>
      <c r="D58" s="16">
        <f t="shared" si="3"/>
        <v>6.48</v>
      </c>
      <c r="E58" s="17">
        <f>D58/B1</f>
        <v>0.324</v>
      </c>
      <c r="F58" s="16">
        <f t="shared" si="4"/>
        <v>0</v>
      </c>
      <c r="G58" s="17">
        <f>F58/B2</f>
        <v>0</v>
      </c>
      <c r="H58" s="15">
        <f t="shared" si="5"/>
        <v>0</v>
      </c>
      <c r="I58" s="14">
        <f>H58/B3</f>
        <v>0</v>
      </c>
      <c r="J58" s="2">
        <v>0.0</v>
      </c>
      <c r="K58" s="2">
        <v>0.0</v>
      </c>
      <c r="L58" s="2">
        <v>0.0</v>
      </c>
      <c r="M58" s="7"/>
      <c r="N58" s="7"/>
    </row>
    <row r="59">
      <c r="A59" s="12">
        <v>45711.0</v>
      </c>
      <c r="B59" s="6" t="s">
        <v>63</v>
      </c>
      <c r="C59" s="2">
        <v>0.0</v>
      </c>
      <c r="D59" s="16">
        <f t="shared" si="3"/>
        <v>6.48</v>
      </c>
      <c r="E59" s="17">
        <f>D59/B1</f>
        <v>0.324</v>
      </c>
      <c r="F59" s="16">
        <f t="shared" si="4"/>
        <v>0</v>
      </c>
      <c r="G59" s="17">
        <f>F59/B2</f>
        <v>0</v>
      </c>
      <c r="H59" s="15">
        <f t="shared" si="5"/>
        <v>0</v>
      </c>
      <c r="I59" s="14">
        <f>H59/B3</f>
        <v>0</v>
      </c>
      <c r="J59" s="2">
        <v>0.0</v>
      </c>
      <c r="K59" s="2">
        <v>0.0</v>
      </c>
      <c r="L59" s="2">
        <v>0.0</v>
      </c>
    </row>
    <row r="60">
      <c r="A60" s="12">
        <v>45712.0</v>
      </c>
      <c r="B60" s="6" t="s">
        <v>61</v>
      </c>
      <c r="C60" s="2">
        <v>1.23</v>
      </c>
      <c r="D60" s="16">
        <f t="shared" si="3"/>
        <v>5.25</v>
      </c>
      <c r="E60" s="17">
        <f>D60/B1</f>
        <v>0.2625</v>
      </c>
      <c r="F60" s="16">
        <f t="shared" si="4"/>
        <v>0</v>
      </c>
      <c r="G60" s="17">
        <f>F60/B2</f>
        <v>0</v>
      </c>
      <c r="H60" s="15">
        <f t="shared" si="5"/>
        <v>0</v>
      </c>
      <c r="I60" s="14">
        <f>H60/B3</f>
        <v>0</v>
      </c>
      <c r="J60" s="2">
        <v>0.0</v>
      </c>
      <c r="K60" s="2">
        <v>0.0</v>
      </c>
      <c r="L60" s="2">
        <v>0.0</v>
      </c>
    </row>
    <row r="61">
      <c r="A61" s="12">
        <v>45712.0</v>
      </c>
      <c r="B61" s="6" t="s">
        <v>62</v>
      </c>
      <c r="C61" s="2">
        <v>0.0</v>
      </c>
      <c r="D61" s="16">
        <f t="shared" si="3"/>
        <v>5.25</v>
      </c>
      <c r="E61" s="17">
        <f>D61/B1</f>
        <v>0.2625</v>
      </c>
      <c r="F61" s="16">
        <f t="shared" si="4"/>
        <v>0</v>
      </c>
      <c r="G61" s="17">
        <f>F61/B2</f>
        <v>0</v>
      </c>
      <c r="H61" s="15">
        <f t="shared" si="5"/>
        <v>0</v>
      </c>
      <c r="I61" s="14">
        <f>H61/B3</f>
        <v>0</v>
      </c>
      <c r="J61" s="2">
        <v>0.0</v>
      </c>
      <c r="K61" s="2">
        <v>0.0</v>
      </c>
      <c r="L61" s="2">
        <v>0.0</v>
      </c>
    </row>
    <row r="62">
      <c r="A62" s="12">
        <v>45712.0</v>
      </c>
      <c r="B62" s="6" t="s">
        <v>63</v>
      </c>
      <c r="C62" s="2">
        <v>0.0</v>
      </c>
      <c r="D62" s="16">
        <f t="shared" si="3"/>
        <v>5.25</v>
      </c>
      <c r="E62" s="17">
        <f>D62/B1</f>
        <v>0.2625</v>
      </c>
      <c r="F62" s="16">
        <f t="shared" si="4"/>
        <v>0</v>
      </c>
      <c r="G62" s="17">
        <f>F62/B2</f>
        <v>0</v>
      </c>
      <c r="H62" s="15">
        <f t="shared" si="5"/>
        <v>0</v>
      </c>
      <c r="I62" s="14">
        <f>H62/B3</f>
        <v>0</v>
      </c>
      <c r="J62" s="2">
        <v>0.0</v>
      </c>
      <c r="K62" s="2">
        <v>0.0</v>
      </c>
      <c r="L62" s="2">
        <v>0.0</v>
      </c>
    </row>
    <row r="63">
      <c r="A63" s="12">
        <v>45713.0</v>
      </c>
      <c r="B63" s="6" t="s">
        <v>61</v>
      </c>
      <c r="C63" s="2">
        <v>1.34</v>
      </c>
      <c r="D63" s="16">
        <f t="shared" si="3"/>
        <v>3.91</v>
      </c>
      <c r="E63" s="17">
        <f>D63/B1</f>
        <v>0.1955</v>
      </c>
      <c r="F63" s="16">
        <f t="shared" si="4"/>
        <v>0</v>
      </c>
      <c r="G63" s="17">
        <f>F63/B2</f>
        <v>0</v>
      </c>
      <c r="H63" s="15">
        <f t="shared" si="5"/>
        <v>0</v>
      </c>
      <c r="I63" s="14">
        <f>H63/B3</f>
        <v>0</v>
      </c>
      <c r="J63" s="2">
        <v>0.0</v>
      </c>
      <c r="K63" s="2">
        <v>0.0</v>
      </c>
      <c r="L63" s="2">
        <v>0.0</v>
      </c>
    </row>
    <row r="64">
      <c r="A64" s="12">
        <v>45713.0</v>
      </c>
      <c r="B64" s="6" t="s">
        <v>62</v>
      </c>
      <c r="C64" s="2">
        <v>0.0</v>
      </c>
      <c r="D64" s="16">
        <f t="shared" si="3"/>
        <v>3.91</v>
      </c>
      <c r="E64" s="17">
        <f>D64/B1</f>
        <v>0.1955</v>
      </c>
      <c r="F64" s="16">
        <f t="shared" si="4"/>
        <v>0</v>
      </c>
      <c r="G64" s="17">
        <f>F64/B2</f>
        <v>0</v>
      </c>
      <c r="H64" s="15">
        <f t="shared" si="5"/>
        <v>0</v>
      </c>
      <c r="I64" s="14">
        <f>H64/B3</f>
        <v>0</v>
      </c>
      <c r="J64" s="2">
        <v>0.0</v>
      </c>
      <c r="K64" s="2">
        <v>0.0</v>
      </c>
      <c r="L64" s="2">
        <v>0.0</v>
      </c>
    </row>
    <row r="65">
      <c r="A65" s="12">
        <v>45713.0</v>
      </c>
      <c r="B65" s="6" t="s">
        <v>63</v>
      </c>
      <c r="C65" s="2">
        <v>0.0</v>
      </c>
      <c r="D65" s="16">
        <f t="shared" si="3"/>
        <v>3.91</v>
      </c>
      <c r="E65" s="17">
        <f>D65/B1</f>
        <v>0.1955</v>
      </c>
      <c r="F65" s="16">
        <f t="shared" si="4"/>
        <v>0</v>
      </c>
      <c r="G65" s="17">
        <f>F65/B2</f>
        <v>0</v>
      </c>
      <c r="H65" s="15">
        <f t="shared" si="5"/>
        <v>0</v>
      </c>
      <c r="I65" s="14">
        <f>H65/B3</f>
        <v>0</v>
      </c>
      <c r="J65" s="2">
        <v>0.0</v>
      </c>
      <c r="K65" s="2">
        <v>0.0</v>
      </c>
      <c r="L65" s="2">
        <v>0.0</v>
      </c>
    </row>
    <row r="66">
      <c r="A66" s="12">
        <v>45714.0</v>
      </c>
      <c r="B66" s="6" t="s">
        <v>61</v>
      </c>
      <c r="C66" s="2">
        <v>1.43</v>
      </c>
      <c r="D66" s="16">
        <f t="shared" si="3"/>
        <v>2.48</v>
      </c>
      <c r="E66" s="17">
        <f>D66/B1</f>
        <v>0.124</v>
      </c>
      <c r="F66" s="16">
        <f t="shared" si="4"/>
        <v>0</v>
      </c>
      <c r="G66" s="17">
        <f>F66/B2</f>
        <v>0</v>
      </c>
      <c r="H66" s="15">
        <f t="shared" si="5"/>
        <v>0</v>
      </c>
      <c r="I66" s="14">
        <f>H66/B3</f>
        <v>0</v>
      </c>
      <c r="J66" s="2">
        <v>0.0</v>
      </c>
      <c r="K66" s="2">
        <v>0.0</v>
      </c>
      <c r="L66" s="2">
        <v>0.0</v>
      </c>
    </row>
    <row r="67">
      <c r="A67" s="12">
        <v>45714.0</v>
      </c>
      <c r="B67" s="6" t="s">
        <v>62</v>
      </c>
      <c r="C67" s="2">
        <v>0.0</v>
      </c>
      <c r="D67" s="16">
        <f t="shared" si="3"/>
        <v>2.48</v>
      </c>
      <c r="E67" s="17">
        <f>D67/B1</f>
        <v>0.124</v>
      </c>
      <c r="F67" s="16">
        <f t="shared" si="4"/>
        <v>0</v>
      </c>
      <c r="G67" s="17">
        <f>F67/B2</f>
        <v>0</v>
      </c>
      <c r="H67" s="15">
        <f t="shared" si="5"/>
        <v>0</v>
      </c>
      <c r="I67" s="14">
        <f>H67/B3</f>
        <v>0</v>
      </c>
      <c r="J67" s="2">
        <v>0.0</v>
      </c>
      <c r="K67" s="2">
        <v>0.0</v>
      </c>
      <c r="L67" s="2">
        <v>0.0</v>
      </c>
    </row>
    <row r="68">
      <c r="A68" s="12">
        <v>45714.0</v>
      </c>
      <c r="B68" s="6" t="s">
        <v>63</v>
      </c>
      <c r="C68" s="2">
        <v>0.0</v>
      </c>
      <c r="D68" s="16">
        <f t="shared" si="3"/>
        <v>2.48</v>
      </c>
      <c r="E68" s="17">
        <f>D68/B1</f>
        <v>0.124</v>
      </c>
      <c r="F68" s="16">
        <f t="shared" si="4"/>
        <v>0</v>
      </c>
      <c r="G68" s="17">
        <f>F68/B2</f>
        <v>0</v>
      </c>
      <c r="H68" s="15">
        <f t="shared" si="5"/>
        <v>0</v>
      </c>
      <c r="I68" s="14">
        <f>H68/B3</f>
        <v>0</v>
      </c>
      <c r="J68" s="2">
        <v>0.0</v>
      </c>
      <c r="K68" s="2">
        <v>0.0</v>
      </c>
      <c r="L68" s="2">
        <v>0.0</v>
      </c>
    </row>
    <row r="69">
      <c r="A69" s="12">
        <v>45715.0</v>
      </c>
      <c r="B69" s="6" t="s">
        <v>61</v>
      </c>
      <c r="C69" s="2">
        <v>1.17</v>
      </c>
      <c r="D69" s="16">
        <f t="shared" si="3"/>
        <v>1.31</v>
      </c>
      <c r="E69" s="17">
        <f>D69/B1</f>
        <v>0.0655</v>
      </c>
      <c r="F69" s="16">
        <f t="shared" si="4"/>
        <v>0</v>
      </c>
      <c r="G69" s="17">
        <f>F69/B2</f>
        <v>0</v>
      </c>
      <c r="H69" s="15">
        <f t="shared" si="5"/>
        <v>0</v>
      </c>
      <c r="I69" s="14">
        <f>H69/B3</f>
        <v>0</v>
      </c>
      <c r="J69" s="2">
        <v>0.0</v>
      </c>
      <c r="K69" s="2">
        <v>0.0</v>
      </c>
      <c r="L69" s="2">
        <v>0.0</v>
      </c>
    </row>
    <row r="70">
      <c r="A70" s="12">
        <v>45715.0</v>
      </c>
      <c r="B70" s="6" t="s">
        <v>62</v>
      </c>
      <c r="C70" s="2">
        <v>0.0</v>
      </c>
      <c r="D70" s="16">
        <f t="shared" si="3"/>
        <v>1.31</v>
      </c>
      <c r="E70" s="17">
        <f>D70/B1</f>
        <v>0.0655</v>
      </c>
      <c r="F70" s="16">
        <f t="shared" si="4"/>
        <v>0</v>
      </c>
      <c r="G70" s="17">
        <f>F70/B2</f>
        <v>0</v>
      </c>
      <c r="H70" s="15">
        <f t="shared" si="5"/>
        <v>0</v>
      </c>
      <c r="I70" s="14">
        <f>H70/B3</f>
        <v>0</v>
      </c>
      <c r="J70" s="2">
        <v>0.0</v>
      </c>
      <c r="K70" s="2">
        <v>0.0</v>
      </c>
      <c r="L70" s="2">
        <v>0.0</v>
      </c>
    </row>
    <row r="71">
      <c r="A71" s="12">
        <v>45715.0</v>
      </c>
      <c r="B71" s="6" t="s">
        <v>63</v>
      </c>
      <c r="C71" s="2">
        <v>0.0</v>
      </c>
      <c r="D71" s="16">
        <f t="shared" si="3"/>
        <v>1.31</v>
      </c>
      <c r="E71" s="17">
        <f>D71/B1</f>
        <v>0.0655</v>
      </c>
      <c r="F71" s="16">
        <f t="shared" si="4"/>
        <v>0</v>
      </c>
      <c r="G71" s="17">
        <f>F71/B2</f>
        <v>0</v>
      </c>
      <c r="H71" s="15">
        <f t="shared" si="5"/>
        <v>0</v>
      </c>
      <c r="I71" s="14">
        <f>H71/B3</f>
        <v>0</v>
      </c>
      <c r="J71" s="2">
        <v>0.0</v>
      </c>
      <c r="K71" s="2">
        <v>0.0</v>
      </c>
      <c r="L71" s="2">
        <v>0.0</v>
      </c>
    </row>
    <row r="72">
      <c r="A72" s="12">
        <v>45716.0</v>
      </c>
      <c r="B72" s="6" t="s">
        <v>61</v>
      </c>
      <c r="C72" s="2">
        <v>1.31</v>
      </c>
      <c r="D72" s="16">
        <f t="shared" si="3"/>
        <v>0</v>
      </c>
      <c r="E72" s="17">
        <f>D72/B1</f>
        <v>0</v>
      </c>
      <c r="F72" s="16">
        <f t="shared" si="4"/>
        <v>0</v>
      </c>
      <c r="G72" s="17">
        <f>F72/B2</f>
        <v>0</v>
      </c>
      <c r="H72" s="15">
        <f t="shared" si="5"/>
        <v>0</v>
      </c>
      <c r="I72" s="14">
        <f>H72/B3</f>
        <v>0</v>
      </c>
      <c r="J72" s="2">
        <v>0.0</v>
      </c>
      <c r="K72" s="2">
        <v>0.0</v>
      </c>
      <c r="L72" s="2">
        <v>0.0</v>
      </c>
    </row>
    <row r="73">
      <c r="A73" s="12">
        <v>45716.0</v>
      </c>
      <c r="B73" s="6" t="s">
        <v>62</v>
      </c>
      <c r="C73" s="2">
        <v>0.0</v>
      </c>
      <c r="D73" s="16">
        <f t="shared" si="3"/>
        <v>0</v>
      </c>
      <c r="E73" s="17">
        <f>D73/B1</f>
        <v>0</v>
      </c>
      <c r="F73" s="16">
        <f t="shared" si="4"/>
        <v>0</v>
      </c>
      <c r="G73" s="17">
        <f>F73/B2</f>
        <v>0</v>
      </c>
      <c r="H73" s="15">
        <f t="shared" si="5"/>
        <v>0</v>
      </c>
      <c r="I73" s="14">
        <f>H73/B3</f>
        <v>0</v>
      </c>
      <c r="J73" s="2">
        <v>0.0</v>
      </c>
      <c r="K73" s="2">
        <v>0.0</v>
      </c>
      <c r="L73" s="2">
        <v>0.0</v>
      </c>
    </row>
    <row r="74">
      <c r="A74" s="12">
        <v>45716.0</v>
      </c>
      <c r="B74" s="6" t="s">
        <v>63</v>
      </c>
      <c r="C74" s="2">
        <v>0.0</v>
      </c>
      <c r="D74" s="16">
        <f t="shared" si="3"/>
        <v>0</v>
      </c>
      <c r="E74" s="17">
        <f>D74/B1</f>
        <v>0</v>
      </c>
      <c r="F74" s="16">
        <f t="shared" si="4"/>
        <v>0</v>
      </c>
      <c r="G74" s="17">
        <f>F74/B2</f>
        <v>0</v>
      </c>
      <c r="H74" s="15">
        <f t="shared" si="5"/>
        <v>0</v>
      </c>
      <c r="I74" s="14">
        <f>H74/B3</f>
        <v>0</v>
      </c>
      <c r="J74" s="2">
        <v>0.0</v>
      </c>
      <c r="K74" s="2">
        <v>0.0</v>
      </c>
      <c r="L74" s="2">
        <v>0.0</v>
      </c>
    </row>
  </sheetData>
  <dataValidations>
    <dataValidation type="list" allowBlank="1" showErrorMessage="1" sqref="B6:B74">
      <formula1>"WW,FLA,MAC1+"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6.13"/>
    <col customWidth="1" min="2" max="2" width="22.63"/>
    <col customWidth="1" min="3" max="3" width="10.25"/>
    <col customWidth="1" min="4" max="4" width="17.0"/>
    <col customWidth="1" min="5" max="5" width="15.0"/>
    <col customWidth="1" min="6" max="6" width="17.0"/>
    <col customWidth="1" min="7" max="7" width="16.13"/>
    <col customWidth="1" min="8" max="9" width="16.38"/>
    <col customWidth="1" min="10" max="10" width="12.63"/>
    <col customWidth="1" min="11" max="11" width="14.88"/>
    <col customWidth="1" min="12" max="12" width="13.0"/>
  </cols>
  <sheetData>
    <row r="1">
      <c r="A1" s="1" t="s">
        <v>50</v>
      </c>
      <c r="B1" s="2">
        <v>20.0</v>
      </c>
      <c r="C1" s="4">
        <f>D68</f>
        <v>0</v>
      </c>
      <c r="D1" s="5">
        <f t="shared" ref="D1:D4" si="1">C1/B1</f>
        <v>0</v>
      </c>
      <c r="G1" s="1" t="s">
        <v>1</v>
      </c>
      <c r="H1" s="3">
        <f>IFERROR(__xludf.DUMMYFUNCTION("COUNTUNIQUE(A6:A62)"),19.0)</f>
        <v>19</v>
      </c>
      <c r="I1" s="3"/>
      <c r="J1" s="6"/>
      <c r="K1" s="3"/>
      <c r="L1" s="3"/>
      <c r="M1" s="7"/>
      <c r="N1" s="7"/>
    </row>
    <row r="2">
      <c r="A2" s="1" t="s">
        <v>64</v>
      </c>
      <c r="B2" s="2">
        <v>5.0</v>
      </c>
      <c r="C2" s="4">
        <f>F68</f>
        <v>0</v>
      </c>
      <c r="D2" s="5">
        <f t="shared" si="1"/>
        <v>0</v>
      </c>
      <c r="G2" s="1" t="s">
        <v>5</v>
      </c>
      <c r="H2" s="3">
        <f>(B1+B2+B3)/F4</f>
        <v>19</v>
      </c>
      <c r="I2" s="3"/>
      <c r="J2" s="3"/>
      <c r="K2" s="3"/>
      <c r="L2" s="3"/>
      <c r="M2" s="7"/>
      <c r="N2" s="7"/>
    </row>
    <row r="3">
      <c r="A3" s="1" t="s">
        <v>65</v>
      </c>
      <c r="B3" s="2">
        <v>5.0</v>
      </c>
      <c r="C3" s="4">
        <f>H68</f>
        <v>0</v>
      </c>
      <c r="D3" s="8">
        <f t="shared" si="1"/>
        <v>0</v>
      </c>
      <c r="E3" s="3"/>
      <c r="F3" s="6"/>
      <c r="G3" s="3"/>
      <c r="H3" s="3"/>
      <c r="I3" s="3"/>
      <c r="J3" s="3"/>
      <c r="K3" s="3"/>
      <c r="L3" s="3"/>
      <c r="M3" s="7"/>
      <c r="N3" s="7"/>
    </row>
    <row r="4">
      <c r="A4" s="3"/>
      <c r="B4" s="9">
        <f t="shared" ref="B4:C4" si="2">SUM(B1:B3)</f>
        <v>30</v>
      </c>
      <c r="C4" s="9">
        <f t="shared" si="2"/>
        <v>0</v>
      </c>
      <c r="D4" s="5">
        <f t="shared" si="1"/>
        <v>0</v>
      </c>
      <c r="E4" s="1" t="s">
        <v>7</v>
      </c>
      <c r="F4" s="3">
        <f>SUM(C6:C62)/H1</f>
        <v>1.578947368</v>
      </c>
      <c r="G4" s="3"/>
      <c r="H4" s="3"/>
      <c r="I4" s="3"/>
      <c r="J4" s="3"/>
      <c r="K4" s="3"/>
      <c r="L4" s="3"/>
      <c r="M4" s="7"/>
      <c r="N4" s="7"/>
    </row>
    <row r="5">
      <c r="A5" s="10" t="s">
        <v>8</v>
      </c>
      <c r="B5" s="10" t="s">
        <v>9</v>
      </c>
      <c r="C5" s="10" t="s">
        <v>10</v>
      </c>
      <c r="D5" s="10" t="s">
        <v>52</v>
      </c>
      <c r="E5" s="10" t="s">
        <v>52</v>
      </c>
      <c r="F5" s="10" t="s">
        <v>66</v>
      </c>
      <c r="G5" s="10" t="s">
        <v>66</v>
      </c>
      <c r="H5" s="10" t="s">
        <v>67</v>
      </c>
      <c r="I5" s="10" t="s">
        <v>68</v>
      </c>
      <c r="J5" s="10" t="s">
        <v>58</v>
      </c>
      <c r="K5" s="10" t="s">
        <v>69</v>
      </c>
      <c r="L5" s="10" t="s">
        <v>70</v>
      </c>
      <c r="M5" s="7"/>
      <c r="N5" s="7"/>
    </row>
    <row r="6">
      <c r="A6" s="12">
        <v>45719.0</v>
      </c>
      <c r="B6" s="6" t="s">
        <v>61</v>
      </c>
      <c r="C6" s="2">
        <v>2.34</v>
      </c>
      <c r="D6" s="4">
        <f>IF(B6="WW",B1-C6,B1)</f>
        <v>17.66</v>
      </c>
      <c r="E6" s="13">
        <f>D6/B1</f>
        <v>0.883</v>
      </c>
      <c r="F6" s="2">
        <f>IF(B6="FLA",B2-C6,B2)</f>
        <v>5</v>
      </c>
      <c r="G6" s="14">
        <f>F6/B2</f>
        <v>1</v>
      </c>
      <c r="H6" s="15">
        <f>IF(B6="MAC1+",B3-C6,B3)</f>
        <v>5</v>
      </c>
      <c r="I6" s="14">
        <f>H6/B3</f>
        <v>1</v>
      </c>
      <c r="J6" s="2">
        <v>0.0</v>
      </c>
      <c r="K6" s="2">
        <v>0.0</v>
      </c>
      <c r="L6" s="2">
        <v>0.0</v>
      </c>
      <c r="M6" s="7"/>
      <c r="N6" s="7"/>
    </row>
    <row r="7">
      <c r="A7" s="12">
        <v>45719.0</v>
      </c>
      <c r="B7" s="6" t="s">
        <v>62</v>
      </c>
      <c r="C7" s="2">
        <v>0.54</v>
      </c>
      <c r="D7" s="16">
        <f t="shared" ref="D7:D68" si="3">IF(B7="WW",D6-C7,D6)</f>
        <v>17.66</v>
      </c>
      <c r="E7" s="17">
        <f>D7/B1</f>
        <v>0.883</v>
      </c>
      <c r="F7" s="16">
        <f t="shared" ref="F7:F68" si="4">IF(B7="FLA",F6-C7,F6)</f>
        <v>4.46</v>
      </c>
      <c r="G7" s="17">
        <f>F7/B2</f>
        <v>0.892</v>
      </c>
      <c r="H7" s="15">
        <f t="shared" ref="H7:H68" si="5">IF(B7="MAC1+",H6-C7,H6)</f>
        <v>5</v>
      </c>
      <c r="I7" s="14">
        <f>H7/B3</f>
        <v>1</v>
      </c>
      <c r="J7" s="2">
        <v>0.0</v>
      </c>
      <c r="K7" s="2">
        <v>0.0</v>
      </c>
      <c r="L7" s="2">
        <v>0.0</v>
      </c>
      <c r="M7" s="7"/>
      <c r="N7" s="7"/>
    </row>
    <row r="8">
      <c r="A8" s="12">
        <v>45719.0</v>
      </c>
      <c r="B8" s="6" t="s">
        <v>63</v>
      </c>
      <c r="C8" s="2">
        <v>0.52</v>
      </c>
      <c r="D8" s="16">
        <f t="shared" si="3"/>
        <v>17.66</v>
      </c>
      <c r="E8" s="17">
        <f>D8/B1</f>
        <v>0.883</v>
      </c>
      <c r="F8" s="16">
        <f t="shared" si="4"/>
        <v>4.46</v>
      </c>
      <c r="G8" s="17">
        <f>F8/B2</f>
        <v>0.892</v>
      </c>
      <c r="H8" s="15">
        <f t="shared" si="5"/>
        <v>4.48</v>
      </c>
      <c r="I8" s="14">
        <f>H8/B3</f>
        <v>0.896</v>
      </c>
      <c r="J8" s="2">
        <v>0.0</v>
      </c>
      <c r="K8" s="2">
        <v>0.0</v>
      </c>
      <c r="L8" s="2">
        <v>0.0</v>
      </c>
      <c r="M8" s="7"/>
      <c r="N8" s="7"/>
    </row>
    <row r="9">
      <c r="A9" s="12">
        <v>45720.0</v>
      </c>
      <c r="B9" s="6" t="s">
        <v>61</v>
      </c>
      <c r="C9" s="2">
        <v>0.0</v>
      </c>
      <c r="D9" s="16">
        <f t="shared" si="3"/>
        <v>17.66</v>
      </c>
      <c r="E9" s="17">
        <f>D9/B1</f>
        <v>0.883</v>
      </c>
      <c r="F9" s="16">
        <f t="shared" si="4"/>
        <v>4.46</v>
      </c>
      <c r="G9" s="17">
        <f>F9/B2</f>
        <v>0.892</v>
      </c>
      <c r="H9" s="15">
        <f t="shared" si="5"/>
        <v>4.48</v>
      </c>
      <c r="I9" s="14">
        <f>H9/B3</f>
        <v>0.896</v>
      </c>
      <c r="J9" s="2">
        <v>0.0</v>
      </c>
      <c r="K9" s="2">
        <v>0.0</v>
      </c>
      <c r="L9" s="2">
        <v>0.0</v>
      </c>
      <c r="M9" s="7"/>
      <c r="N9" s="7"/>
    </row>
    <row r="10">
      <c r="A10" s="12">
        <v>45720.0</v>
      </c>
      <c r="B10" s="6" t="s">
        <v>62</v>
      </c>
      <c r="C10" s="2">
        <v>0.52</v>
      </c>
      <c r="D10" s="16">
        <f t="shared" si="3"/>
        <v>17.66</v>
      </c>
      <c r="E10" s="17">
        <f>D10/B1</f>
        <v>0.883</v>
      </c>
      <c r="F10" s="16">
        <f t="shared" si="4"/>
        <v>3.94</v>
      </c>
      <c r="G10" s="17">
        <f>F10/B2</f>
        <v>0.788</v>
      </c>
      <c r="H10" s="15">
        <f t="shared" si="5"/>
        <v>4.48</v>
      </c>
      <c r="I10" s="14">
        <f>H10/B3</f>
        <v>0.896</v>
      </c>
      <c r="J10" s="2">
        <v>0.0</v>
      </c>
      <c r="K10" s="2">
        <v>0.0</v>
      </c>
      <c r="L10" s="2">
        <v>0.0</v>
      </c>
      <c r="M10" s="7"/>
      <c r="N10" s="7"/>
    </row>
    <row r="11">
      <c r="A11" s="12">
        <v>45720.0</v>
      </c>
      <c r="B11" s="6" t="s">
        <v>63</v>
      </c>
      <c r="C11" s="2">
        <v>0.0</v>
      </c>
      <c r="D11" s="16">
        <f t="shared" si="3"/>
        <v>17.66</v>
      </c>
      <c r="E11" s="17">
        <f>D11/B1</f>
        <v>0.883</v>
      </c>
      <c r="F11" s="16">
        <f t="shared" si="4"/>
        <v>3.94</v>
      </c>
      <c r="G11" s="17">
        <f>F11/B2</f>
        <v>0.788</v>
      </c>
      <c r="H11" s="15">
        <f t="shared" si="5"/>
        <v>4.48</v>
      </c>
      <c r="I11" s="14">
        <f>H11/B3</f>
        <v>0.896</v>
      </c>
      <c r="J11" s="2">
        <v>0.0</v>
      </c>
      <c r="K11" s="2">
        <v>0.0</v>
      </c>
      <c r="L11" s="2">
        <v>0.0</v>
      </c>
      <c r="M11" s="7"/>
      <c r="N11" s="7"/>
    </row>
    <row r="12">
      <c r="A12" s="12">
        <v>45721.0</v>
      </c>
      <c r="B12" s="6" t="s">
        <v>61</v>
      </c>
      <c r="C12" s="2">
        <v>0.91</v>
      </c>
      <c r="D12" s="16">
        <f t="shared" si="3"/>
        <v>16.75</v>
      </c>
      <c r="E12" s="17">
        <f>D12/B1</f>
        <v>0.8375</v>
      </c>
      <c r="F12" s="16">
        <f t="shared" si="4"/>
        <v>3.94</v>
      </c>
      <c r="G12" s="17">
        <f>F12/B2</f>
        <v>0.788</v>
      </c>
      <c r="H12" s="15">
        <f t="shared" si="5"/>
        <v>4.48</v>
      </c>
      <c r="I12" s="14">
        <f>H12/B3</f>
        <v>0.896</v>
      </c>
      <c r="J12" s="2">
        <v>0.0</v>
      </c>
      <c r="K12" s="2">
        <v>0.0</v>
      </c>
      <c r="L12" s="2">
        <v>0.0</v>
      </c>
      <c r="M12" s="7"/>
      <c r="N12" s="7"/>
    </row>
    <row r="13">
      <c r="A13" s="12">
        <v>45721.0</v>
      </c>
      <c r="B13" s="6" t="s">
        <v>62</v>
      </c>
      <c r="C13" s="2">
        <v>0.55</v>
      </c>
      <c r="D13" s="16">
        <f t="shared" si="3"/>
        <v>16.75</v>
      </c>
      <c r="E13" s="17">
        <f>D13/B1</f>
        <v>0.8375</v>
      </c>
      <c r="F13" s="16">
        <f t="shared" si="4"/>
        <v>3.39</v>
      </c>
      <c r="G13" s="17">
        <f>F13/B2</f>
        <v>0.678</v>
      </c>
      <c r="H13" s="15">
        <f t="shared" si="5"/>
        <v>4.48</v>
      </c>
      <c r="I13" s="14">
        <f>H13/B3</f>
        <v>0.896</v>
      </c>
      <c r="J13" s="2">
        <v>0.0</v>
      </c>
      <c r="K13" s="2">
        <v>0.0</v>
      </c>
      <c r="L13" s="2">
        <v>0.0</v>
      </c>
      <c r="M13" s="7"/>
      <c r="N13" s="7"/>
    </row>
    <row r="14">
      <c r="A14" s="12">
        <v>45721.0</v>
      </c>
      <c r="B14" s="6" t="s">
        <v>63</v>
      </c>
      <c r="C14" s="2">
        <v>0.59</v>
      </c>
      <c r="D14" s="16">
        <f t="shared" si="3"/>
        <v>16.75</v>
      </c>
      <c r="E14" s="17">
        <f>D14/B1</f>
        <v>0.8375</v>
      </c>
      <c r="F14" s="16">
        <f t="shared" si="4"/>
        <v>3.39</v>
      </c>
      <c r="G14" s="17">
        <f>F14/B2</f>
        <v>0.678</v>
      </c>
      <c r="H14" s="15">
        <f t="shared" si="5"/>
        <v>3.89</v>
      </c>
      <c r="I14" s="14">
        <f>H14/B3</f>
        <v>0.778</v>
      </c>
      <c r="J14" s="2">
        <v>0.0</v>
      </c>
      <c r="K14" s="2">
        <v>0.0</v>
      </c>
      <c r="L14" s="2">
        <v>0.0</v>
      </c>
      <c r="M14" s="7"/>
      <c r="N14" s="7"/>
    </row>
    <row r="15">
      <c r="A15" s="12">
        <v>45722.0</v>
      </c>
      <c r="B15" s="6" t="s">
        <v>61</v>
      </c>
      <c r="C15" s="2">
        <v>0.0</v>
      </c>
      <c r="D15" s="16">
        <f t="shared" si="3"/>
        <v>16.75</v>
      </c>
      <c r="E15" s="17">
        <f>D15/B1</f>
        <v>0.8375</v>
      </c>
      <c r="F15" s="16">
        <f t="shared" si="4"/>
        <v>3.39</v>
      </c>
      <c r="G15" s="17">
        <f>F15/B2</f>
        <v>0.678</v>
      </c>
      <c r="H15" s="15">
        <f t="shared" si="5"/>
        <v>3.89</v>
      </c>
      <c r="I15" s="14">
        <f>H15/B3</f>
        <v>0.778</v>
      </c>
      <c r="J15" s="2">
        <v>0.0</v>
      </c>
      <c r="K15" s="2">
        <v>0.0</v>
      </c>
      <c r="L15" s="2">
        <v>0.0</v>
      </c>
      <c r="M15" s="7"/>
      <c r="N15" s="7"/>
    </row>
    <row r="16">
      <c r="A16" s="12">
        <v>45722.0</v>
      </c>
      <c r="B16" s="6" t="s">
        <v>62</v>
      </c>
      <c r="C16" s="2">
        <v>0.0</v>
      </c>
      <c r="D16" s="16">
        <f t="shared" si="3"/>
        <v>16.75</v>
      </c>
      <c r="E16" s="17">
        <f>D16/B1</f>
        <v>0.8375</v>
      </c>
      <c r="F16" s="16">
        <f t="shared" si="4"/>
        <v>3.39</v>
      </c>
      <c r="G16" s="17">
        <f>F16/B2</f>
        <v>0.678</v>
      </c>
      <c r="H16" s="15">
        <f t="shared" si="5"/>
        <v>3.89</v>
      </c>
      <c r="I16" s="14">
        <f>H16/B3</f>
        <v>0.778</v>
      </c>
      <c r="J16" s="2">
        <v>0.0</v>
      </c>
      <c r="K16" s="2">
        <v>0.0</v>
      </c>
      <c r="L16" s="2">
        <v>0.0</v>
      </c>
      <c r="M16" s="7"/>
      <c r="N16" s="7"/>
    </row>
    <row r="17">
      <c r="A17" s="12">
        <v>45722.0</v>
      </c>
      <c r="B17" s="6" t="s">
        <v>63</v>
      </c>
      <c r="C17" s="2">
        <v>0.0</v>
      </c>
      <c r="D17" s="16">
        <f t="shared" si="3"/>
        <v>16.75</v>
      </c>
      <c r="E17" s="17">
        <f>D17/B1</f>
        <v>0.8375</v>
      </c>
      <c r="F17" s="16">
        <f t="shared" si="4"/>
        <v>3.39</v>
      </c>
      <c r="G17" s="17">
        <f>F17/B2</f>
        <v>0.678</v>
      </c>
      <c r="H17" s="15">
        <f t="shared" si="5"/>
        <v>3.89</v>
      </c>
      <c r="I17" s="14">
        <f>H17/B3</f>
        <v>0.778</v>
      </c>
      <c r="J17" s="2">
        <v>0.0</v>
      </c>
      <c r="K17" s="2">
        <v>0.0</v>
      </c>
      <c r="L17" s="2">
        <v>0.0</v>
      </c>
      <c r="M17" s="7"/>
      <c r="N17" s="7"/>
    </row>
    <row r="18">
      <c r="A18" s="12">
        <v>45723.0</v>
      </c>
      <c r="B18" s="6" t="s">
        <v>61</v>
      </c>
      <c r="C18" s="2">
        <v>1.06</v>
      </c>
      <c r="D18" s="16">
        <f t="shared" si="3"/>
        <v>15.69</v>
      </c>
      <c r="E18" s="17">
        <f>D18/B1</f>
        <v>0.7845</v>
      </c>
      <c r="F18" s="16">
        <f t="shared" si="4"/>
        <v>3.39</v>
      </c>
      <c r="G18" s="17">
        <f>F18/B2</f>
        <v>0.678</v>
      </c>
      <c r="H18" s="15">
        <f t="shared" si="5"/>
        <v>3.89</v>
      </c>
      <c r="I18" s="14">
        <f>H18/B3</f>
        <v>0.778</v>
      </c>
      <c r="J18" s="2">
        <v>0.0</v>
      </c>
      <c r="K18" s="2">
        <v>0.0</v>
      </c>
      <c r="L18" s="2">
        <v>0.0</v>
      </c>
      <c r="M18" s="7"/>
      <c r="N18" s="7"/>
    </row>
    <row r="19">
      <c r="A19" s="12">
        <v>45723.0</v>
      </c>
      <c r="B19" s="6" t="s">
        <v>62</v>
      </c>
      <c r="C19" s="2">
        <v>0.6</v>
      </c>
      <c r="D19" s="16">
        <f t="shared" si="3"/>
        <v>15.69</v>
      </c>
      <c r="E19" s="17">
        <f>D19/B1</f>
        <v>0.7845</v>
      </c>
      <c r="F19" s="16">
        <f t="shared" si="4"/>
        <v>2.79</v>
      </c>
      <c r="G19" s="17">
        <f>F19/B2</f>
        <v>0.558</v>
      </c>
      <c r="H19" s="15">
        <f t="shared" si="5"/>
        <v>3.89</v>
      </c>
      <c r="I19" s="14">
        <f>H19/B3</f>
        <v>0.778</v>
      </c>
      <c r="J19" s="2">
        <v>0.0</v>
      </c>
      <c r="K19" s="2">
        <v>0.0</v>
      </c>
      <c r="L19" s="2">
        <v>0.0</v>
      </c>
      <c r="M19" s="7"/>
      <c r="N19" s="7"/>
    </row>
    <row r="20">
      <c r="A20" s="12">
        <v>45723.0</v>
      </c>
      <c r="B20" s="6" t="s">
        <v>63</v>
      </c>
      <c r="C20" s="2">
        <v>0.66</v>
      </c>
      <c r="D20" s="16">
        <f t="shared" si="3"/>
        <v>15.69</v>
      </c>
      <c r="E20" s="17">
        <f>D20/B1</f>
        <v>0.7845</v>
      </c>
      <c r="F20" s="16">
        <f t="shared" si="4"/>
        <v>2.79</v>
      </c>
      <c r="G20" s="17">
        <f>F20/B2</f>
        <v>0.558</v>
      </c>
      <c r="H20" s="15">
        <f t="shared" si="5"/>
        <v>3.23</v>
      </c>
      <c r="I20" s="14">
        <f>H20/B3</f>
        <v>0.646</v>
      </c>
      <c r="J20" s="2">
        <v>0.0</v>
      </c>
      <c r="K20" s="2">
        <v>0.0</v>
      </c>
      <c r="L20" s="2">
        <v>0.0</v>
      </c>
      <c r="M20" s="7"/>
      <c r="N20" s="7"/>
    </row>
    <row r="21">
      <c r="A21" s="12">
        <v>45724.0</v>
      </c>
      <c r="B21" s="6" t="s">
        <v>61</v>
      </c>
      <c r="C21" s="2">
        <v>1.17</v>
      </c>
      <c r="D21" s="16">
        <f t="shared" si="3"/>
        <v>14.52</v>
      </c>
      <c r="E21" s="17">
        <f>D21/B1</f>
        <v>0.726</v>
      </c>
      <c r="F21" s="16">
        <f t="shared" si="4"/>
        <v>2.79</v>
      </c>
      <c r="G21" s="17">
        <f>F21/B2</f>
        <v>0.558</v>
      </c>
      <c r="H21" s="15">
        <f t="shared" si="5"/>
        <v>3.23</v>
      </c>
      <c r="I21" s="14">
        <f>H21/B3</f>
        <v>0.646</v>
      </c>
      <c r="J21" s="2">
        <v>0.0</v>
      </c>
      <c r="K21" s="2">
        <v>0.0</v>
      </c>
      <c r="L21" s="2">
        <v>0.0</v>
      </c>
      <c r="M21" s="7"/>
      <c r="N21" s="7"/>
    </row>
    <row r="22">
      <c r="A22" s="12">
        <v>45724.0</v>
      </c>
      <c r="B22" s="6" t="s">
        <v>62</v>
      </c>
      <c r="C22" s="2">
        <v>0.55</v>
      </c>
      <c r="D22" s="16">
        <f t="shared" si="3"/>
        <v>14.52</v>
      </c>
      <c r="E22" s="17">
        <f>D22/B1</f>
        <v>0.726</v>
      </c>
      <c r="F22" s="16">
        <f t="shared" si="4"/>
        <v>2.24</v>
      </c>
      <c r="G22" s="17">
        <f>F22/B2</f>
        <v>0.448</v>
      </c>
      <c r="H22" s="15">
        <f t="shared" si="5"/>
        <v>3.23</v>
      </c>
      <c r="I22" s="14">
        <f>H22/B3</f>
        <v>0.646</v>
      </c>
      <c r="J22" s="2">
        <v>0.0</v>
      </c>
      <c r="K22" s="2">
        <v>0.0</v>
      </c>
      <c r="L22" s="2">
        <v>0.0</v>
      </c>
      <c r="M22" s="7"/>
      <c r="N22" s="7"/>
    </row>
    <row r="23">
      <c r="A23" s="12">
        <v>45724.0</v>
      </c>
      <c r="B23" s="6" t="s">
        <v>63</v>
      </c>
      <c r="C23" s="2">
        <v>0.0</v>
      </c>
      <c r="D23" s="16">
        <f t="shared" si="3"/>
        <v>14.52</v>
      </c>
      <c r="E23" s="17">
        <f>D23/B1</f>
        <v>0.726</v>
      </c>
      <c r="F23" s="16">
        <f t="shared" si="4"/>
        <v>2.24</v>
      </c>
      <c r="G23" s="17">
        <f>F23/B2</f>
        <v>0.448</v>
      </c>
      <c r="H23" s="15">
        <f t="shared" si="5"/>
        <v>3.23</v>
      </c>
      <c r="I23" s="14">
        <f>H23/B3</f>
        <v>0.646</v>
      </c>
      <c r="J23" s="2">
        <v>0.0</v>
      </c>
      <c r="K23" s="2">
        <v>0.0</v>
      </c>
      <c r="L23" s="2">
        <v>0.0</v>
      </c>
      <c r="M23" s="7"/>
      <c r="N23" s="7"/>
    </row>
    <row r="24">
      <c r="A24" s="12">
        <v>45725.0</v>
      </c>
      <c r="B24" s="6" t="s">
        <v>61</v>
      </c>
      <c r="C24" s="2">
        <v>0.93</v>
      </c>
      <c r="D24" s="16">
        <f t="shared" si="3"/>
        <v>13.59</v>
      </c>
      <c r="E24" s="17">
        <f>D24/B1</f>
        <v>0.6795</v>
      </c>
      <c r="F24" s="16">
        <f t="shared" si="4"/>
        <v>2.24</v>
      </c>
      <c r="G24" s="17">
        <f>F24/B2</f>
        <v>0.448</v>
      </c>
      <c r="H24" s="15">
        <f t="shared" si="5"/>
        <v>3.23</v>
      </c>
      <c r="I24" s="14">
        <f>H24/B3</f>
        <v>0.646</v>
      </c>
      <c r="J24" s="2">
        <v>0.0</v>
      </c>
      <c r="K24" s="2">
        <v>0.0</v>
      </c>
      <c r="L24" s="2">
        <v>0.0</v>
      </c>
      <c r="M24" s="7"/>
      <c r="N24" s="7"/>
    </row>
    <row r="25">
      <c r="A25" s="12">
        <v>45725.0</v>
      </c>
      <c r="B25" s="6" t="s">
        <v>62</v>
      </c>
      <c r="C25" s="2">
        <v>0.53</v>
      </c>
      <c r="D25" s="16">
        <f t="shared" si="3"/>
        <v>13.59</v>
      </c>
      <c r="E25" s="17">
        <f>D25/B1</f>
        <v>0.6795</v>
      </c>
      <c r="F25" s="16">
        <f t="shared" si="4"/>
        <v>1.71</v>
      </c>
      <c r="G25" s="17">
        <f>F25/B2</f>
        <v>0.342</v>
      </c>
      <c r="H25" s="15">
        <f t="shared" si="5"/>
        <v>3.23</v>
      </c>
      <c r="I25" s="14">
        <f>H25/B3</f>
        <v>0.646</v>
      </c>
      <c r="J25" s="2">
        <v>0.0</v>
      </c>
      <c r="K25" s="2">
        <v>0.0</v>
      </c>
      <c r="L25" s="2">
        <v>0.0</v>
      </c>
      <c r="M25" s="7"/>
      <c r="N25" s="7"/>
    </row>
    <row r="26">
      <c r="A26" s="12">
        <v>45725.0</v>
      </c>
      <c r="B26" s="6" t="s">
        <v>63</v>
      </c>
      <c r="C26" s="2">
        <v>0.6</v>
      </c>
      <c r="D26" s="16">
        <f t="shared" si="3"/>
        <v>13.59</v>
      </c>
      <c r="E26" s="17">
        <f>D26/B1</f>
        <v>0.6795</v>
      </c>
      <c r="F26" s="16">
        <f t="shared" si="4"/>
        <v>1.71</v>
      </c>
      <c r="G26" s="17">
        <f>F26/B2</f>
        <v>0.342</v>
      </c>
      <c r="H26" s="15">
        <f t="shared" si="5"/>
        <v>2.63</v>
      </c>
      <c r="I26" s="14">
        <f>H26/B3</f>
        <v>0.526</v>
      </c>
      <c r="J26" s="2">
        <v>0.0</v>
      </c>
      <c r="K26" s="2">
        <v>0.0</v>
      </c>
      <c r="L26" s="2">
        <v>0.0</v>
      </c>
      <c r="M26" s="7"/>
      <c r="N26" s="7"/>
    </row>
    <row r="27">
      <c r="A27" s="12">
        <v>45726.0</v>
      </c>
      <c r="B27" s="6" t="s">
        <v>61</v>
      </c>
      <c r="C27" s="2">
        <v>0.0</v>
      </c>
      <c r="D27" s="16">
        <f t="shared" si="3"/>
        <v>13.59</v>
      </c>
      <c r="E27" s="17">
        <f>D27/B1</f>
        <v>0.6795</v>
      </c>
      <c r="F27" s="16">
        <f t="shared" si="4"/>
        <v>1.71</v>
      </c>
      <c r="G27" s="17">
        <f>F27/B2</f>
        <v>0.342</v>
      </c>
      <c r="H27" s="15">
        <f t="shared" si="5"/>
        <v>2.63</v>
      </c>
      <c r="I27" s="14">
        <f>H27/B3</f>
        <v>0.526</v>
      </c>
      <c r="J27" s="2">
        <v>0.0</v>
      </c>
      <c r="K27" s="2">
        <v>0.0</v>
      </c>
      <c r="L27" s="2">
        <v>0.0</v>
      </c>
      <c r="M27" s="7"/>
      <c r="N27" s="7"/>
    </row>
    <row r="28">
      <c r="A28" s="12">
        <v>45726.0</v>
      </c>
      <c r="B28" s="6" t="s">
        <v>62</v>
      </c>
      <c r="C28" s="2">
        <v>0.57</v>
      </c>
      <c r="D28" s="16">
        <f t="shared" si="3"/>
        <v>13.59</v>
      </c>
      <c r="E28" s="17">
        <f>D28/B1</f>
        <v>0.6795</v>
      </c>
      <c r="F28" s="16">
        <f t="shared" si="4"/>
        <v>1.14</v>
      </c>
      <c r="G28" s="17">
        <f>F28/B2</f>
        <v>0.228</v>
      </c>
      <c r="H28" s="15">
        <f t="shared" si="5"/>
        <v>2.63</v>
      </c>
      <c r="I28" s="14">
        <f>H28/B3</f>
        <v>0.526</v>
      </c>
      <c r="J28" s="2">
        <v>0.0</v>
      </c>
      <c r="K28" s="2">
        <v>0.0</v>
      </c>
      <c r="L28" s="2">
        <v>0.0</v>
      </c>
      <c r="M28" s="7"/>
      <c r="N28" s="7"/>
    </row>
    <row r="29">
      <c r="A29" s="12">
        <v>45726.0</v>
      </c>
      <c r="B29" s="6" t="s">
        <v>63</v>
      </c>
      <c r="C29" s="2">
        <v>0.68</v>
      </c>
      <c r="D29" s="16">
        <f t="shared" si="3"/>
        <v>13.59</v>
      </c>
      <c r="E29" s="17">
        <f>D29/B1</f>
        <v>0.6795</v>
      </c>
      <c r="F29" s="16">
        <f t="shared" si="4"/>
        <v>1.14</v>
      </c>
      <c r="G29" s="17">
        <f>F29/B2</f>
        <v>0.228</v>
      </c>
      <c r="H29" s="15">
        <f t="shared" si="5"/>
        <v>1.95</v>
      </c>
      <c r="I29" s="14">
        <f>H29/B3</f>
        <v>0.39</v>
      </c>
      <c r="J29" s="2">
        <v>0.0</v>
      </c>
      <c r="K29" s="2">
        <v>0.0</v>
      </c>
      <c r="L29" s="2">
        <v>0.0</v>
      </c>
      <c r="M29" s="7"/>
      <c r="N29" s="7"/>
    </row>
    <row r="30">
      <c r="A30" s="12">
        <v>45727.0</v>
      </c>
      <c r="B30" s="6" t="s">
        <v>61</v>
      </c>
      <c r="C30" s="2">
        <v>1.05</v>
      </c>
      <c r="D30" s="16">
        <f t="shared" si="3"/>
        <v>12.54</v>
      </c>
      <c r="E30" s="17">
        <f>D30/B1</f>
        <v>0.627</v>
      </c>
      <c r="F30" s="16">
        <f t="shared" si="4"/>
        <v>1.14</v>
      </c>
      <c r="G30" s="17">
        <f>F30/B2</f>
        <v>0.228</v>
      </c>
      <c r="H30" s="15">
        <f t="shared" si="5"/>
        <v>1.95</v>
      </c>
      <c r="I30" s="14">
        <f>H30/B3</f>
        <v>0.39</v>
      </c>
      <c r="J30" s="2">
        <v>0.0</v>
      </c>
      <c r="K30" s="2">
        <v>0.0</v>
      </c>
      <c r="L30" s="2">
        <v>0.0</v>
      </c>
      <c r="M30" s="7"/>
      <c r="N30" s="7"/>
    </row>
    <row r="31">
      <c r="A31" s="12">
        <v>45727.0</v>
      </c>
      <c r="B31" s="6" t="s">
        <v>62</v>
      </c>
      <c r="C31" s="2">
        <v>0.75</v>
      </c>
      <c r="D31" s="16">
        <f t="shared" si="3"/>
        <v>12.54</v>
      </c>
      <c r="E31" s="17">
        <f>D31/B1</f>
        <v>0.627</v>
      </c>
      <c r="F31" s="16">
        <f t="shared" si="4"/>
        <v>0.39</v>
      </c>
      <c r="G31" s="17">
        <f>F31/B2</f>
        <v>0.078</v>
      </c>
      <c r="H31" s="15">
        <f t="shared" si="5"/>
        <v>1.95</v>
      </c>
      <c r="I31" s="14">
        <f>H31/B3</f>
        <v>0.39</v>
      </c>
      <c r="J31" s="2">
        <v>0.0</v>
      </c>
      <c r="K31" s="2">
        <v>0.0</v>
      </c>
      <c r="L31" s="2">
        <v>0.0</v>
      </c>
      <c r="M31" s="7"/>
      <c r="N31" s="7"/>
    </row>
    <row r="32">
      <c r="A32" s="12">
        <v>45727.0</v>
      </c>
      <c r="B32" s="6" t="s">
        <v>63</v>
      </c>
      <c r="C32" s="2">
        <v>0.76</v>
      </c>
      <c r="D32" s="16">
        <f t="shared" si="3"/>
        <v>12.54</v>
      </c>
      <c r="E32" s="17">
        <f>D32/B1</f>
        <v>0.627</v>
      </c>
      <c r="F32" s="16">
        <f t="shared" si="4"/>
        <v>0.39</v>
      </c>
      <c r="G32" s="17">
        <f>F32/B2</f>
        <v>0.078</v>
      </c>
      <c r="H32" s="15">
        <f t="shared" si="5"/>
        <v>1.19</v>
      </c>
      <c r="I32" s="14">
        <f>H32/B3</f>
        <v>0.238</v>
      </c>
      <c r="J32" s="2">
        <v>0.0</v>
      </c>
      <c r="K32" s="2">
        <v>0.0</v>
      </c>
      <c r="L32" s="2">
        <v>0.0</v>
      </c>
      <c r="M32" s="7"/>
      <c r="N32" s="7"/>
    </row>
    <row r="33">
      <c r="A33" s="12">
        <v>45728.0</v>
      </c>
      <c r="B33" s="6" t="s">
        <v>61</v>
      </c>
      <c r="C33" s="2">
        <v>1.09</v>
      </c>
      <c r="D33" s="16">
        <f t="shared" si="3"/>
        <v>11.45</v>
      </c>
      <c r="E33" s="17">
        <f>D33/B1</f>
        <v>0.5725</v>
      </c>
      <c r="F33" s="16">
        <f t="shared" si="4"/>
        <v>0.39</v>
      </c>
      <c r="G33" s="17">
        <f>F33/B2</f>
        <v>0.078</v>
      </c>
      <c r="H33" s="15">
        <f t="shared" si="5"/>
        <v>1.19</v>
      </c>
      <c r="I33" s="14">
        <f>H33/B3</f>
        <v>0.238</v>
      </c>
      <c r="J33" s="2">
        <v>0.0</v>
      </c>
      <c r="K33" s="2">
        <v>0.0</v>
      </c>
      <c r="L33" s="2">
        <v>0.0</v>
      </c>
      <c r="M33" s="7"/>
      <c r="N33" s="7"/>
    </row>
    <row r="34">
      <c r="A34" s="12">
        <v>45728.0</v>
      </c>
      <c r="B34" s="6" t="s">
        <v>62</v>
      </c>
      <c r="C34" s="2">
        <v>0.39</v>
      </c>
      <c r="D34" s="16">
        <f t="shared" si="3"/>
        <v>11.45</v>
      </c>
      <c r="E34" s="17">
        <f>D34/B1</f>
        <v>0.5725</v>
      </c>
      <c r="F34" s="16">
        <f t="shared" si="4"/>
        <v>0</v>
      </c>
      <c r="G34" s="17">
        <f>F34/B2</f>
        <v>0</v>
      </c>
      <c r="H34" s="15">
        <f t="shared" si="5"/>
        <v>1.19</v>
      </c>
      <c r="I34" s="14">
        <f>H34/B3</f>
        <v>0.238</v>
      </c>
      <c r="J34" s="2">
        <v>0.0</v>
      </c>
      <c r="K34" s="2">
        <v>0.0</v>
      </c>
      <c r="L34" s="2">
        <v>0.0</v>
      </c>
      <c r="M34" s="7"/>
      <c r="N34" s="7"/>
    </row>
    <row r="35">
      <c r="A35" s="12">
        <v>45728.0</v>
      </c>
      <c r="B35" s="6" t="s">
        <v>63</v>
      </c>
      <c r="C35" s="2">
        <v>0.61</v>
      </c>
      <c r="D35" s="16">
        <f t="shared" si="3"/>
        <v>11.45</v>
      </c>
      <c r="E35" s="17">
        <f>D35/B1</f>
        <v>0.5725</v>
      </c>
      <c r="F35" s="16">
        <f t="shared" si="4"/>
        <v>0</v>
      </c>
      <c r="G35" s="17">
        <f>F35/B2</f>
        <v>0</v>
      </c>
      <c r="H35" s="15">
        <f t="shared" si="5"/>
        <v>0.58</v>
      </c>
      <c r="I35" s="14">
        <f>H35/B3</f>
        <v>0.116</v>
      </c>
      <c r="J35" s="2">
        <v>0.0</v>
      </c>
      <c r="K35" s="2">
        <v>0.0</v>
      </c>
      <c r="L35" s="2">
        <v>0.0</v>
      </c>
      <c r="M35" s="7"/>
      <c r="N35" s="7"/>
    </row>
    <row r="36">
      <c r="A36" s="12">
        <v>45729.0</v>
      </c>
      <c r="B36" s="6" t="s">
        <v>61</v>
      </c>
      <c r="C36" s="2">
        <v>1.17</v>
      </c>
      <c r="D36" s="16">
        <f t="shared" si="3"/>
        <v>10.28</v>
      </c>
      <c r="E36" s="17">
        <f>D36/B1</f>
        <v>0.514</v>
      </c>
      <c r="F36" s="16">
        <f t="shared" si="4"/>
        <v>0</v>
      </c>
      <c r="G36" s="17">
        <f>F36/B2</f>
        <v>0</v>
      </c>
      <c r="H36" s="15">
        <f t="shared" si="5"/>
        <v>0.58</v>
      </c>
      <c r="I36" s="14">
        <f>H36/B3</f>
        <v>0.116</v>
      </c>
      <c r="J36" s="2">
        <v>0.0</v>
      </c>
      <c r="K36" s="2">
        <v>0.0</v>
      </c>
      <c r="L36" s="2">
        <v>0.0</v>
      </c>
      <c r="M36" s="7"/>
      <c r="N36" s="7"/>
    </row>
    <row r="37">
      <c r="A37" s="12">
        <v>45729.0</v>
      </c>
      <c r="B37" s="6" t="s">
        <v>62</v>
      </c>
      <c r="C37" s="2">
        <v>0.0</v>
      </c>
      <c r="D37" s="16">
        <f t="shared" si="3"/>
        <v>10.28</v>
      </c>
      <c r="E37" s="17">
        <f>D37/B1</f>
        <v>0.514</v>
      </c>
      <c r="F37" s="16">
        <f t="shared" si="4"/>
        <v>0</v>
      </c>
      <c r="G37" s="17">
        <f>F37/B2</f>
        <v>0</v>
      </c>
      <c r="H37" s="15">
        <f t="shared" si="5"/>
        <v>0.58</v>
      </c>
      <c r="I37" s="14">
        <f>H37/B3</f>
        <v>0.116</v>
      </c>
      <c r="J37" s="2">
        <v>0.0</v>
      </c>
      <c r="K37" s="2">
        <v>0.0</v>
      </c>
      <c r="L37" s="2">
        <v>0.0</v>
      </c>
      <c r="M37" s="7"/>
      <c r="N37" s="7"/>
    </row>
    <row r="38">
      <c r="A38" s="12">
        <v>45729.0</v>
      </c>
      <c r="B38" s="6" t="s">
        <v>63</v>
      </c>
      <c r="C38" s="2">
        <v>0.58</v>
      </c>
      <c r="D38" s="16">
        <f t="shared" si="3"/>
        <v>10.28</v>
      </c>
      <c r="E38" s="17">
        <f>D38/B1</f>
        <v>0.514</v>
      </c>
      <c r="F38" s="16">
        <f t="shared" si="4"/>
        <v>0</v>
      </c>
      <c r="G38" s="17">
        <f>F38/B2</f>
        <v>0</v>
      </c>
      <c r="H38" s="15">
        <f t="shared" si="5"/>
        <v>0</v>
      </c>
      <c r="I38" s="14">
        <f>H38/B3</f>
        <v>0</v>
      </c>
      <c r="J38" s="2">
        <v>0.0</v>
      </c>
      <c r="K38" s="2">
        <v>0.0</v>
      </c>
      <c r="L38" s="2">
        <v>0.0</v>
      </c>
      <c r="M38" s="7"/>
      <c r="N38" s="7"/>
    </row>
    <row r="39">
      <c r="A39" s="12">
        <v>45730.0</v>
      </c>
      <c r="B39" s="6" t="s">
        <v>61</v>
      </c>
      <c r="C39" s="2">
        <v>1.32</v>
      </c>
      <c r="D39" s="16">
        <f t="shared" si="3"/>
        <v>8.96</v>
      </c>
      <c r="E39" s="17">
        <f>D39/B1</f>
        <v>0.448</v>
      </c>
      <c r="F39" s="16">
        <f t="shared" si="4"/>
        <v>0</v>
      </c>
      <c r="G39" s="17">
        <f>F39/B2</f>
        <v>0</v>
      </c>
      <c r="H39" s="15">
        <f t="shared" si="5"/>
        <v>0</v>
      </c>
      <c r="I39" s="14">
        <f>H39/B3</f>
        <v>0</v>
      </c>
      <c r="J39" s="2">
        <v>0.0</v>
      </c>
      <c r="K39" s="2">
        <v>0.0</v>
      </c>
      <c r="L39" s="2">
        <v>0.0</v>
      </c>
      <c r="M39" s="7"/>
      <c r="N39" s="7"/>
    </row>
    <row r="40">
      <c r="A40" s="12">
        <v>45730.0</v>
      </c>
      <c r="B40" s="6" t="s">
        <v>62</v>
      </c>
      <c r="C40" s="2">
        <v>0.0</v>
      </c>
      <c r="D40" s="16">
        <f t="shared" si="3"/>
        <v>8.96</v>
      </c>
      <c r="E40" s="17">
        <f>D40/B1</f>
        <v>0.448</v>
      </c>
      <c r="F40" s="16">
        <f t="shared" si="4"/>
        <v>0</v>
      </c>
      <c r="G40" s="17">
        <f>F40/B2</f>
        <v>0</v>
      </c>
      <c r="H40" s="15">
        <f t="shared" si="5"/>
        <v>0</v>
      </c>
      <c r="I40" s="14">
        <f>H40/B3</f>
        <v>0</v>
      </c>
      <c r="J40" s="2">
        <v>0.0</v>
      </c>
      <c r="K40" s="2">
        <v>0.0</v>
      </c>
      <c r="L40" s="2">
        <v>0.0</v>
      </c>
      <c r="M40" s="7"/>
      <c r="N40" s="7"/>
    </row>
    <row r="41">
      <c r="A41" s="12">
        <v>45730.0</v>
      </c>
      <c r="B41" s="6" t="s">
        <v>63</v>
      </c>
      <c r="C41" s="2">
        <v>0.0</v>
      </c>
      <c r="D41" s="16">
        <f t="shared" si="3"/>
        <v>8.96</v>
      </c>
      <c r="E41" s="17">
        <f>D41/B1</f>
        <v>0.448</v>
      </c>
      <c r="F41" s="16">
        <f t="shared" si="4"/>
        <v>0</v>
      </c>
      <c r="G41" s="17">
        <f>F41/B2</f>
        <v>0</v>
      </c>
      <c r="H41" s="15">
        <f t="shared" si="5"/>
        <v>0</v>
      </c>
      <c r="I41" s="14">
        <f>H41/B3</f>
        <v>0</v>
      </c>
      <c r="J41" s="2">
        <v>0.0</v>
      </c>
      <c r="K41" s="2">
        <v>0.0</v>
      </c>
      <c r="L41" s="2">
        <v>0.0</v>
      </c>
      <c r="M41" s="7"/>
      <c r="N41" s="7"/>
    </row>
    <row r="42">
      <c r="A42" s="12">
        <v>45731.0</v>
      </c>
      <c r="B42" s="6" t="s">
        <v>61</v>
      </c>
      <c r="C42" s="2">
        <v>1.2</v>
      </c>
      <c r="D42" s="16">
        <f t="shared" si="3"/>
        <v>7.76</v>
      </c>
      <c r="E42" s="17">
        <f>D42/B1</f>
        <v>0.388</v>
      </c>
      <c r="F42" s="16">
        <f t="shared" si="4"/>
        <v>0</v>
      </c>
      <c r="G42" s="17">
        <f>F42/B2</f>
        <v>0</v>
      </c>
      <c r="H42" s="15">
        <f t="shared" si="5"/>
        <v>0</v>
      </c>
      <c r="I42" s="14">
        <f>H42/B3</f>
        <v>0</v>
      </c>
      <c r="J42" s="2">
        <v>0.0</v>
      </c>
      <c r="K42" s="2">
        <v>0.0</v>
      </c>
      <c r="L42" s="2">
        <v>0.0</v>
      </c>
      <c r="M42" s="7"/>
      <c r="N42" s="7"/>
    </row>
    <row r="43">
      <c r="A43" s="12">
        <v>45731.0</v>
      </c>
      <c r="B43" s="6" t="s">
        <v>62</v>
      </c>
      <c r="C43" s="2">
        <v>0.0</v>
      </c>
      <c r="D43" s="16">
        <f t="shared" si="3"/>
        <v>7.76</v>
      </c>
      <c r="E43" s="17">
        <f>D43/B1</f>
        <v>0.388</v>
      </c>
      <c r="F43" s="16">
        <f t="shared" si="4"/>
        <v>0</v>
      </c>
      <c r="G43" s="17">
        <f>F43/B2</f>
        <v>0</v>
      </c>
      <c r="H43" s="15">
        <f t="shared" si="5"/>
        <v>0</v>
      </c>
      <c r="I43" s="14">
        <f>H43/B3</f>
        <v>0</v>
      </c>
      <c r="J43" s="2">
        <v>0.0</v>
      </c>
      <c r="K43" s="2">
        <v>0.0</v>
      </c>
      <c r="L43" s="2">
        <v>0.0</v>
      </c>
      <c r="M43" s="7"/>
      <c r="N43" s="7"/>
    </row>
    <row r="44">
      <c r="A44" s="12">
        <v>45731.0</v>
      </c>
      <c r="B44" s="6" t="s">
        <v>63</v>
      </c>
      <c r="C44" s="2">
        <v>0.0</v>
      </c>
      <c r="D44" s="16">
        <f t="shared" si="3"/>
        <v>7.76</v>
      </c>
      <c r="E44" s="17">
        <f>D44/B1</f>
        <v>0.388</v>
      </c>
      <c r="F44" s="16">
        <f t="shared" si="4"/>
        <v>0</v>
      </c>
      <c r="G44" s="17">
        <f>F44/B2</f>
        <v>0</v>
      </c>
      <c r="H44" s="15">
        <f t="shared" si="5"/>
        <v>0</v>
      </c>
      <c r="I44" s="14">
        <f>H44/B3</f>
        <v>0</v>
      </c>
      <c r="J44" s="2">
        <v>0.0</v>
      </c>
      <c r="K44" s="2">
        <v>0.0</v>
      </c>
      <c r="L44" s="2">
        <v>0.0</v>
      </c>
      <c r="M44" s="7"/>
      <c r="N44" s="7"/>
    </row>
    <row r="45">
      <c r="A45" s="12">
        <v>45732.0</v>
      </c>
      <c r="B45" s="6" t="s">
        <v>61</v>
      </c>
      <c r="C45" s="2">
        <v>1.29</v>
      </c>
      <c r="D45" s="16">
        <f t="shared" si="3"/>
        <v>6.47</v>
      </c>
      <c r="E45" s="17">
        <f>D45/B1</f>
        <v>0.3235</v>
      </c>
      <c r="F45" s="16">
        <f t="shared" si="4"/>
        <v>0</v>
      </c>
      <c r="G45" s="17">
        <f>F45/B2</f>
        <v>0</v>
      </c>
      <c r="H45" s="15">
        <f t="shared" si="5"/>
        <v>0</v>
      </c>
      <c r="I45" s="14">
        <f>H45/B3</f>
        <v>0</v>
      </c>
      <c r="J45" s="2">
        <v>0.0</v>
      </c>
      <c r="K45" s="2">
        <v>0.0</v>
      </c>
      <c r="L45" s="2">
        <v>0.0</v>
      </c>
      <c r="M45" s="7"/>
      <c r="N45" s="7"/>
    </row>
    <row r="46">
      <c r="A46" s="12">
        <v>45732.0</v>
      </c>
      <c r="B46" s="6" t="s">
        <v>62</v>
      </c>
      <c r="C46" s="2">
        <v>0.0</v>
      </c>
      <c r="D46" s="16">
        <f t="shared" si="3"/>
        <v>6.47</v>
      </c>
      <c r="E46" s="17">
        <f>D46/B1</f>
        <v>0.3235</v>
      </c>
      <c r="F46" s="16">
        <f t="shared" si="4"/>
        <v>0</v>
      </c>
      <c r="G46" s="17">
        <f>F46/B2</f>
        <v>0</v>
      </c>
      <c r="H46" s="15">
        <f t="shared" si="5"/>
        <v>0</v>
      </c>
      <c r="I46" s="14">
        <f>H46/B3</f>
        <v>0</v>
      </c>
      <c r="J46" s="2">
        <v>0.0</v>
      </c>
      <c r="K46" s="2">
        <v>0.0</v>
      </c>
      <c r="L46" s="2">
        <v>0.0</v>
      </c>
      <c r="M46" s="7"/>
      <c r="N46" s="7"/>
    </row>
    <row r="47">
      <c r="A47" s="12">
        <v>45732.0</v>
      </c>
      <c r="B47" s="6" t="s">
        <v>63</v>
      </c>
      <c r="C47" s="2">
        <v>0.0</v>
      </c>
      <c r="D47" s="16">
        <f t="shared" si="3"/>
        <v>6.47</v>
      </c>
      <c r="E47" s="17">
        <f>D47/B1</f>
        <v>0.3235</v>
      </c>
      <c r="F47" s="16">
        <f t="shared" si="4"/>
        <v>0</v>
      </c>
      <c r="G47" s="17">
        <f>F47/B2</f>
        <v>0</v>
      </c>
      <c r="H47" s="15">
        <f t="shared" si="5"/>
        <v>0</v>
      </c>
      <c r="I47" s="14">
        <f>H47/B3</f>
        <v>0</v>
      </c>
      <c r="J47" s="2">
        <v>0.0</v>
      </c>
      <c r="K47" s="2">
        <v>0.0</v>
      </c>
      <c r="L47" s="2">
        <v>0.0</v>
      </c>
      <c r="M47" s="7"/>
      <c r="N47" s="7"/>
    </row>
    <row r="48">
      <c r="A48" s="12">
        <v>45733.0</v>
      </c>
      <c r="B48" s="6" t="s">
        <v>61</v>
      </c>
      <c r="C48" s="2">
        <v>1.47</v>
      </c>
      <c r="D48" s="16">
        <f t="shared" si="3"/>
        <v>5</v>
      </c>
      <c r="E48" s="17">
        <f>D48/B1</f>
        <v>0.25</v>
      </c>
      <c r="F48" s="16">
        <f t="shared" si="4"/>
        <v>0</v>
      </c>
      <c r="G48" s="17">
        <f>F48/B2</f>
        <v>0</v>
      </c>
      <c r="H48" s="15">
        <f t="shared" si="5"/>
        <v>0</v>
      </c>
      <c r="I48" s="14">
        <f>H48/B3</f>
        <v>0</v>
      </c>
      <c r="J48" s="2">
        <v>0.0</v>
      </c>
      <c r="K48" s="2">
        <v>0.0</v>
      </c>
      <c r="L48" s="2">
        <v>0.0</v>
      </c>
      <c r="M48" s="7"/>
      <c r="N48" s="7"/>
    </row>
    <row r="49">
      <c r="A49" s="12">
        <v>45733.0</v>
      </c>
      <c r="B49" s="6" t="s">
        <v>62</v>
      </c>
      <c r="C49" s="2">
        <v>0.0</v>
      </c>
      <c r="D49" s="16">
        <f t="shared" si="3"/>
        <v>5</v>
      </c>
      <c r="E49" s="17">
        <f>D49/B1</f>
        <v>0.25</v>
      </c>
      <c r="F49" s="16">
        <f t="shared" si="4"/>
        <v>0</v>
      </c>
      <c r="G49" s="17">
        <f>F49/B2</f>
        <v>0</v>
      </c>
      <c r="H49" s="15">
        <f t="shared" si="5"/>
        <v>0</v>
      </c>
      <c r="I49" s="14">
        <f>H49/B3</f>
        <v>0</v>
      </c>
      <c r="J49" s="2">
        <v>0.0</v>
      </c>
      <c r="K49" s="2">
        <v>0.0</v>
      </c>
      <c r="L49" s="2">
        <v>0.0</v>
      </c>
      <c r="M49" s="7"/>
      <c r="N49" s="7"/>
    </row>
    <row r="50">
      <c r="A50" s="12">
        <v>45733.0</v>
      </c>
      <c r="B50" s="6" t="s">
        <v>63</v>
      </c>
      <c r="C50" s="2">
        <v>0.0</v>
      </c>
      <c r="D50" s="16">
        <f t="shared" si="3"/>
        <v>5</v>
      </c>
      <c r="E50" s="17">
        <f>D50/B1</f>
        <v>0.25</v>
      </c>
      <c r="F50" s="16">
        <f t="shared" si="4"/>
        <v>0</v>
      </c>
      <c r="G50" s="17">
        <f>F50/B2</f>
        <v>0</v>
      </c>
      <c r="H50" s="15">
        <f t="shared" si="5"/>
        <v>0</v>
      </c>
      <c r="I50" s="14">
        <f>H50/B3</f>
        <v>0</v>
      </c>
      <c r="J50" s="2">
        <v>0.0</v>
      </c>
      <c r="K50" s="2">
        <v>0.0</v>
      </c>
      <c r="L50" s="2">
        <v>0.0</v>
      </c>
      <c r="M50" s="7"/>
      <c r="N50" s="7"/>
    </row>
    <row r="51">
      <c r="A51" s="12">
        <v>45734.0</v>
      </c>
      <c r="B51" s="6" t="s">
        <v>61</v>
      </c>
      <c r="C51" s="2">
        <v>2.39</v>
      </c>
      <c r="D51" s="16">
        <f t="shared" si="3"/>
        <v>2.61</v>
      </c>
      <c r="E51" s="17">
        <f>D51/B1</f>
        <v>0.1305</v>
      </c>
      <c r="F51" s="16">
        <f t="shared" si="4"/>
        <v>0</v>
      </c>
      <c r="G51" s="17">
        <f>F51/B2</f>
        <v>0</v>
      </c>
      <c r="H51" s="15">
        <f t="shared" si="5"/>
        <v>0</v>
      </c>
      <c r="I51" s="14">
        <f>H51/B3</f>
        <v>0</v>
      </c>
      <c r="J51" s="2">
        <v>0.0</v>
      </c>
      <c r="K51" s="2">
        <v>0.0</v>
      </c>
      <c r="L51" s="2">
        <v>0.0</v>
      </c>
      <c r="M51" s="7"/>
      <c r="N51" s="7"/>
    </row>
    <row r="52">
      <c r="A52" s="12">
        <v>45734.0</v>
      </c>
      <c r="B52" s="6" t="s">
        <v>62</v>
      </c>
      <c r="C52" s="2">
        <v>0.0</v>
      </c>
      <c r="D52" s="16">
        <f t="shared" si="3"/>
        <v>2.61</v>
      </c>
      <c r="E52" s="17">
        <f>D52/B1</f>
        <v>0.1305</v>
      </c>
      <c r="F52" s="16">
        <f t="shared" si="4"/>
        <v>0</v>
      </c>
      <c r="G52" s="17">
        <f>F52/B2</f>
        <v>0</v>
      </c>
      <c r="H52" s="15">
        <f t="shared" si="5"/>
        <v>0</v>
      </c>
      <c r="I52" s="14">
        <f>H52/B3</f>
        <v>0</v>
      </c>
      <c r="J52" s="2">
        <v>0.0</v>
      </c>
      <c r="K52" s="2">
        <v>0.0</v>
      </c>
      <c r="L52" s="2">
        <v>0.0</v>
      </c>
      <c r="M52" s="7"/>
      <c r="N52" s="7"/>
    </row>
    <row r="53">
      <c r="A53" s="12">
        <v>45734.0</v>
      </c>
      <c r="B53" s="6" t="s">
        <v>63</v>
      </c>
      <c r="C53" s="2">
        <v>0.0</v>
      </c>
      <c r="D53" s="16">
        <f t="shared" si="3"/>
        <v>2.61</v>
      </c>
      <c r="E53" s="17">
        <f>D53/B1</f>
        <v>0.1305</v>
      </c>
      <c r="F53" s="16">
        <f t="shared" si="4"/>
        <v>0</v>
      </c>
      <c r="G53" s="17">
        <f>F53/B2</f>
        <v>0</v>
      </c>
      <c r="H53" s="15">
        <f t="shared" si="5"/>
        <v>0</v>
      </c>
      <c r="I53" s="14">
        <f>H53/B3</f>
        <v>0</v>
      </c>
      <c r="J53" s="2">
        <v>0.0</v>
      </c>
      <c r="K53" s="2">
        <v>0.0</v>
      </c>
      <c r="L53" s="2">
        <v>0.0</v>
      </c>
      <c r="M53" s="7"/>
      <c r="N53" s="7"/>
    </row>
    <row r="54">
      <c r="A54" s="12">
        <v>45735.0</v>
      </c>
      <c r="B54" s="6" t="s">
        <v>61</v>
      </c>
      <c r="C54" s="2">
        <v>1.21</v>
      </c>
      <c r="D54" s="16">
        <f t="shared" si="3"/>
        <v>1.4</v>
      </c>
      <c r="E54" s="17">
        <f>D54/B1</f>
        <v>0.07</v>
      </c>
      <c r="F54" s="16">
        <f t="shared" si="4"/>
        <v>0</v>
      </c>
      <c r="G54" s="17">
        <f>F54/B2</f>
        <v>0</v>
      </c>
      <c r="H54" s="15">
        <f t="shared" si="5"/>
        <v>0</v>
      </c>
      <c r="I54" s="14">
        <f>H54/B3</f>
        <v>0</v>
      </c>
      <c r="J54" s="2">
        <v>0.0</v>
      </c>
      <c r="K54" s="2">
        <v>0.0</v>
      </c>
      <c r="L54" s="2">
        <v>0.0</v>
      </c>
      <c r="M54" s="7"/>
      <c r="N54" s="7"/>
    </row>
    <row r="55">
      <c r="A55" s="12">
        <v>45735.0</v>
      </c>
      <c r="B55" s="6" t="s">
        <v>62</v>
      </c>
      <c r="C55" s="2">
        <v>0.0</v>
      </c>
      <c r="D55" s="16">
        <f t="shared" si="3"/>
        <v>1.4</v>
      </c>
      <c r="E55" s="17">
        <f>D55/B1</f>
        <v>0.07</v>
      </c>
      <c r="F55" s="16">
        <f t="shared" si="4"/>
        <v>0</v>
      </c>
      <c r="G55" s="17">
        <f>F55/B2</f>
        <v>0</v>
      </c>
      <c r="H55" s="15">
        <f t="shared" si="5"/>
        <v>0</v>
      </c>
      <c r="I55" s="14">
        <f>H55/B3</f>
        <v>0</v>
      </c>
      <c r="J55" s="2">
        <v>0.0</v>
      </c>
      <c r="K55" s="2">
        <v>0.0</v>
      </c>
      <c r="L55" s="2">
        <v>0.0</v>
      </c>
      <c r="M55" s="7"/>
      <c r="N55" s="7"/>
    </row>
    <row r="56">
      <c r="A56" s="12">
        <v>45735.0</v>
      </c>
      <c r="B56" s="6" t="s">
        <v>63</v>
      </c>
      <c r="C56" s="2">
        <v>0.0</v>
      </c>
      <c r="D56" s="16">
        <f t="shared" si="3"/>
        <v>1.4</v>
      </c>
      <c r="E56" s="17">
        <f>D56/B1</f>
        <v>0.07</v>
      </c>
      <c r="F56" s="16">
        <f t="shared" si="4"/>
        <v>0</v>
      </c>
      <c r="G56" s="17">
        <f>F56/B2</f>
        <v>0</v>
      </c>
      <c r="H56" s="15">
        <f t="shared" si="5"/>
        <v>0</v>
      </c>
      <c r="I56" s="14">
        <f>H56/B3</f>
        <v>0</v>
      </c>
      <c r="J56" s="2">
        <v>0.0</v>
      </c>
      <c r="K56" s="2">
        <v>0.0</v>
      </c>
      <c r="L56" s="2">
        <v>0.0</v>
      </c>
      <c r="M56" s="7"/>
      <c r="N56" s="7"/>
    </row>
    <row r="57">
      <c r="A57" s="12">
        <v>45736.0</v>
      </c>
      <c r="B57" s="6" t="s">
        <v>61</v>
      </c>
      <c r="C57" s="2">
        <v>1.4</v>
      </c>
      <c r="D57" s="16">
        <f t="shared" si="3"/>
        <v>0</v>
      </c>
      <c r="E57" s="17">
        <f>D57/B1</f>
        <v>0</v>
      </c>
      <c r="F57" s="16">
        <f t="shared" si="4"/>
        <v>0</v>
      </c>
      <c r="G57" s="17">
        <f>F57/B2</f>
        <v>0</v>
      </c>
      <c r="H57" s="15">
        <f t="shared" si="5"/>
        <v>0</v>
      </c>
      <c r="I57" s="14">
        <f>H57/B3</f>
        <v>0</v>
      </c>
      <c r="J57" s="2">
        <v>0.0</v>
      </c>
      <c r="K57" s="2">
        <v>0.0</v>
      </c>
      <c r="L57" s="2">
        <v>0.0</v>
      </c>
      <c r="M57" s="7"/>
      <c r="N57" s="7"/>
    </row>
    <row r="58">
      <c r="A58" s="12">
        <v>45736.0</v>
      </c>
      <c r="B58" s="6" t="s">
        <v>62</v>
      </c>
      <c r="C58" s="2">
        <v>0.0</v>
      </c>
      <c r="D58" s="16">
        <f t="shared" si="3"/>
        <v>0</v>
      </c>
      <c r="E58" s="17">
        <f>D58/B1</f>
        <v>0</v>
      </c>
      <c r="F58" s="16">
        <f t="shared" si="4"/>
        <v>0</v>
      </c>
      <c r="G58" s="17">
        <f>F58/B2</f>
        <v>0</v>
      </c>
      <c r="H58" s="15">
        <f t="shared" si="5"/>
        <v>0</v>
      </c>
      <c r="I58" s="14">
        <f>H58/B3</f>
        <v>0</v>
      </c>
      <c r="J58" s="2">
        <v>0.0</v>
      </c>
      <c r="K58" s="2">
        <v>0.0</v>
      </c>
      <c r="L58" s="2">
        <v>0.0</v>
      </c>
      <c r="M58" s="7"/>
      <c r="N58" s="7"/>
    </row>
    <row r="59">
      <c r="A59" s="12">
        <v>45736.0</v>
      </c>
      <c r="B59" s="6" t="s">
        <v>63</v>
      </c>
      <c r="C59" s="2">
        <v>0.0</v>
      </c>
      <c r="D59" s="16">
        <f t="shared" si="3"/>
        <v>0</v>
      </c>
      <c r="E59" s="17">
        <f>D59/B1</f>
        <v>0</v>
      </c>
      <c r="F59" s="16">
        <f t="shared" si="4"/>
        <v>0</v>
      </c>
      <c r="G59" s="17">
        <f>F59/B2</f>
        <v>0</v>
      </c>
      <c r="H59" s="15">
        <f t="shared" si="5"/>
        <v>0</v>
      </c>
      <c r="I59" s="14">
        <f>H59/B3</f>
        <v>0</v>
      </c>
      <c r="J59" s="2">
        <v>0.0</v>
      </c>
      <c r="K59" s="2">
        <v>0.0</v>
      </c>
      <c r="L59" s="2">
        <v>0.0</v>
      </c>
    </row>
    <row r="60">
      <c r="A60" s="12">
        <v>45737.0</v>
      </c>
      <c r="B60" s="6" t="s">
        <v>61</v>
      </c>
      <c r="C60" s="2">
        <v>0.0</v>
      </c>
      <c r="D60" s="16">
        <f t="shared" si="3"/>
        <v>0</v>
      </c>
      <c r="E60" s="17">
        <f>D60/B1</f>
        <v>0</v>
      </c>
      <c r="F60" s="16">
        <f t="shared" si="4"/>
        <v>0</v>
      </c>
      <c r="G60" s="17">
        <f>F60/B2</f>
        <v>0</v>
      </c>
      <c r="H60" s="15">
        <f t="shared" si="5"/>
        <v>0</v>
      </c>
      <c r="I60" s="14">
        <f>H60/B3</f>
        <v>0</v>
      </c>
      <c r="J60" s="2">
        <v>0.0</v>
      </c>
      <c r="K60" s="2">
        <v>0.0</v>
      </c>
      <c r="L60" s="2">
        <v>0.0</v>
      </c>
    </row>
    <row r="61">
      <c r="A61" s="12">
        <v>45737.0</v>
      </c>
      <c r="B61" s="6" t="s">
        <v>62</v>
      </c>
      <c r="C61" s="2">
        <v>0.0</v>
      </c>
      <c r="D61" s="16">
        <f t="shared" si="3"/>
        <v>0</v>
      </c>
      <c r="E61" s="17">
        <f>D61/B1</f>
        <v>0</v>
      </c>
      <c r="F61" s="16">
        <f t="shared" si="4"/>
        <v>0</v>
      </c>
      <c r="G61" s="17">
        <f>F61/B2</f>
        <v>0</v>
      </c>
      <c r="H61" s="15">
        <f t="shared" si="5"/>
        <v>0</v>
      </c>
      <c r="I61" s="14">
        <f>H61/B3</f>
        <v>0</v>
      </c>
      <c r="J61" s="2">
        <v>0.0</v>
      </c>
      <c r="K61" s="2">
        <v>0.0</v>
      </c>
      <c r="L61" s="2">
        <v>0.0</v>
      </c>
    </row>
    <row r="62">
      <c r="A62" s="12">
        <v>45737.0</v>
      </c>
      <c r="B62" s="6" t="s">
        <v>63</v>
      </c>
      <c r="C62" s="2">
        <v>0.0</v>
      </c>
      <c r="D62" s="16">
        <f t="shared" si="3"/>
        <v>0</v>
      </c>
      <c r="E62" s="17">
        <f>D62/B1</f>
        <v>0</v>
      </c>
      <c r="F62" s="16">
        <f t="shared" si="4"/>
        <v>0</v>
      </c>
      <c r="G62" s="17">
        <f>F62/B2</f>
        <v>0</v>
      </c>
      <c r="H62" s="15">
        <f t="shared" si="5"/>
        <v>0</v>
      </c>
      <c r="I62" s="14">
        <f>H62/B3</f>
        <v>0</v>
      </c>
      <c r="J62" s="2">
        <v>0.0</v>
      </c>
      <c r="K62" s="2">
        <v>0.0</v>
      </c>
      <c r="L62" s="2">
        <v>0.0</v>
      </c>
    </row>
    <row r="63">
      <c r="A63" s="12">
        <v>45738.0</v>
      </c>
      <c r="B63" s="6" t="s">
        <v>61</v>
      </c>
      <c r="C63" s="2">
        <v>0.0</v>
      </c>
      <c r="D63" s="16">
        <f t="shared" si="3"/>
        <v>0</v>
      </c>
      <c r="E63" s="17">
        <f>D63/B1</f>
        <v>0</v>
      </c>
      <c r="F63" s="16">
        <f t="shared" si="4"/>
        <v>0</v>
      </c>
      <c r="G63" s="17">
        <f>F63/B2</f>
        <v>0</v>
      </c>
      <c r="H63" s="15">
        <f t="shared" si="5"/>
        <v>0</v>
      </c>
      <c r="I63" s="14">
        <f>H63/B3</f>
        <v>0</v>
      </c>
      <c r="J63" s="2">
        <v>0.0</v>
      </c>
      <c r="K63" s="2">
        <v>0.0</v>
      </c>
      <c r="L63" s="2">
        <v>0.0</v>
      </c>
    </row>
    <row r="64">
      <c r="A64" s="12">
        <v>45738.0</v>
      </c>
      <c r="B64" s="6" t="s">
        <v>62</v>
      </c>
      <c r="C64" s="2">
        <v>0.0</v>
      </c>
      <c r="D64" s="16">
        <f t="shared" si="3"/>
        <v>0</v>
      </c>
      <c r="E64" s="17">
        <f>D64/B1</f>
        <v>0</v>
      </c>
      <c r="F64" s="16">
        <f t="shared" si="4"/>
        <v>0</v>
      </c>
      <c r="G64" s="17">
        <f>F64/B2</f>
        <v>0</v>
      </c>
      <c r="H64" s="15">
        <f t="shared" si="5"/>
        <v>0</v>
      </c>
      <c r="I64" s="14">
        <f>H64/B3</f>
        <v>0</v>
      </c>
      <c r="J64" s="2">
        <v>0.0</v>
      </c>
      <c r="K64" s="2">
        <v>0.0</v>
      </c>
      <c r="L64" s="2">
        <v>0.0</v>
      </c>
    </row>
    <row r="65">
      <c r="A65" s="12">
        <v>45738.0</v>
      </c>
      <c r="B65" s="6" t="s">
        <v>63</v>
      </c>
      <c r="C65" s="2">
        <v>0.0</v>
      </c>
      <c r="D65" s="16">
        <f t="shared" si="3"/>
        <v>0</v>
      </c>
      <c r="E65" s="17">
        <f>D65/B1</f>
        <v>0</v>
      </c>
      <c r="F65" s="16">
        <f t="shared" si="4"/>
        <v>0</v>
      </c>
      <c r="G65" s="17">
        <f>F65/B2</f>
        <v>0</v>
      </c>
      <c r="H65" s="15">
        <f t="shared" si="5"/>
        <v>0</v>
      </c>
      <c r="I65" s="14">
        <f>H65/B3</f>
        <v>0</v>
      </c>
      <c r="J65" s="2">
        <v>0.0</v>
      </c>
      <c r="K65" s="2">
        <v>0.0</v>
      </c>
      <c r="L65" s="2">
        <v>0.0</v>
      </c>
    </row>
    <row r="66">
      <c r="A66" s="12">
        <v>45739.0</v>
      </c>
      <c r="B66" s="6" t="s">
        <v>61</v>
      </c>
      <c r="C66" s="2">
        <v>0.0</v>
      </c>
      <c r="D66" s="16">
        <f t="shared" si="3"/>
        <v>0</v>
      </c>
      <c r="E66" s="17">
        <f>D66/B1</f>
        <v>0</v>
      </c>
      <c r="F66" s="16">
        <f t="shared" si="4"/>
        <v>0</v>
      </c>
      <c r="G66" s="17">
        <f>F66/B2</f>
        <v>0</v>
      </c>
      <c r="H66" s="15">
        <f t="shared" si="5"/>
        <v>0</v>
      </c>
      <c r="I66" s="14">
        <f>H66/B3</f>
        <v>0</v>
      </c>
      <c r="J66" s="2">
        <v>0.0</v>
      </c>
      <c r="K66" s="2">
        <v>0.0</v>
      </c>
      <c r="L66" s="2">
        <v>0.0</v>
      </c>
    </row>
    <row r="67">
      <c r="A67" s="12">
        <v>45739.0</v>
      </c>
      <c r="B67" s="6" t="s">
        <v>62</v>
      </c>
      <c r="C67" s="2">
        <v>0.0</v>
      </c>
      <c r="D67" s="16">
        <f t="shared" si="3"/>
        <v>0</v>
      </c>
      <c r="E67" s="17">
        <f>D67/B1</f>
        <v>0</v>
      </c>
      <c r="F67" s="16">
        <f t="shared" si="4"/>
        <v>0</v>
      </c>
      <c r="G67" s="17">
        <f>F67/B2</f>
        <v>0</v>
      </c>
      <c r="H67" s="15">
        <f t="shared" si="5"/>
        <v>0</v>
      </c>
      <c r="I67" s="14">
        <f>H67/B3</f>
        <v>0</v>
      </c>
      <c r="J67" s="2">
        <v>0.0</v>
      </c>
      <c r="K67" s="2">
        <v>0.0</v>
      </c>
      <c r="L67" s="2">
        <v>0.0</v>
      </c>
    </row>
    <row r="68">
      <c r="A68" s="12">
        <v>45739.0</v>
      </c>
      <c r="B68" s="6" t="s">
        <v>63</v>
      </c>
      <c r="C68" s="2">
        <v>0.0</v>
      </c>
      <c r="D68" s="16">
        <f t="shared" si="3"/>
        <v>0</v>
      </c>
      <c r="E68" s="17">
        <f>D68/B1</f>
        <v>0</v>
      </c>
      <c r="F68" s="16">
        <f t="shared" si="4"/>
        <v>0</v>
      </c>
      <c r="G68" s="17">
        <f>F68/B2</f>
        <v>0</v>
      </c>
      <c r="H68" s="15">
        <f t="shared" si="5"/>
        <v>0</v>
      </c>
      <c r="I68" s="14">
        <f>H68/B3</f>
        <v>0</v>
      </c>
      <c r="J68" s="2">
        <v>0.0</v>
      </c>
      <c r="K68" s="2">
        <v>0.0</v>
      </c>
      <c r="L68" s="2">
        <v>0.0</v>
      </c>
    </row>
  </sheetData>
  <dataValidations>
    <dataValidation type="list" allowBlank="1" showErrorMessage="1" sqref="B6:B68">
      <formula1>"WW,FLA,MAC1+"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60.13"/>
    <col customWidth="1" min="2" max="2" width="22.63"/>
    <col customWidth="1" min="3" max="3" width="10.25"/>
    <col customWidth="1" min="4" max="4" width="17.0"/>
    <col customWidth="1" min="5" max="5" width="15.0"/>
    <col customWidth="1" min="6" max="6" width="17.0"/>
    <col customWidth="1" min="7" max="7" width="16.13"/>
    <col customWidth="1" min="8" max="9" width="16.38"/>
    <col customWidth="1" min="10" max="10" width="12.63"/>
    <col customWidth="1" min="11" max="11" width="14.88"/>
    <col customWidth="1" min="12" max="12" width="13.0"/>
  </cols>
  <sheetData>
    <row r="1">
      <c r="A1" s="1" t="s">
        <v>71</v>
      </c>
      <c r="B1" s="2">
        <v>10.0</v>
      </c>
      <c r="C1" s="4">
        <f>D89</f>
        <v>0</v>
      </c>
      <c r="D1" s="5">
        <f t="shared" ref="D1:D4" si="1">C1/B1</f>
        <v>0</v>
      </c>
      <c r="G1" s="1" t="s">
        <v>1</v>
      </c>
      <c r="H1" s="3">
        <f>IFERROR(__xludf.DUMMYFUNCTION("COUNTUNIQUE(A6:A89)"),28.0)</f>
        <v>28</v>
      </c>
      <c r="I1" s="3"/>
      <c r="J1" s="6"/>
      <c r="K1" s="3"/>
      <c r="L1" s="3"/>
      <c r="M1" s="7"/>
      <c r="N1" s="7"/>
    </row>
    <row r="2">
      <c r="A2" s="1" t="s">
        <v>72</v>
      </c>
      <c r="B2" s="2">
        <v>10.0</v>
      </c>
      <c r="C2" s="4">
        <f>F89</f>
        <v>0</v>
      </c>
      <c r="D2" s="5">
        <f t="shared" si="1"/>
        <v>0</v>
      </c>
      <c r="G2" s="1" t="s">
        <v>5</v>
      </c>
      <c r="H2" s="3">
        <f>(B1+B2+B3)/F4</f>
        <v>28</v>
      </c>
      <c r="I2" s="3"/>
      <c r="J2" s="3"/>
      <c r="K2" s="3"/>
      <c r="L2" s="3"/>
      <c r="M2" s="7"/>
      <c r="N2" s="7"/>
    </row>
    <row r="3">
      <c r="A3" s="1" t="s">
        <v>73</v>
      </c>
      <c r="B3" s="2">
        <v>10.0</v>
      </c>
      <c r="C3" s="4">
        <f>H89</f>
        <v>0</v>
      </c>
      <c r="D3" s="8">
        <f t="shared" si="1"/>
        <v>0</v>
      </c>
      <c r="E3" s="3"/>
      <c r="F3" s="6"/>
      <c r="G3" s="3"/>
      <c r="H3" s="3"/>
      <c r="I3" s="3"/>
      <c r="J3" s="3"/>
      <c r="K3" s="3"/>
      <c r="L3" s="3"/>
      <c r="M3" s="7"/>
      <c r="N3" s="7"/>
    </row>
    <row r="4">
      <c r="A4" s="3"/>
      <c r="B4" s="9">
        <f t="shared" ref="B4:C4" si="2">SUM(B1:B3)</f>
        <v>30</v>
      </c>
      <c r="C4" s="9">
        <f t="shared" si="2"/>
        <v>0</v>
      </c>
      <c r="D4" s="5">
        <f t="shared" si="1"/>
        <v>0</v>
      </c>
      <c r="E4" s="1" t="s">
        <v>7</v>
      </c>
      <c r="F4" s="3">
        <f>SUM(C6:C89)/H1</f>
        <v>1.071428571</v>
      </c>
      <c r="G4" s="3"/>
      <c r="H4" s="3"/>
      <c r="I4" s="3"/>
      <c r="J4" s="3"/>
      <c r="K4" s="3"/>
      <c r="L4" s="3"/>
      <c r="M4" s="7"/>
      <c r="N4" s="7"/>
    </row>
    <row r="5">
      <c r="A5" s="10" t="s">
        <v>8</v>
      </c>
      <c r="B5" s="10" t="s">
        <v>9</v>
      </c>
      <c r="C5" s="10" t="s">
        <v>10</v>
      </c>
      <c r="D5" s="10" t="s">
        <v>23</v>
      </c>
      <c r="E5" s="10" t="s">
        <v>23</v>
      </c>
      <c r="F5" s="10" t="s">
        <v>66</v>
      </c>
      <c r="G5" s="10" t="s">
        <v>66</v>
      </c>
      <c r="H5" s="10" t="s">
        <v>39</v>
      </c>
      <c r="I5" s="10" t="s">
        <v>74</v>
      </c>
      <c r="J5" s="10" t="s">
        <v>25</v>
      </c>
      <c r="K5" s="10" t="s">
        <v>69</v>
      </c>
      <c r="L5" s="10" t="s">
        <v>41</v>
      </c>
      <c r="M5" s="7"/>
      <c r="N5" s="7"/>
    </row>
    <row r="6">
      <c r="A6" s="12">
        <v>45790.0</v>
      </c>
      <c r="B6" s="6" t="s">
        <v>61</v>
      </c>
      <c r="C6" s="2">
        <v>0.0</v>
      </c>
      <c r="D6" s="4">
        <f>IF(B6="WW",B1-C6,B1)</f>
        <v>10</v>
      </c>
      <c r="E6" s="13">
        <f>D6/B1</f>
        <v>1</v>
      </c>
      <c r="F6" s="2">
        <f>IF(B6="FLA",B2-C6,B2)</f>
        <v>10</v>
      </c>
      <c r="G6" s="14">
        <f>F6/B2</f>
        <v>1</v>
      </c>
      <c r="H6" s="15">
        <f>IF(B6="MAC1+",B3-C6,B3)</f>
        <v>10</v>
      </c>
      <c r="I6" s="14">
        <f>H6/B3</f>
        <v>1</v>
      </c>
      <c r="J6" s="2">
        <v>0.0</v>
      </c>
      <c r="K6" s="2">
        <v>0.0</v>
      </c>
      <c r="L6" s="2">
        <v>0.0</v>
      </c>
      <c r="M6" s="7"/>
      <c r="N6" s="7"/>
    </row>
    <row r="7">
      <c r="A7" s="12">
        <v>45790.0</v>
      </c>
      <c r="B7" s="6" t="s">
        <v>62</v>
      </c>
      <c r="C7" s="2">
        <v>0.58</v>
      </c>
      <c r="D7" s="16">
        <f t="shared" ref="D7:D89" si="3">IF(B7="WW",D6-C7,D6)</f>
        <v>10</v>
      </c>
      <c r="E7" s="17">
        <f>D7/B1</f>
        <v>1</v>
      </c>
      <c r="F7" s="16">
        <f t="shared" ref="F7:F89" si="4">IF(B7="FLA",F6-C7,F6)</f>
        <v>9.42</v>
      </c>
      <c r="G7" s="17">
        <f>F7/B2</f>
        <v>0.942</v>
      </c>
      <c r="H7" s="15">
        <f t="shared" ref="H7:H89" si="5">IF(B7="MAC1+",H6-C7,H6)</f>
        <v>10</v>
      </c>
      <c r="I7" s="14">
        <f>H7/B3</f>
        <v>1</v>
      </c>
      <c r="J7" s="2">
        <v>0.0</v>
      </c>
      <c r="K7" s="2">
        <v>0.0</v>
      </c>
      <c r="L7" s="2">
        <v>0.0</v>
      </c>
      <c r="M7" s="7"/>
      <c r="N7" s="7"/>
    </row>
    <row r="8">
      <c r="A8" s="12">
        <v>45790.0</v>
      </c>
      <c r="B8" s="6" t="s">
        <v>63</v>
      </c>
      <c r="C8" s="2">
        <v>0.42</v>
      </c>
      <c r="D8" s="16">
        <f t="shared" si="3"/>
        <v>10</v>
      </c>
      <c r="E8" s="17">
        <f>D8/B1</f>
        <v>1</v>
      </c>
      <c r="F8" s="16">
        <f t="shared" si="4"/>
        <v>9.42</v>
      </c>
      <c r="G8" s="17">
        <f>F8/B2</f>
        <v>0.942</v>
      </c>
      <c r="H8" s="15">
        <f t="shared" si="5"/>
        <v>9.58</v>
      </c>
      <c r="I8" s="14">
        <f>H8/B3</f>
        <v>0.958</v>
      </c>
      <c r="J8" s="2">
        <v>0.0</v>
      </c>
      <c r="K8" s="2">
        <v>0.0</v>
      </c>
      <c r="L8" s="2">
        <v>0.0</v>
      </c>
      <c r="M8" s="7"/>
      <c r="N8" s="7"/>
    </row>
    <row r="9">
      <c r="A9" s="12">
        <v>45791.0</v>
      </c>
      <c r="B9" s="6" t="s">
        <v>61</v>
      </c>
      <c r="C9" s="2">
        <v>0.67</v>
      </c>
      <c r="D9" s="16">
        <f t="shared" si="3"/>
        <v>9.33</v>
      </c>
      <c r="E9" s="17">
        <f>D9/B1</f>
        <v>0.933</v>
      </c>
      <c r="F9" s="16">
        <f t="shared" si="4"/>
        <v>9.42</v>
      </c>
      <c r="G9" s="17">
        <f>F9/B2</f>
        <v>0.942</v>
      </c>
      <c r="H9" s="15">
        <f t="shared" si="5"/>
        <v>9.58</v>
      </c>
      <c r="I9" s="14">
        <f>H9/B3</f>
        <v>0.958</v>
      </c>
      <c r="J9" s="2">
        <v>0.0</v>
      </c>
      <c r="K9" s="2">
        <v>0.0</v>
      </c>
      <c r="L9" s="2">
        <v>0.0</v>
      </c>
      <c r="M9" s="7"/>
      <c r="N9" s="7"/>
    </row>
    <row r="10">
      <c r="A10" s="12">
        <v>45791.0</v>
      </c>
      <c r="B10" s="6" t="s">
        <v>62</v>
      </c>
      <c r="C10" s="2">
        <v>0.59</v>
      </c>
      <c r="D10" s="16">
        <f t="shared" si="3"/>
        <v>9.33</v>
      </c>
      <c r="E10" s="17">
        <f>D10/B1</f>
        <v>0.933</v>
      </c>
      <c r="F10" s="16">
        <f t="shared" si="4"/>
        <v>8.83</v>
      </c>
      <c r="G10" s="17">
        <f>F10/B2</f>
        <v>0.883</v>
      </c>
      <c r="H10" s="15">
        <f t="shared" si="5"/>
        <v>9.58</v>
      </c>
      <c r="I10" s="14">
        <f>H10/B3</f>
        <v>0.958</v>
      </c>
      <c r="J10" s="2">
        <v>0.0</v>
      </c>
      <c r="K10" s="2">
        <v>0.0</v>
      </c>
      <c r="L10" s="2">
        <v>0.0</v>
      </c>
      <c r="M10" s="7"/>
      <c r="N10" s="7"/>
    </row>
    <row r="11">
      <c r="A11" s="12">
        <v>45791.0</v>
      </c>
      <c r="B11" s="6" t="s">
        <v>63</v>
      </c>
      <c r="C11" s="2">
        <v>0.0</v>
      </c>
      <c r="D11" s="16">
        <f t="shared" si="3"/>
        <v>9.33</v>
      </c>
      <c r="E11" s="17">
        <f>D11/B1</f>
        <v>0.933</v>
      </c>
      <c r="F11" s="16">
        <f t="shared" si="4"/>
        <v>8.83</v>
      </c>
      <c r="G11" s="17">
        <f>F11/B2</f>
        <v>0.883</v>
      </c>
      <c r="H11" s="15">
        <f t="shared" si="5"/>
        <v>9.58</v>
      </c>
      <c r="I11" s="14">
        <f>H11/B3</f>
        <v>0.958</v>
      </c>
      <c r="J11" s="2">
        <v>0.0</v>
      </c>
      <c r="K11" s="2">
        <v>0.0</v>
      </c>
      <c r="L11" s="2">
        <v>0.0</v>
      </c>
      <c r="M11" s="7"/>
      <c r="N11" s="7"/>
    </row>
    <row r="12">
      <c r="A12" s="12">
        <v>45792.0</v>
      </c>
      <c r="B12" s="6" t="s">
        <v>61</v>
      </c>
      <c r="C12" s="2">
        <v>0.0</v>
      </c>
      <c r="D12" s="16">
        <f t="shared" si="3"/>
        <v>9.33</v>
      </c>
      <c r="E12" s="17">
        <f>D12/B1</f>
        <v>0.933</v>
      </c>
      <c r="F12" s="16">
        <f t="shared" si="4"/>
        <v>8.83</v>
      </c>
      <c r="G12" s="17">
        <f>F12/B2</f>
        <v>0.883</v>
      </c>
      <c r="H12" s="15">
        <f t="shared" si="5"/>
        <v>9.58</v>
      </c>
      <c r="I12" s="14">
        <f>H12/B3</f>
        <v>0.958</v>
      </c>
      <c r="J12" s="2">
        <v>0.0</v>
      </c>
      <c r="K12" s="2">
        <v>0.0</v>
      </c>
      <c r="L12" s="2">
        <v>0.0</v>
      </c>
      <c r="M12" s="7"/>
      <c r="N12" s="7"/>
    </row>
    <row r="13">
      <c r="A13" s="12">
        <v>45792.0</v>
      </c>
      <c r="B13" s="6" t="s">
        <v>62</v>
      </c>
      <c r="C13" s="2">
        <v>0.0</v>
      </c>
      <c r="D13" s="16">
        <f t="shared" si="3"/>
        <v>9.33</v>
      </c>
      <c r="E13" s="17">
        <f>D13/B1</f>
        <v>0.933</v>
      </c>
      <c r="F13" s="16">
        <f t="shared" si="4"/>
        <v>8.83</v>
      </c>
      <c r="G13" s="17">
        <f>F13/B2</f>
        <v>0.883</v>
      </c>
      <c r="H13" s="15">
        <f t="shared" si="5"/>
        <v>9.58</v>
      </c>
      <c r="I13" s="14">
        <f>H13/B3</f>
        <v>0.958</v>
      </c>
      <c r="J13" s="2">
        <v>0.0</v>
      </c>
      <c r="K13" s="2">
        <v>0.0</v>
      </c>
      <c r="L13" s="2">
        <v>0.0</v>
      </c>
      <c r="M13" s="7"/>
      <c r="N13" s="7"/>
    </row>
    <row r="14">
      <c r="A14" s="12">
        <v>45792.0</v>
      </c>
      <c r="B14" s="6" t="s">
        <v>63</v>
      </c>
      <c r="C14" s="2">
        <v>0.45</v>
      </c>
      <c r="D14" s="16">
        <f t="shared" si="3"/>
        <v>9.33</v>
      </c>
      <c r="E14" s="17">
        <f>D14/B1</f>
        <v>0.933</v>
      </c>
      <c r="F14" s="16">
        <f t="shared" si="4"/>
        <v>8.83</v>
      </c>
      <c r="G14" s="17">
        <f>F14/B2</f>
        <v>0.883</v>
      </c>
      <c r="H14" s="15">
        <f t="shared" si="5"/>
        <v>9.13</v>
      </c>
      <c r="I14" s="14">
        <f>H14/B3</f>
        <v>0.913</v>
      </c>
      <c r="J14" s="2">
        <v>0.0</v>
      </c>
      <c r="K14" s="2">
        <v>0.0</v>
      </c>
      <c r="L14" s="2">
        <v>0.0</v>
      </c>
      <c r="M14" s="7"/>
      <c r="N14" s="7"/>
    </row>
    <row r="15">
      <c r="A15" s="12">
        <v>45793.0</v>
      </c>
      <c r="B15" s="6" t="s">
        <v>61</v>
      </c>
      <c r="C15" s="2">
        <v>0.0</v>
      </c>
      <c r="D15" s="16">
        <f t="shared" si="3"/>
        <v>9.33</v>
      </c>
      <c r="E15" s="17">
        <f>D15/B1</f>
        <v>0.933</v>
      </c>
      <c r="F15" s="16">
        <f t="shared" si="4"/>
        <v>8.83</v>
      </c>
      <c r="G15" s="17">
        <f>F15/B2</f>
        <v>0.883</v>
      </c>
      <c r="H15" s="15">
        <f t="shared" si="5"/>
        <v>9.13</v>
      </c>
      <c r="I15" s="14">
        <f>H15/B3</f>
        <v>0.913</v>
      </c>
      <c r="J15" s="2">
        <v>0.0</v>
      </c>
      <c r="K15" s="2">
        <v>0.0</v>
      </c>
      <c r="L15" s="2">
        <v>0.0</v>
      </c>
      <c r="M15" s="7"/>
      <c r="N15" s="7"/>
    </row>
    <row r="16">
      <c r="A16" s="12">
        <v>45793.0</v>
      </c>
      <c r="B16" s="6" t="s">
        <v>62</v>
      </c>
      <c r="C16" s="2">
        <v>0.0</v>
      </c>
      <c r="D16" s="16">
        <f t="shared" si="3"/>
        <v>9.33</v>
      </c>
      <c r="E16" s="17">
        <f>D16/B1</f>
        <v>0.933</v>
      </c>
      <c r="F16" s="16">
        <f t="shared" si="4"/>
        <v>8.83</v>
      </c>
      <c r="G16" s="17">
        <f>F16/B2</f>
        <v>0.883</v>
      </c>
      <c r="H16" s="15">
        <f t="shared" si="5"/>
        <v>9.13</v>
      </c>
      <c r="I16" s="14">
        <f>H16/B3</f>
        <v>0.913</v>
      </c>
      <c r="J16" s="2">
        <v>0.0</v>
      </c>
      <c r="K16" s="2">
        <v>0.0</v>
      </c>
      <c r="L16" s="2">
        <v>0.0</v>
      </c>
      <c r="M16" s="7"/>
      <c r="N16" s="7"/>
    </row>
    <row r="17">
      <c r="A17" s="12">
        <v>45793.0</v>
      </c>
      <c r="B17" s="6" t="s">
        <v>63</v>
      </c>
      <c r="C17" s="2">
        <v>0.0</v>
      </c>
      <c r="D17" s="16">
        <f t="shared" si="3"/>
        <v>9.33</v>
      </c>
      <c r="E17" s="17">
        <f>D17/B1</f>
        <v>0.933</v>
      </c>
      <c r="F17" s="16">
        <f t="shared" si="4"/>
        <v>8.83</v>
      </c>
      <c r="G17" s="17">
        <f>F17/B2</f>
        <v>0.883</v>
      </c>
      <c r="H17" s="15">
        <f t="shared" si="5"/>
        <v>9.13</v>
      </c>
      <c r="I17" s="14">
        <f>H17/B3</f>
        <v>0.913</v>
      </c>
      <c r="J17" s="2">
        <v>0.0</v>
      </c>
      <c r="K17" s="2">
        <v>0.0</v>
      </c>
      <c r="L17" s="2">
        <v>0.0</v>
      </c>
      <c r="M17" s="7"/>
      <c r="N17" s="7"/>
    </row>
    <row r="18">
      <c r="A18" s="12">
        <v>45794.0</v>
      </c>
      <c r="B18" s="6" t="s">
        <v>61</v>
      </c>
      <c r="C18" s="2">
        <v>0.39</v>
      </c>
      <c r="D18" s="16">
        <f t="shared" si="3"/>
        <v>8.94</v>
      </c>
      <c r="E18" s="17">
        <f>D18/B1</f>
        <v>0.894</v>
      </c>
      <c r="F18" s="16">
        <f t="shared" si="4"/>
        <v>8.83</v>
      </c>
      <c r="G18" s="17">
        <f>F18/B2</f>
        <v>0.883</v>
      </c>
      <c r="H18" s="15">
        <f t="shared" si="5"/>
        <v>9.13</v>
      </c>
      <c r="I18" s="14">
        <f>H18/B3</f>
        <v>0.913</v>
      </c>
      <c r="J18" s="2">
        <v>0.0</v>
      </c>
      <c r="K18" s="2">
        <v>0.0</v>
      </c>
      <c r="L18" s="2">
        <v>0.0</v>
      </c>
      <c r="M18" s="7"/>
      <c r="N18" s="7"/>
    </row>
    <row r="19">
      <c r="A19" s="12">
        <v>45794.0</v>
      </c>
      <c r="B19" s="6" t="s">
        <v>62</v>
      </c>
      <c r="C19" s="2">
        <v>0.45</v>
      </c>
      <c r="D19" s="16">
        <f t="shared" si="3"/>
        <v>8.94</v>
      </c>
      <c r="E19" s="17">
        <f>D19/B1</f>
        <v>0.894</v>
      </c>
      <c r="F19" s="16">
        <f t="shared" si="4"/>
        <v>8.38</v>
      </c>
      <c r="G19" s="17">
        <f>F19/B2</f>
        <v>0.838</v>
      </c>
      <c r="H19" s="15">
        <f t="shared" si="5"/>
        <v>9.13</v>
      </c>
      <c r="I19" s="14">
        <f>H19/B3</f>
        <v>0.913</v>
      </c>
      <c r="J19" s="2">
        <v>0.0</v>
      </c>
      <c r="K19" s="2">
        <v>0.0</v>
      </c>
      <c r="L19" s="2">
        <v>0.0</v>
      </c>
      <c r="M19" s="7"/>
      <c r="N19" s="7"/>
    </row>
    <row r="20">
      <c r="A20" s="12">
        <v>45794.0</v>
      </c>
      <c r="B20" s="6" t="s">
        <v>63</v>
      </c>
      <c r="C20" s="2">
        <v>0.0</v>
      </c>
      <c r="D20" s="16">
        <f t="shared" si="3"/>
        <v>8.94</v>
      </c>
      <c r="E20" s="17">
        <f>D20/B1</f>
        <v>0.894</v>
      </c>
      <c r="F20" s="16">
        <f t="shared" si="4"/>
        <v>8.38</v>
      </c>
      <c r="G20" s="17">
        <f>F20/B2</f>
        <v>0.838</v>
      </c>
      <c r="H20" s="15">
        <f t="shared" si="5"/>
        <v>9.13</v>
      </c>
      <c r="I20" s="14">
        <f>H20/B3</f>
        <v>0.913</v>
      </c>
      <c r="J20" s="2">
        <v>0.0</v>
      </c>
      <c r="K20" s="2">
        <v>0.0</v>
      </c>
      <c r="L20" s="2">
        <v>0.0</v>
      </c>
      <c r="M20" s="7"/>
      <c r="N20" s="7"/>
    </row>
    <row r="21">
      <c r="A21" s="12">
        <v>45795.0</v>
      </c>
      <c r="B21" s="6" t="s">
        <v>61</v>
      </c>
      <c r="C21" s="2">
        <v>0.47</v>
      </c>
      <c r="D21" s="16">
        <f t="shared" si="3"/>
        <v>8.47</v>
      </c>
      <c r="E21" s="17">
        <f>D21/B1</f>
        <v>0.847</v>
      </c>
      <c r="F21" s="16">
        <f t="shared" si="4"/>
        <v>8.38</v>
      </c>
      <c r="G21" s="17">
        <f>F21/B2</f>
        <v>0.838</v>
      </c>
      <c r="H21" s="15">
        <f t="shared" si="5"/>
        <v>9.13</v>
      </c>
      <c r="I21" s="14">
        <f>H21/B3</f>
        <v>0.913</v>
      </c>
      <c r="J21" s="2">
        <v>0.0</v>
      </c>
      <c r="K21" s="2">
        <v>0.0</v>
      </c>
      <c r="L21" s="2">
        <v>0.0</v>
      </c>
      <c r="M21" s="7"/>
      <c r="N21" s="7"/>
    </row>
    <row r="22">
      <c r="A22" s="12">
        <v>45795.0</v>
      </c>
      <c r="B22" s="6" t="s">
        <v>62</v>
      </c>
      <c r="C22" s="2">
        <v>0.0</v>
      </c>
      <c r="D22" s="16">
        <f t="shared" si="3"/>
        <v>8.47</v>
      </c>
      <c r="E22" s="17">
        <f>D22/B1</f>
        <v>0.847</v>
      </c>
      <c r="F22" s="16">
        <f t="shared" si="4"/>
        <v>8.38</v>
      </c>
      <c r="G22" s="17">
        <f>F22/B2</f>
        <v>0.838</v>
      </c>
      <c r="H22" s="15">
        <f t="shared" si="5"/>
        <v>9.13</v>
      </c>
      <c r="I22" s="14">
        <f>H22/B3</f>
        <v>0.913</v>
      </c>
      <c r="J22" s="2">
        <v>0.0</v>
      </c>
      <c r="K22" s="2">
        <v>0.0</v>
      </c>
      <c r="L22" s="2">
        <v>0.0</v>
      </c>
      <c r="M22" s="7"/>
      <c r="N22" s="7"/>
    </row>
    <row r="23">
      <c r="A23" s="12">
        <v>45795.0</v>
      </c>
      <c r="B23" s="6" t="s">
        <v>63</v>
      </c>
      <c r="C23" s="2">
        <v>0.47</v>
      </c>
      <c r="D23" s="16">
        <f t="shared" si="3"/>
        <v>8.47</v>
      </c>
      <c r="E23" s="17">
        <f>D23/B1</f>
        <v>0.847</v>
      </c>
      <c r="F23" s="16">
        <f t="shared" si="4"/>
        <v>8.38</v>
      </c>
      <c r="G23" s="17">
        <f>F23/B2</f>
        <v>0.838</v>
      </c>
      <c r="H23" s="15">
        <f t="shared" si="5"/>
        <v>8.66</v>
      </c>
      <c r="I23" s="14">
        <f>H23/B3</f>
        <v>0.866</v>
      </c>
      <c r="J23" s="2">
        <v>0.0</v>
      </c>
      <c r="K23" s="2">
        <v>0.0</v>
      </c>
      <c r="L23" s="2">
        <v>0.0</v>
      </c>
      <c r="M23" s="7"/>
      <c r="N23" s="7"/>
    </row>
    <row r="24">
      <c r="A24" s="12">
        <v>45796.0</v>
      </c>
      <c r="B24" s="6" t="s">
        <v>61</v>
      </c>
      <c r="C24" s="2">
        <v>0.0</v>
      </c>
      <c r="D24" s="16">
        <f t="shared" si="3"/>
        <v>8.47</v>
      </c>
      <c r="E24" s="17">
        <f>D24/B1</f>
        <v>0.847</v>
      </c>
      <c r="F24" s="16">
        <f t="shared" si="4"/>
        <v>8.38</v>
      </c>
      <c r="G24" s="17">
        <f>F24/B2</f>
        <v>0.838</v>
      </c>
      <c r="H24" s="15">
        <f t="shared" si="5"/>
        <v>8.66</v>
      </c>
      <c r="I24" s="14">
        <f>H24/B3</f>
        <v>0.866</v>
      </c>
      <c r="J24" s="2">
        <v>0.0</v>
      </c>
      <c r="K24" s="2">
        <v>0.0</v>
      </c>
      <c r="L24" s="2">
        <v>0.0</v>
      </c>
      <c r="M24" s="7"/>
      <c r="N24" s="7"/>
    </row>
    <row r="25">
      <c r="A25" s="12">
        <v>45796.0</v>
      </c>
      <c r="B25" s="6" t="s">
        <v>62</v>
      </c>
      <c r="C25" s="2">
        <v>0.52</v>
      </c>
      <c r="D25" s="16">
        <f t="shared" si="3"/>
        <v>8.47</v>
      </c>
      <c r="E25" s="17">
        <f>D25/B1</f>
        <v>0.847</v>
      </c>
      <c r="F25" s="16">
        <f t="shared" si="4"/>
        <v>7.86</v>
      </c>
      <c r="G25" s="17">
        <f>F25/B2</f>
        <v>0.786</v>
      </c>
      <c r="H25" s="15">
        <f t="shared" si="5"/>
        <v>8.66</v>
      </c>
      <c r="I25" s="14">
        <f>H25/B3</f>
        <v>0.866</v>
      </c>
      <c r="J25" s="2">
        <v>0.0</v>
      </c>
      <c r="K25" s="2">
        <v>0.0</v>
      </c>
      <c r="L25" s="2">
        <v>0.0</v>
      </c>
      <c r="M25" s="7"/>
      <c r="N25" s="7"/>
    </row>
    <row r="26">
      <c r="A26" s="12">
        <v>45796.0</v>
      </c>
      <c r="B26" s="6" t="s">
        <v>63</v>
      </c>
      <c r="C26" s="2">
        <v>0.57</v>
      </c>
      <c r="D26" s="16">
        <f t="shared" si="3"/>
        <v>8.47</v>
      </c>
      <c r="E26" s="17">
        <f>D26/B1</f>
        <v>0.847</v>
      </c>
      <c r="F26" s="16">
        <f t="shared" si="4"/>
        <v>7.86</v>
      </c>
      <c r="G26" s="17">
        <f>F26/B2</f>
        <v>0.786</v>
      </c>
      <c r="H26" s="15">
        <f t="shared" si="5"/>
        <v>8.09</v>
      </c>
      <c r="I26" s="14">
        <f>H26/B3</f>
        <v>0.809</v>
      </c>
      <c r="J26" s="2">
        <v>0.0</v>
      </c>
      <c r="K26" s="2">
        <v>0.0</v>
      </c>
      <c r="L26" s="2">
        <v>0.0</v>
      </c>
      <c r="M26" s="7"/>
      <c r="N26" s="7"/>
    </row>
    <row r="27">
      <c r="A27" s="12">
        <v>45797.0</v>
      </c>
      <c r="B27" s="6" t="s">
        <v>61</v>
      </c>
      <c r="C27" s="2">
        <v>0.0</v>
      </c>
      <c r="D27" s="16">
        <f t="shared" si="3"/>
        <v>8.47</v>
      </c>
      <c r="E27" s="17">
        <f>D27/B1</f>
        <v>0.847</v>
      </c>
      <c r="F27" s="16">
        <f t="shared" si="4"/>
        <v>7.86</v>
      </c>
      <c r="G27" s="17">
        <f>F27/B2</f>
        <v>0.786</v>
      </c>
      <c r="H27" s="15">
        <f t="shared" si="5"/>
        <v>8.09</v>
      </c>
      <c r="I27" s="14">
        <f>H27/B3</f>
        <v>0.809</v>
      </c>
      <c r="J27" s="2">
        <v>0.0</v>
      </c>
      <c r="K27" s="2">
        <v>0.0</v>
      </c>
      <c r="L27" s="2">
        <v>0.0</v>
      </c>
      <c r="M27" s="7"/>
      <c r="N27" s="7"/>
    </row>
    <row r="28">
      <c r="A28" s="12">
        <v>45797.0</v>
      </c>
      <c r="B28" s="6" t="s">
        <v>62</v>
      </c>
      <c r="C28" s="2">
        <v>0.0</v>
      </c>
      <c r="D28" s="16">
        <f t="shared" si="3"/>
        <v>8.47</v>
      </c>
      <c r="E28" s="17">
        <f>D28/B1</f>
        <v>0.847</v>
      </c>
      <c r="F28" s="16">
        <f t="shared" si="4"/>
        <v>7.86</v>
      </c>
      <c r="G28" s="17">
        <f>F28/B2</f>
        <v>0.786</v>
      </c>
      <c r="H28" s="15">
        <f t="shared" si="5"/>
        <v>8.09</v>
      </c>
      <c r="I28" s="14">
        <f>H28/B3</f>
        <v>0.809</v>
      </c>
      <c r="J28" s="2">
        <v>0.0</v>
      </c>
      <c r="K28" s="2">
        <v>0.0</v>
      </c>
      <c r="L28" s="2">
        <v>0.0</v>
      </c>
      <c r="M28" s="7"/>
      <c r="N28" s="7"/>
    </row>
    <row r="29">
      <c r="A29" s="12">
        <v>45797.0</v>
      </c>
      <c r="B29" s="6" t="s">
        <v>63</v>
      </c>
      <c r="C29" s="2">
        <v>0.0</v>
      </c>
      <c r="D29" s="16">
        <f t="shared" si="3"/>
        <v>8.47</v>
      </c>
      <c r="E29" s="17">
        <f>D29/B1</f>
        <v>0.847</v>
      </c>
      <c r="F29" s="16">
        <f t="shared" si="4"/>
        <v>7.86</v>
      </c>
      <c r="G29" s="17">
        <f>F29/B2</f>
        <v>0.786</v>
      </c>
      <c r="H29" s="15">
        <f t="shared" si="5"/>
        <v>8.09</v>
      </c>
      <c r="I29" s="14">
        <f>H29/B3</f>
        <v>0.809</v>
      </c>
      <c r="J29" s="2">
        <v>0.0</v>
      </c>
      <c r="K29" s="2">
        <v>0.0</v>
      </c>
      <c r="L29" s="2">
        <v>0.0</v>
      </c>
      <c r="M29" s="7"/>
      <c r="N29" s="7"/>
    </row>
    <row r="30">
      <c r="A30" s="12">
        <v>45798.0</v>
      </c>
      <c r="B30" s="6" t="s">
        <v>61</v>
      </c>
      <c r="C30" s="2">
        <v>0.79</v>
      </c>
      <c r="D30" s="16">
        <f t="shared" si="3"/>
        <v>7.68</v>
      </c>
      <c r="E30" s="17">
        <f>D30/B1</f>
        <v>0.768</v>
      </c>
      <c r="F30" s="16">
        <f t="shared" si="4"/>
        <v>7.86</v>
      </c>
      <c r="G30" s="17">
        <f>F30/B2</f>
        <v>0.786</v>
      </c>
      <c r="H30" s="15">
        <f t="shared" si="5"/>
        <v>8.09</v>
      </c>
      <c r="I30" s="14">
        <f>H30/B3</f>
        <v>0.809</v>
      </c>
      <c r="J30" s="2">
        <v>0.0</v>
      </c>
      <c r="K30" s="2">
        <v>0.0</v>
      </c>
      <c r="L30" s="2">
        <v>0.0</v>
      </c>
      <c r="M30" s="7"/>
      <c r="N30" s="7"/>
    </row>
    <row r="31">
      <c r="A31" s="12">
        <v>45798.0</v>
      </c>
      <c r="B31" s="6" t="s">
        <v>62</v>
      </c>
      <c r="C31" s="2">
        <v>0.45</v>
      </c>
      <c r="D31" s="16">
        <f t="shared" si="3"/>
        <v>7.68</v>
      </c>
      <c r="E31" s="17">
        <f>D31/B1</f>
        <v>0.768</v>
      </c>
      <c r="F31" s="16">
        <f t="shared" si="4"/>
        <v>7.41</v>
      </c>
      <c r="G31" s="17">
        <f>F31/B2</f>
        <v>0.741</v>
      </c>
      <c r="H31" s="15">
        <f t="shared" si="5"/>
        <v>8.09</v>
      </c>
      <c r="I31" s="14">
        <f>H31/B3</f>
        <v>0.809</v>
      </c>
      <c r="J31" s="2">
        <v>0.0</v>
      </c>
      <c r="K31" s="2">
        <v>0.0</v>
      </c>
      <c r="L31" s="2">
        <v>0.0</v>
      </c>
      <c r="M31" s="7"/>
      <c r="N31" s="7"/>
    </row>
    <row r="32">
      <c r="A32" s="12">
        <v>45798.0</v>
      </c>
      <c r="B32" s="6" t="s">
        <v>63</v>
      </c>
      <c r="C32" s="2">
        <v>0.0</v>
      </c>
      <c r="D32" s="16">
        <f t="shared" si="3"/>
        <v>7.68</v>
      </c>
      <c r="E32" s="17">
        <f>D32/B1</f>
        <v>0.768</v>
      </c>
      <c r="F32" s="16">
        <f t="shared" si="4"/>
        <v>7.41</v>
      </c>
      <c r="G32" s="17">
        <f>F32/B2</f>
        <v>0.741</v>
      </c>
      <c r="H32" s="15">
        <f t="shared" si="5"/>
        <v>8.09</v>
      </c>
      <c r="I32" s="14">
        <f>H32/B3</f>
        <v>0.809</v>
      </c>
      <c r="J32" s="2">
        <v>0.0</v>
      </c>
      <c r="K32" s="2">
        <v>0.0</v>
      </c>
      <c r="L32" s="2">
        <v>0.0</v>
      </c>
      <c r="M32" s="7"/>
      <c r="N32" s="7"/>
    </row>
    <row r="33">
      <c r="A33" s="12">
        <v>45799.0</v>
      </c>
      <c r="B33" s="6" t="s">
        <v>61</v>
      </c>
      <c r="C33" s="2">
        <v>0.0</v>
      </c>
      <c r="D33" s="16">
        <f t="shared" si="3"/>
        <v>7.68</v>
      </c>
      <c r="E33" s="17">
        <f>D33/B1</f>
        <v>0.768</v>
      </c>
      <c r="F33" s="16">
        <f t="shared" si="4"/>
        <v>7.41</v>
      </c>
      <c r="G33" s="17">
        <f>F33/B2</f>
        <v>0.741</v>
      </c>
      <c r="H33" s="15">
        <f t="shared" si="5"/>
        <v>8.09</v>
      </c>
      <c r="I33" s="14">
        <f>H33/B3</f>
        <v>0.809</v>
      </c>
      <c r="J33" s="2">
        <v>0.0</v>
      </c>
      <c r="K33" s="2">
        <v>0.0</v>
      </c>
      <c r="L33" s="2">
        <v>0.0</v>
      </c>
      <c r="M33" s="7"/>
      <c r="N33" s="7"/>
    </row>
    <row r="34">
      <c r="A34" s="12">
        <v>45799.0</v>
      </c>
      <c r="B34" s="6" t="s">
        <v>62</v>
      </c>
      <c r="C34" s="2">
        <v>0.0</v>
      </c>
      <c r="D34" s="16">
        <f t="shared" si="3"/>
        <v>7.68</v>
      </c>
      <c r="E34" s="17">
        <f>D34/B1</f>
        <v>0.768</v>
      </c>
      <c r="F34" s="16">
        <f t="shared" si="4"/>
        <v>7.41</v>
      </c>
      <c r="G34" s="17">
        <f>F34/B2</f>
        <v>0.741</v>
      </c>
      <c r="H34" s="15">
        <f t="shared" si="5"/>
        <v>8.09</v>
      </c>
      <c r="I34" s="14">
        <f>H34/B3</f>
        <v>0.809</v>
      </c>
      <c r="J34" s="2">
        <v>0.0</v>
      </c>
      <c r="K34" s="2">
        <v>0.0</v>
      </c>
      <c r="L34" s="2">
        <v>0.0</v>
      </c>
      <c r="M34" s="7"/>
      <c r="N34" s="7"/>
    </row>
    <row r="35">
      <c r="A35" s="12">
        <v>45799.0</v>
      </c>
      <c r="B35" s="6" t="s">
        <v>63</v>
      </c>
      <c r="C35" s="2">
        <v>0.0</v>
      </c>
      <c r="D35" s="16">
        <f t="shared" si="3"/>
        <v>7.68</v>
      </c>
      <c r="E35" s="17">
        <f>D35/B1</f>
        <v>0.768</v>
      </c>
      <c r="F35" s="16">
        <f t="shared" si="4"/>
        <v>7.41</v>
      </c>
      <c r="G35" s="17">
        <f>F35/B2</f>
        <v>0.741</v>
      </c>
      <c r="H35" s="15">
        <f t="shared" si="5"/>
        <v>8.09</v>
      </c>
      <c r="I35" s="14">
        <f>H35/B3</f>
        <v>0.809</v>
      </c>
      <c r="J35" s="2">
        <v>0.0</v>
      </c>
      <c r="K35" s="2">
        <v>0.0</v>
      </c>
      <c r="L35" s="2">
        <v>0.0</v>
      </c>
      <c r="M35" s="7"/>
      <c r="N35" s="7"/>
    </row>
    <row r="36">
      <c r="A36" s="12">
        <v>45800.0</v>
      </c>
      <c r="B36" s="6" t="s">
        <v>61</v>
      </c>
      <c r="C36" s="2">
        <v>0.0</v>
      </c>
      <c r="D36" s="16">
        <f t="shared" si="3"/>
        <v>7.68</v>
      </c>
      <c r="E36" s="17">
        <f>D36/B1</f>
        <v>0.768</v>
      </c>
      <c r="F36" s="16">
        <f t="shared" si="4"/>
        <v>7.41</v>
      </c>
      <c r="G36" s="17">
        <f>F36/B2</f>
        <v>0.741</v>
      </c>
      <c r="H36" s="15">
        <f t="shared" si="5"/>
        <v>8.09</v>
      </c>
      <c r="I36" s="14">
        <f>H36/B3</f>
        <v>0.809</v>
      </c>
      <c r="J36" s="2">
        <v>0.0</v>
      </c>
      <c r="K36" s="2">
        <v>0.0</v>
      </c>
      <c r="L36" s="2">
        <v>0.0</v>
      </c>
      <c r="M36" s="7"/>
      <c r="N36" s="7"/>
    </row>
    <row r="37">
      <c r="A37" s="12">
        <v>45800.0</v>
      </c>
      <c r="B37" s="6" t="s">
        <v>62</v>
      </c>
      <c r="C37" s="2">
        <v>0.53</v>
      </c>
      <c r="D37" s="16">
        <f t="shared" si="3"/>
        <v>7.68</v>
      </c>
      <c r="E37" s="17">
        <f>D37/B1</f>
        <v>0.768</v>
      </c>
      <c r="F37" s="16">
        <f t="shared" si="4"/>
        <v>6.88</v>
      </c>
      <c r="G37" s="17">
        <f>F37/B2</f>
        <v>0.688</v>
      </c>
      <c r="H37" s="15">
        <f t="shared" si="5"/>
        <v>8.09</v>
      </c>
      <c r="I37" s="14">
        <f>H37/B3</f>
        <v>0.809</v>
      </c>
      <c r="J37" s="2">
        <v>0.0</v>
      </c>
      <c r="K37" s="2">
        <v>0.0</v>
      </c>
      <c r="L37" s="2">
        <v>0.0</v>
      </c>
      <c r="M37" s="7"/>
      <c r="N37" s="7"/>
    </row>
    <row r="38">
      <c r="A38" s="12">
        <v>45800.0</v>
      </c>
      <c r="B38" s="6" t="s">
        <v>63</v>
      </c>
      <c r="C38" s="2">
        <v>0.73</v>
      </c>
      <c r="D38" s="16">
        <f t="shared" si="3"/>
        <v>7.68</v>
      </c>
      <c r="E38" s="17">
        <f>D38/B1</f>
        <v>0.768</v>
      </c>
      <c r="F38" s="16">
        <f t="shared" si="4"/>
        <v>6.88</v>
      </c>
      <c r="G38" s="17">
        <f>F38/B2</f>
        <v>0.688</v>
      </c>
      <c r="H38" s="15">
        <f t="shared" si="5"/>
        <v>7.36</v>
      </c>
      <c r="I38" s="14">
        <f>H38/B3</f>
        <v>0.736</v>
      </c>
      <c r="J38" s="2">
        <v>0.0</v>
      </c>
      <c r="K38" s="2">
        <v>0.0</v>
      </c>
      <c r="L38" s="2">
        <v>0.0</v>
      </c>
      <c r="M38" s="7"/>
      <c r="N38" s="7"/>
    </row>
    <row r="39">
      <c r="A39" s="12">
        <v>45801.0</v>
      </c>
      <c r="B39" s="6" t="s">
        <v>61</v>
      </c>
      <c r="C39" s="2">
        <v>0.77</v>
      </c>
      <c r="D39" s="16">
        <f t="shared" si="3"/>
        <v>6.91</v>
      </c>
      <c r="E39" s="17">
        <f>D39/B1</f>
        <v>0.691</v>
      </c>
      <c r="F39" s="16">
        <f t="shared" si="4"/>
        <v>6.88</v>
      </c>
      <c r="G39" s="17">
        <f>F39/B2</f>
        <v>0.688</v>
      </c>
      <c r="H39" s="15">
        <f t="shared" si="5"/>
        <v>7.36</v>
      </c>
      <c r="I39" s="14">
        <f>H39/B3</f>
        <v>0.736</v>
      </c>
      <c r="J39" s="2">
        <v>0.0</v>
      </c>
      <c r="K39" s="2">
        <v>0.0</v>
      </c>
      <c r="L39" s="2">
        <v>0.0</v>
      </c>
      <c r="M39" s="7"/>
      <c r="N39" s="7"/>
    </row>
    <row r="40">
      <c r="A40" s="12">
        <v>45801.0</v>
      </c>
      <c r="B40" s="6" t="s">
        <v>62</v>
      </c>
      <c r="C40" s="2">
        <v>0.64</v>
      </c>
      <c r="D40" s="16">
        <f t="shared" si="3"/>
        <v>6.91</v>
      </c>
      <c r="E40" s="17">
        <f>D40/B1</f>
        <v>0.691</v>
      </c>
      <c r="F40" s="16">
        <f t="shared" si="4"/>
        <v>6.24</v>
      </c>
      <c r="G40" s="17">
        <f>F40/B2</f>
        <v>0.624</v>
      </c>
      <c r="H40" s="15">
        <f t="shared" si="5"/>
        <v>7.36</v>
      </c>
      <c r="I40" s="14">
        <f>H40/B3</f>
        <v>0.736</v>
      </c>
      <c r="J40" s="2">
        <v>0.0</v>
      </c>
      <c r="K40" s="2">
        <v>0.0</v>
      </c>
      <c r="L40" s="2">
        <v>0.0</v>
      </c>
      <c r="M40" s="7"/>
      <c r="N40" s="7"/>
    </row>
    <row r="41">
      <c r="A41" s="12">
        <v>45801.0</v>
      </c>
      <c r="B41" s="6" t="s">
        <v>63</v>
      </c>
      <c r="C41" s="2">
        <v>0.0</v>
      </c>
      <c r="D41" s="16">
        <f t="shared" si="3"/>
        <v>6.91</v>
      </c>
      <c r="E41" s="17">
        <f>D41/B1</f>
        <v>0.691</v>
      </c>
      <c r="F41" s="16">
        <f t="shared" si="4"/>
        <v>6.24</v>
      </c>
      <c r="G41" s="17">
        <f>F41/B2</f>
        <v>0.624</v>
      </c>
      <c r="H41" s="15">
        <f t="shared" si="5"/>
        <v>7.36</v>
      </c>
      <c r="I41" s="14">
        <f>H41/B3</f>
        <v>0.736</v>
      </c>
      <c r="J41" s="2">
        <v>0.0</v>
      </c>
      <c r="K41" s="2">
        <v>0.0</v>
      </c>
      <c r="L41" s="2">
        <v>0.0</v>
      </c>
      <c r="M41" s="7"/>
      <c r="N41" s="7"/>
    </row>
    <row r="42">
      <c r="A42" s="12">
        <v>45802.0</v>
      </c>
      <c r="B42" s="6" t="s">
        <v>61</v>
      </c>
      <c r="C42" s="2">
        <v>0.0</v>
      </c>
      <c r="D42" s="16">
        <f t="shared" si="3"/>
        <v>6.91</v>
      </c>
      <c r="E42" s="17">
        <f>D42/B1</f>
        <v>0.691</v>
      </c>
      <c r="F42" s="16">
        <f t="shared" si="4"/>
        <v>6.24</v>
      </c>
      <c r="G42" s="17">
        <f>F42/B2</f>
        <v>0.624</v>
      </c>
      <c r="H42" s="15">
        <f t="shared" si="5"/>
        <v>7.36</v>
      </c>
      <c r="I42" s="14">
        <f>H42/B3</f>
        <v>0.736</v>
      </c>
      <c r="J42" s="2">
        <v>0.0</v>
      </c>
      <c r="K42" s="2">
        <v>0.0</v>
      </c>
      <c r="L42" s="2">
        <v>0.0</v>
      </c>
      <c r="M42" s="7"/>
      <c r="N42" s="7"/>
    </row>
    <row r="43">
      <c r="A43" s="12">
        <v>45802.0</v>
      </c>
      <c r="B43" s="6" t="s">
        <v>62</v>
      </c>
      <c r="C43" s="2">
        <v>0.75</v>
      </c>
      <c r="D43" s="16">
        <f t="shared" si="3"/>
        <v>6.91</v>
      </c>
      <c r="E43" s="17">
        <f>D43/B1</f>
        <v>0.691</v>
      </c>
      <c r="F43" s="16">
        <f t="shared" si="4"/>
        <v>5.49</v>
      </c>
      <c r="G43" s="17">
        <f>F43/B2</f>
        <v>0.549</v>
      </c>
      <c r="H43" s="15">
        <f t="shared" si="5"/>
        <v>7.36</v>
      </c>
      <c r="I43" s="14">
        <f>H43/B3</f>
        <v>0.736</v>
      </c>
      <c r="J43" s="2">
        <v>0.0</v>
      </c>
      <c r="K43" s="2">
        <v>0.0</v>
      </c>
      <c r="L43" s="2">
        <v>0.0</v>
      </c>
      <c r="M43" s="7"/>
      <c r="N43" s="7"/>
    </row>
    <row r="44">
      <c r="A44" s="12">
        <v>45802.0</v>
      </c>
      <c r="B44" s="6" t="s">
        <v>63</v>
      </c>
      <c r="C44" s="2">
        <v>0.82</v>
      </c>
      <c r="D44" s="16">
        <f t="shared" si="3"/>
        <v>6.91</v>
      </c>
      <c r="E44" s="17">
        <f>D44/B1</f>
        <v>0.691</v>
      </c>
      <c r="F44" s="16">
        <f t="shared" si="4"/>
        <v>5.49</v>
      </c>
      <c r="G44" s="17">
        <f>F44/B2</f>
        <v>0.549</v>
      </c>
      <c r="H44" s="15">
        <f t="shared" si="5"/>
        <v>6.54</v>
      </c>
      <c r="I44" s="14">
        <f>H44/B3</f>
        <v>0.654</v>
      </c>
      <c r="J44" s="2">
        <v>0.0</v>
      </c>
      <c r="K44" s="2">
        <v>0.0</v>
      </c>
      <c r="L44" s="2">
        <v>0.0</v>
      </c>
      <c r="M44" s="7"/>
      <c r="N44" s="7"/>
    </row>
    <row r="45">
      <c r="A45" s="12">
        <v>45803.0</v>
      </c>
      <c r="B45" s="6" t="s">
        <v>61</v>
      </c>
      <c r="C45" s="2">
        <v>0.91</v>
      </c>
      <c r="D45" s="16">
        <f t="shared" si="3"/>
        <v>6</v>
      </c>
      <c r="E45" s="17">
        <f>D45/B1</f>
        <v>0.6</v>
      </c>
      <c r="F45" s="16">
        <f t="shared" si="4"/>
        <v>5.49</v>
      </c>
      <c r="G45" s="17">
        <f>F45/B2</f>
        <v>0.549</v>
      </c>
      <c r="H45" s="15">
        <f t="shared" si="5"/>
        <v>6.54</v>
      </c>
      <c r="I45" s="14">
        <f>H45/B3</f>
        <v>0.654</v>
      </c>
      <c r="J45" s="2">
        <v>0.0</v>
      </c>
      <c r="K45" s="2">
        <v>0.0</v>
      </c>
      <c r="L45" s="2">
        <v>0.0</v>
      </c>
      <c r="M45" s="7"/>
      <c r="N45" s="7"/>
    </row>
    <row r="46">
      <c r="A46" s="12">
        <v>45803.0</v>
      </c>
      <c r="B46" s="6" t="s">
        <v>62</v>
      </c>
      <c r="C46" s="2">
        <v>0.61</v>
      </c>
      <c r="D46" s="16">
        <f t="shared" si="3"/>
        <v>6</v>
      </c>
      <c r="E46" s="17">
        <f>D46/B1</f>
        <v>0.6</v>
      </c>
      <c r="F46" s="16">
        <f t="shared" si="4"/>
        <v>4.88</v>
      </c>
      <c r="G46" s="17">
        <f>F46/B2</f>
        <v>0.488</v>
      </c>
      <c r="H46" s="15">
        <f t="shared" si="5"/>
        <v>6.54</v>
      </c>
      <c r="I46" s="14">
        <f>H46/B3</f>
        <v>0.654</v>
      </c>
      <c r="J46" s="2">
        <v>0.0</v>
      </c>
      <c r="K46" s="2">
        <v>0.0</v>
      </c>
      <c r="L46" s="2">
        <v>0.0</v>
      </c>
      <c r="M46" s="7"/>
      <c r="N46" s="7"/>
    </row>
    <row r="47">
      <c r="A47" s="12">
        <v>45803.0</v>
      </c>
      <c r="B47" s="6" t="s">
        <v>63</v>
      </c>
      <c r="C47" s="2">
        <v>0.0</v>
      </c>
      <c r="D47" s="16">
        <f t="shared" si="3"/>
        <v>6</v>
      </c>
      <c r="E47" s="17">
        <f>D47/B1</f>
        <v>0.6</v>
      </c>
      <c r="F47" s="16">
        <f t="shared" si="4"/>
        <v>4.88</v>
      </c>
      <c r="G47" s="17">
        <f>F47/B2</f>
        <v>0.488</v>
      </c>
      <c r="H47" s="15">
        <f t="shared" si="5"/>
        <v>6.54</v>
      </c>
      <c r="I47" s="14">
        <f>H47/B3</f>
        <v>0.654</v>
      </c>
      <c r="J47" s="2">
        <v>0.0</v>
      </c>
      <c r="K47" s="2">
        <v>0.0</v>
      </c>
      <c r="L47" s="2">
        <v>0.0</v>
      </c>
      <c r="M47" s="7"/>
      <c r="N47" s="7"/>
    </row>
    <row r="48">
      <c r="A48" s="12">
        <v>45804.0</v>
      </c>
      <c r="B48" s="6" t="s">
        <v>61</v>
      </c>
      <c r="C48" s="2">
        <v>0.0</v>
      </c>
      <c r="D48" s="16">
        <f t="shared" si="3"/>
        <v>6</v>
      </c>
      <c r="E48" s="17">
        <f>D48/B1</f>
        <v>0.6</v>
      </c>
      <c r="F48" s="16">
        <f t="shared" si="4"/>
        <v>4.88</v>
      </c>
      <c r="G48" s="17">
        <f>F48/B2</f>
        <v>0.488</v>
      </c>
      <c r="H48" s="15">
        <f t="shared" si="5"/>
        <v>6.54</v>
      </c>
      <c r="I48" s="14">
        <f>H48/B3</f>
        <v>0.654</v>
      </c>
      <c r="J48" s="2">
        <v>0.0</v>
      </c>
      <c r="K48" s="2">
        <v>0.0</v>
      </c>
      <c r="L48" s="2">
        <v>0.0</v>
      </c>
      <c r="M48" s="7"/>
      <c r="N48" s="7"/>
    </row>
    <row r="49">
      <c r="A49" s="12">
        <v>45804.0</v>
      </c>
      <c r="B49" s="6" t="s">
        <v>62</v>
      </c>
      <c r="C49" s="2">
        <v>0.58</v>
      </c>
      <c r="D49" s="16">
        <f t="shared" si="3"/>
        <v>6</v>
      </c>
      <c r="E49" s="17">
        <f>D49/B1</f>
        <v>0.6</v>
      </c>
      <c r="F49" s="16">
        <f t="shared" si="4"/>
        <v>4.3</v>
      </c>
      <c r="G49" s="17">
        <f>F49/B2</f>
        <v>0.43</v>
      </c>
      <c r="H49" s="15">
        <f t="shared" si="5"/>
        <v>6.54</v>
      </c>
      <c r="I49" s="14">
        <f>H49/B3</f>
        <v>0.654</v>
      </c>
      <c r="J49" s="2">
        <v>0.0</v>
      </c>
      <c r="K49" s="2">
        <v>0.0</v>
      </c>
      <c r="L49" s="2">
        <v>0.0</v>
      </c>
      <c r="M49" s="7"/>
      <c r="N49" s="7"/>
    </row>
    <row r="50">
      <c r="A50" s="12">
        <v>45804.0</v>
      </c>
      <c r="B50" s="6" t="s">
        <v>63</v>
      </c>
      <c r="C50" s="2">
        <v>0.69</v>
      </c>
      <c r="D50" s="16">
        <f t="shared" si="3"/>
        <v>6</v>
      </c>
      <c r="E50" s="17">
        <f>D50/B1</f>
        <v>0.6</v>
      </c>
      <c r="F50" s="16">
        <f t="shared" si="4"/>
        <v>4.3</v>
      </c>
      <c r="G50" s="17">
        <f>F50/B2</f>
        <v>0.43</v>
      </c>
      <c r="H50" s="15">
        <f t="shared" si="5"/>
        <v>5.85</v>
      </c>
      <c r="I50" s="14">
        <f>H50/B3</f>
        <v>0.585</v>
      </c>
      <c r="J50" s="2">
        <v>0.0</v>
      </c>
      <c r="K50" s="2">
        <v>0.0</v>
      </c>
      <c r="L50" s="2">
        <v>0.0</v>
      </c>
      <c r="M50" s="7"/>
      <c r="N50" s="7"/>
    </row>
    <row r="51">
      <c r="A51" s="12">
        <v>45805.0</v>
      </c>
      <c r="B51" s="6" t="s">
        <v>61</v>
      </c>
      <c r="C51" s="2">
        <v>0.0</v>
      </c>
      <c r="D51" s="16">
        <f t="shared" si="3"/>
        <v>6</v>
      </c>
      <c r="E51" s="17">
        <f>D51/B1</f>
        <v>0.6</v>
      </c>
      <c r="F51" s="16">
        <f t="shared" si="4"/>
        <v>4.3</v>
      </c>
      <c r="G51" s="17">
        <f>F51/B2</f>
        <v>0.43</v>
      </c>
      <c r="H51" s="15">
        <f t="shared" si="5"/>
        <v>5.85</v>
      </c>
      <c r="I51" s="14">
        <f>H51/B3</f>
        <v>0.585</v>
      </c>
      <c r="J51" s="2">
        <v>0.0</v>
      </c>
      <c r="K51" s="2">
        <v>0.0</v>
      </c>
      <c r="L51" s="2">
        <v>0.0</v>
      </c>
      <c r="M51" s="7"/>
      <c r="N51" s="7"/>
    </row>
    <row r="52">
      <c r="A52" s="12">
        <v>45805.0</v>
      </c>
      <c r="B52" s="6" t="s">
        <v>62</v>
      </c>
      <c r="C52" s="2">
        <v>0.0</v>
      </c>
      <c r="D52" s="16">
        <f t="shared" si="3"/>
        <v>6</v>
      </c>
      <c r="E52" s="17">
        <f>D52/B1</f>
        <v>0.6</v>
      </c>
      <c r="F52" s="16">
        <f t="shared" si="4"/>
        <v>4.3</v>
      </c>
      <c r="G52" s="17">
        <f>F52/B2</f>
        <v>0.43</v>
      </c>
      <c r="H52" s="15">
        <f t="shared" si="5"/>
        <v>5.85</v>
      </c>
      <c r="I52" s="14">
        <f>H52/B3</f>
        <v>0.585</v>
      </c>
      <c r="J52" s="2">
        <v>0.0</v>
      </c>
      <c r="K52" s="2">
        <v>0.0</v>
      </c>
      <c r="L52" s="2">
        <v>0.0</v>
      </c>
      <c r="M52" s="7"/>
      <c r="N52" s="7"/>
    </row>
    <row r="53">
      <c r="A53" s="12">
        <v>45805.0</v>
      </c>
      <c r="B53" s="6" t="s">
        <v>63</v>
      </c>
      <c r="C53" s="2">
        <v>0.0</v>
      </c>
      <c r="D53" s="16">
        <f t="shared" si="3"/>
        <v>6</v>
      </c>
      <c r="E53" s="17">
        <f>D53/B1</f>
        <v>0.6</v>
      </c>
      <c r="F53" s="16">
        <f t="shared" si="4"/>
        <v>4.3</v>
      </c>
      <c r="G53" s="17">
        <f>F53/B2</f>
        <v>0.43</v>
      </c>
      <c r="H53" s="15">
        <f t="shared" si="5"/>
        <v>5.85</v>
      </c>
      <c r="I53" s="14">
        <f>H53/B3</f>
        <v>0.585</v>
      </c>
      <c r="J53" s="2">
        <v>0.0</v>
      </c>
      <c r="K53" s="2">
        <v>0.0</v>
      </c>
      <c r="L53" s="2">
        <v>0.0</v>
      </c>
      <c r="M53" s="7"/>
      <c r="N53" s="7"/>
    </row>
    <row r="54">
      <c r="A54" s="12">
        <v>45806.0</v>
      </c>
      <c r="B54" s="6" t="s">
        <v>61</v>
      </c>
      <c r="C54" s="2">
        <v>0.86</v>
      </c>
      <c r="D54" s="16">
        <f t="shared" si="3"/>
        <v>5.14</v>
      </c>
      <c r="E54" s="17">
        <f>D54/B1</f>
        <v>0.514</v>
      </c>
      <c r="F54" s="16">
        <f t="shared" si="4"/>
        <v>4.3</v>
      </c>
      <c r="G54" s="17">
        <f>F54/B2</f>
        <v>0.43</v>
      </c>
      <c r="H54" s="15">
        <f t="shared" si="5"/>
        <v>5.85</v>
      </c>
      <c r="I54" s="14">
        <f>H54/B3</f>
        <v>0.585</v>
      </c>
      <c r="J54" s="2">
        <v>0.0</v>
      </c>
      <c r="K54" s="2">
        <v>0.0</v>
      </c>
      <c r="L54" s="2">
        <v>0.0</v>
      </c>
      <c r="M54" s="7"/>
      <c r="N54" s="7"/>
    </row>
    <row r="55">
      <c r="A55" s="12">
        <v>45806.0</v>
      </c>
      <c r="B55" s="6" t="s">
        <v>62</v>
      </c>
      <c r="C55" s="2">
        <v>0.57</v>
      </c>
      <c r="D55" s="16">
        <f t="shared" si="3"/>
        <v>5.14</v>
      </c>
      <c r="E55" s="17">
        <f>D55/B1</f>
        <v>0.514</v>
      </c>
      <c r="F55" s="16">
        <f t="shared" si="4"/>
        <v>3.73</v>
      </c>
      <c r="G55" s="17">
        <f>F55/B2</f>
        <v>0.373</v>
      </c>
      <c r="H55" s="15">
        <f t="shared" si="5"/>
        <v>5.85</v>
      </c>
      <c r="I55" s="14">
        <f>H55/B3</f>
        <v>0.585</v>
      </c>
      <c r="J55" s="2">
        <v>0.0</v>
      </c>
      <c r="K55" s="2">
        <v>0.0</v>
      </c>
      <c r="L55" s="2">
        <v>0.0</v>
      </c>
      <c r="M55" s="7"/>
      <c r="N55" s="7"/>
    </row>
    <row r="56">
      <c r="A56" s="12">
        <v>45806.0</v>
      </c>
      <c r="B56" s="6" t="s">
        <v>63</v>
      </c>
      <c r="C56" s="2">
        <v>0.96</v>
      </c>
      <c r="D56" s="16">
        <f t="shared" si="3"/>
        <v>5.14</v>
      </c>
      <c r="E56" s="17">
        <f>D56/B1</f>
        <v>0.514</v>
      </c>
      <c r="F56" s="16">
        <f t="shared" si="4"/>
        <v>3.73</v>
      </c>
      <c r="G56" s="17">
        <f>F56/B2</f>
        <v>0.373</v>
      </c>
      <c r="H56" s="15">
        <f t="shared" si="5"/>
        <v>4.89</v>
      </c>
      <c r="I56" s="14">
        <f>H56/B3</f>
        <v>0.489</v>
      </c>
      <c r="J56" s="2">
        <v>0.0</v>
      </c>
      <c r="K56" s="2">
        <v>0.0</v>
      </c>
      <c r="L56" s="2">
        <v>0.0</v>
      </c>
      <c r="M56" s="7"/>
      <c r="N56" s="7"/>
    </row>
    <row r="57">
      <c r="A57" s="12">
        <v>45807.0</v>
      </c>
      <c r="B57" s="6" t="s">
        <v>61</v>
      </c>
      <c r="C57" s="2">
        <v>0.0</v>
      </c>
      <c r="D57" s="16">
        <f t="shared" si="3"/>
        <v>5.14</v>
      </c>
      <c r="E57" s="17">
        <f>D57/B1</f>
        <v>0.514</v>
      </c>
      <c r="F57" s="16">
        <f t="shared" si="4"/>
        <v>3.73</v>
      </c>
      <c r="G57" s="17">
        <f>F57/B2</f>
        <v>0.373</v>
      </c>
      <c r="H57" s="15">
        <f t="shared" si="5"/>
        <v>4.89</v>
      </c>
      <c r="I57" s="14">
        <f>H57/B3</f>
        <v>0.489</v>
      </c>
      <c r="J57" s="2">
        <v>0.0</v>
      </c>
      <c r="K57" s="2">
        <v>0.0</v>
      </c>
      <c r="L57" s="2">
        <v>0.0</v>
      </c>
      <c r="M57" s="7"/>
      <c r="N57" s="7"/>
    </row>
    <row r="58">
      <c r="A58" s="12">
        <v>45807.0</v>
      </c>
      <c r="B58" s="6" t="s">
        <v>62</v>
      </c>
      <c r="C58" s="2">
        <v>0.78</v>
      </c>
      <c r="D58" s="16">
        <f t="shared" si="3"/>
        <v>5.14</v>
      </c>
      <c r="E58" s="17">
        <f>D58/B1</f>
        <v>0.514</v>
      </c>
      <c r="F58" s="16">
        <f t="shared" si="4"/>
        <v>2.95</v>
      </c>
      <c r="G58" s="17">
        <f>F58/B2</f>
        <v>0.295</v>
      </c>
      <c r="H58" s="15">
        <f t="shared" si="5"/>
        <v>4.89</v>
      </c>
      <c r="I58" s="14">
        <f>H58/B3</f>
        <v>0.489</v>
      </c>
      <c r="J58" s="2">
        <v>0.0</v>
      </c>
      <c r="K58" s="2">
        <v>0.0</v>
      </c>
      <c r="L58" s="2">
        <v>0.0</v>
      </c>
      <c r="M58" s="7"/>
      <c r="N58" s="7"/>
    </row>
    <row r="59">
      <c r="A59" s="12">
        <v>45807.0</v>
      </c>
      <c r="B59" s="6" t="s">
        <v>63</v>
      </c>
      <c r="C59" s="2">
        <v>0.97</v>
      </c>
      <c r="D59" s="16">
        <f t="shared" si="3"/>
        <v>5.14</v>
      </c>
      <c r="E59" s="17">
        <f>D59/B1</f>
        <v>0.514</v>
      </c>
      <c r="F59" s="16">
        <f t="shared" si="4"/>
        <v>2.95</v>
      </c>
      <c r="G59" s="17">
        <f>F59/B2</f>
        <v>0.295</v>
      </c>
      <c r="H59" s="15">
        <f t="shared" si="5"/>
        <v>3.92</v>
      </c>
      <c r="I59" s="14">
        <f>H59/B3</f>
        <v>0.392</v>
      </c>
      <c r="J59" s="2">
        <v>0.0</v>
      </c>
      <c r="K59" s="2">
        <v>0.0</v>
      </c>
      <c r="L59" s="2">
        <v>0.0</v>
      </c>
    </row>
    <row r="60">
      <c r="A60" s="12">
        <v>45808.0</v>
      </c>
      <c r="B60" s="6" t="s">
        <v>61</v>
      </c>
      <c r="C60" s="2">
        <v>0.0</v>
      </c>
      <c r="D60" s="16">
        <f t="shared" si="3"/>
        <v>5.14</v>
      </c>
      <c r="E60" s="17">
        <f>D60/B1</f>
        <v>0.514</v>
      </c>
      <c r="F60" s="16">
        <f t="shared" si="4"/>
        <v>2.95</v>
      </c>
      <c r="G60" s="17">
        <f>F60/B2</f>
        <v>0.295</v>
      </c>
      <c r="H60" s="15">
        <f t="shared" si="5"/>
        <v>3.92</v>
      </c>
      <c r="I60" s="14">
        <f>H60/B3</f>
        <v>0.392</v>
      </c>
      <c r="J60" s="2">
        <v>0.0</v>
      </c>
      <c r="K60" s="2">
        <v>0.0</v>
      </c>
      <c r="L60" s="2">
        <v>0.0</v>
      </c>
    </row>
    <row r="61">
      <c r="A61" s="12">
        <v>45808.0</v>
      </c>
      <c r="B61" s="6" t="s">
        <v>62</v>
      </c>
      <c r="C61" s="2">
        <v>0.97</v>
      </c>
      <c r="D61" s="16">
        <f t="shared" si="3"/>
        <v>5.14</v>
      </c>
      <c r="E61" s="17">
        <f>D61/B1</f>
        <v>0.514</v>
      </c>
      <c r="F61" s="16">
        <f t="shared" si="4"/>
        <v>1.98</v>
      </c>
      <c r="G61" s="17">
        <f>F61/B2</f>
        <v>0.198</v>
      </c>
      <c r="H61" s="15">
        <f t="shared" si="5"/>
        <v>3.92</v>
      </c>
      <c r="I61" s="14">
        <f>H61/B3</f>
        <v>0.392</v>
      </c>
      <c r="J61" s="2">
        <v>0.0</v>
      </c>
      <c r="K61" s="2">
        <v>0.0</v>
      </c>
      <c r="L61" s="2">
        <v>0.0</v>
      </c>
    </row>
    <row r="62">
      <c r="A62" s="12">
        <v>45808.0</v>
      </c>
      <c r="B62" s="6" t="s">
        <v>63</v>
      </c>
      <c r="C62" s="2">
        <v>0.77</v>
      </c>
      <c r="D62" s="16">
        <f t="shared" si="3"/>
        <v>5.14</v>
      </c>
      <c r="E62" s="17">
        <f>D62/B1</f>
        <v>0.514</v>
      </c>
      <c r="F62" s="16">
        <f t="shared" si="4"/>
        <v>1.98</v>
      </c>
      <c r="G62" s="17">
        <f>F62/B2</f>
        <v>0.198</v>
      </c>
      <c r="H62" s="15">
        <f t="shared" si="5"/>
        <v>3.15</v>
      </c>
      <c r="I62" s="14">
        <f>H62/B3</f>
        <v>0.315</v>
      </c>
      <c r="J62" s="2">
        <v>0.0</v>
      </c>
      <c r="K62" s="2">
        <v>0.0</v>
      </c>
      <c r="L62" s="2">
        <v>0.0</v>
      </c>
    </row>
    <row r="63">
      <c r="A63" s="12">
        <v>45809.0</v>
      </c>
      <c r="B63" s="6" t="s">
        <v>61</v>
      </c>
      <c r="C63" s="2">
        <v>0.68</v>
      </c>
      <c r="D63" s="16">
        <f t="shared" si="3"/>
        <v>4.46</v>
      </c>
      <c r="E63" s="17">
        <f>D63/B1</f>
        <v>0.446</v>
      </c>
      <c r="F63" s="16">
        <f t="shared" si="4"/>
        <v>1.98</v>
      </c>
      <c r="G63" s="17">
        <f>F63/B2</f>
        <v>0.198</v>
      </c>
      <c r="H63" s="15">
        <f t="shared" si="5"/>
        <v>3.15</v>
      </c>
      <c r="I63" s="14">
        <f>H63/B3</f>
        <v>0.315</v>
      </c>
      <c r="J63" s="2">
        <v>0.0</v>
      </c>
      <c r="K63" s="2">
        <v>0.0</v>
      </c>
      <c r="L63" s="2">
        <v>0.0</v>
      </c>
    </row>
    <row r="64">
      <c r="A64" s="12">
        <v>45809.0</v>
      </c>
      <c r="B64" s="6" t="s">
        <v>62</v>
      </c>
      <c r="C64" s="2">
        <v>0.0</v>
      </c>
      <c r="D64" s="16">
        <f t="shared" si="3"/>
        <v>4.46</v>
      </c>
      <c r="E64" s="17">
        <f>D64/B1</f>
        <v>0.446</v>
      </c>
      <c r="F64" s="16">
        <f t="shared" si="4"/>
        <v>1.98</v>
      </c>
      <c r="G64" s="17">
        <f>F64/B2</f>
        <v>0.198</v>
      </c>
      <c r="H64" s="15">
        <f t="shared" si="5"/>
        <v>3.15</v>
      </c>
      <c r="I64" s="14">
        <f>H64/B3</f>
        <v>0.315</v>
      </c>
      <c r="J64" s="2">
        <v>0.0</v>
      </c>
      <c r="K64" s="2">
        <v>0.0</v>
      </c>
      <c r="L64" s="2">
        <v>0.0</v>
      </c>
    </row>
    <row r="65">
      <c r="A65" s="12">
        <v>45809.0</v>
      </c>
      <c r="B65" s="6" t="s">
        <v>63</v>
      </c>
      <c r="C65" s="2">
        <v>0.7</v>
      </c>
      <c r="D65" s="16">
        <f t="shared" si="3"/>
        <v>4.46</v>
      </c>
      <c r="E65" s="17">
        <f>D65/B1</f>
        <v>0.446</v>
      </c>
      <c r="F65" s="16">
        <f t="shared" si="4"/>
        <v>1.98</v>
      </c>
      <c r="G65" s="17">
        <f>F65/B2</f>
        <v>0.198</v>
      </c>
      <c r="H65" s="15">
        <f t="shared" si="5"/>
        <v>2.45</v>
      </c>
      <c r="I65" s="14">
        <f>H65/B3</f>
        <v>0.245</v>
      </c>
      <c r="J65" s="2">
        <v>0.0</v>
      </c>
      <c r="K65" s="2">
        <v>0.0</v>
      </c>
      <c r="L65" s="2">
        <v>0.0</v>
      </c>
    </row>
    <row r="66">
      <c r="A66" s="12">
        <v>45810.0</v>
      </c>
      <c r="B66" s="6" t="s">
        <v>61</v>
      </c>
      <c r="C66" s="2">
        <v>0.0</v>
      </c>
      <c r="D66" s="16">
        <f t="shared" si="3"/>
        <v>4.46</v>
      </c>
      <c r="E66" s="17">
        <f>D66/B1</f>
        <v>0.446</v>
      </c>
      <c r="F66" s="16">
        <f t="shared" si="4"/>
        <v>1.98</v>
      </c>
      <c r="G66" s="17">
        <f>F66/B2</f>
        <v>0.198</v>
      </c>
      <c r="H66" s="15">
        <f t="shared" si="5"/>
        <v>2.45</v>
      </c>
      <c r="I66" s="14">
        <f>H66/B3</f>
        <v>0.245</v>
      </c>
      <c r="J66" s="2">
        <v>0.0</v>
      </c>
      <c r="K66" s="2">
        <v>0.0</v>
      </c>
      <c r="L66" s="2">
        <v>0.0</v>
      </c>
    </row>
    <row r="67">
      <c r="A67" s="12">
        <v>45810.0</v>
      </c>
      <c r="B67" s="6" t="s">
        <v>62</v>
      </c>
      <c r="C67" s="2">
        <v>0.94</v>
      </c>
      <c r="D67" s="16">
        <f t="shared" si="3"/>
        <v>4.46</v>
      </c>
      <c r="E67" s="17">
        <f>D67/B1</f>
        <v>0.446</v>
      </c>
      <c r="F67" s="16">
        <f t="shared" si="4"/>
        <v>1.04</v>
      </c>
      <c r="G67" s="17">
        <f>F67/B2</f>
        <v>0.104</v>
      </c>
      <c r="H67" s="15">
        <f t="shared" si="5"/>
        <v>2.45</v>
      </c>
      <c r="I67" s="14">
        <f>H67/B3</f>
        <v>0.245</v>
      </c>
      <c r="J67" s="2">
        <v>0.0</v>
      </c>
      <c r="K67" s="2">
        <v>0.0</v>
      </c>
      <c r="L67" s="2">
        <v>0.0</v>
      </c>
    </row>
    <row r="68">
      <c r="A68" s="12">
        <v>45810.0</v>
      </c>
      <c r="B68" s="6" t="s">
        <v>63</v>
      </c>
      <c r="C68" s="2">
        <v>1.11</v>
      </c>
      <c r="D68" s="16">
        <f t="shared" si="3"/>
        <v>4.46</v>
      </c>
      <c r="E68" s="17">
        <f>D68/B1</f>
        <v>0.446</v>
      </c>
      <c r="F68" s="16">
        <f t="shared" si="4"/>
        <v>1.04</v>
      </c>
      <c r="G68" s="17">
        <f>F68/B2</f>
        <v>0.104</v>
      </c>
      <c r="H68" s="15">
        <f t="shared" si="5"/>
        <v>1.34</v>
      </c>
      <c r="I68" s="14">
        <f>H68/B3</f>
        <v>0.134</v>
      </c>
      <c r="J68" s="2">
        <v>0.0</v>
      </c>
      <c r="K68" s="2">
        <v>0.0</v>
      </c>
      <c r="L68" s="2">
        <v>0.0</v>
      </c>
    </row>
    <row r="69">
      <c r="A69" s="12">
        <v>45811.0</v>
      </c>
      <c r="B69" s="6" t="s">
        <v>61</v>
      </c>
      <c r="C69" s="2">
        <v>1.13</v>
      </c>
      <c r="D69" s="16">
        <f t="shared" si="3"/>
        <v>3.33</v>
      </c>
      <c r="E69" s="17">
        <f>D69/B1</f>
        <v>0.333</v>
      </c>
      <c r="F69" s="16">
        <f t="shared" si="4"/>
        <v>1.04</v>
      </c>
      <c r="G69" s="17">
        <f>F69/B2</f>
        <v>0.104</v>
      </c>
      <c r="H69" s="15">
        <f t="shared" si="5"/>
        <v>1.34</v>
      </c>
      <c r="I69" s="14">
        <f>H69/B3</f>
        <v>0.134</v>
      </c>
      <c r="J69" s="2">
        <v>0.0</v>
      </c>
      <c r="K69" s="2">
        <v>0.0</v>
      </c>
      <c r="L69" s="2">
        <v>0.0</v>
      </c>
    </row>
    <row r="70">
      <c r="A70" s="12">
        <v>45811.0</v>
      </c>
      <c r="B70" s="6" t="s">
        <v>62</v>
      </c>
      <c r="C70" s="2">
        <v>0.64</v>
      </c>
      <c r="D70" s="16">
        <f t="shared" si="3"/>
        <v>3.33</v>
      </c>
      <c r="E70" s="17">
        <f>D70/B1</f>
        <v>0.333</v>
      </c>
      <c r="F70" s="16">
        <f t="shared" si="4"/>
        <v>0.4</v>
      </c>
      <c r="G70" s="17">
        <f>F70/B2</f>
        <v>0.04</v>
      </c>
      <c r="H70" s="15">
        <f t="shared" si="5"/>
        <v>1.34</v>
      </c>
      <c r="I70" s="14">
        <f>H70/B3</f>
        <v>0.134</v>
      </c>
      <c r="J70" s="2">
        <v>0.0</v>
      </c>
      <c r="K70" s="2">
        <v>0.0</v>
      </c>
      <c r="L70" s="2">
        <v>0.0</v>
      </c>
    </row>
    <row r="71">
      <c r="A71" s="12">
        <v>45811.0</v>
      </c>
      <c r="B71" s="6" t="s">
        <v>63</v>
      </c>
      <c r="C71" s="2">
        <v>0.0</v>
      </c>
      <c r="D71" s="16">
        <f t="shared" si="3"/>
        <v>3.33</v>
      </c>
      <c r="E71" s="17">
        <f>D71/B1</f>
        <v>0.333</v>
      </c>
      <c r="F71" s="16">
        <f t="shared" si="4"/>
        <v>0.4</v>
      </c>
      <c r="G71" s="17">
        <f>F71/B2</f>
        <v>0.04</v>
      </c>
      <c r="H71" s="15">
        <f t="shared" si="5"/>
        <v>1.34</v>
      </c>
      <c r="I71" s="14">
        <f>H71/B3</f>
        <v>0.134</v>
      </c>
      <c r="J71" s="2">
        <v>0.0</v>
      </c>
      <c r="K71" s="2">
        <v>0.0</v>
      </c>
      <c r="L71" s="2">
        <v>0.0</v>
      </c>
    </row>
    <row r="72">
      <c r="A72" s="12">
        <v>45812.0</v>
      </c>
      <c r="B72" s="6" t="s">
        <v>61</v>
      </c>
      <c r="C72" s="2">
        <v>0.0</v>
      </c>
      <c r="D72" s="16">
        <f t="shared" si="3"/>
        <v>3.33</v>
      </c>
      <c r="E72" s="17">
        <f>D72/B1</f>
        <v>0.333</v>
      </c>
      <c r="F72" s="16">
        <f t="shared" si="4"/>
        <v>0.4</v>
      </c>
      <c r="G72" s="17">
        <f>F72/B2</f>
        <v>0.04</v>
      </c>
      <c r="H72" s="15">
        <f t="shared" si="5"/>
        <v>1.34</v>
      </c>
      <c r="I72" s="14">
        <f>H72/B3</f>
        <v>0.134</v>
      </c>
      <c r="J72" s="2">
        <v>0.0</v>
      </c>
      <c r="K72" s="2">
        <v>0.0</v>
      </c>
      <c r="L72" s="2">
        <v>0.0</v>
      </c>
    </row>
    <row r="73">
      <c r="A73" s="12">
        <v>45812.0</v>
      </c>
      <c r="B73" s="6" t="s">
        <v>62</v>
      </c>
      <c r="C73" s="2">
        <v>0.0</v>
      </c>
      <c r="D73" s="16">
        <f t="shared" si="3"/>
        <v>3.33</v>
      </c>
      <c r="E73" s="17">
        <f>D73/B1</f>
        <v>0.333</v>
      </c>
      <c r="F73" s="16">
        <f t="shared" si="4"/>
        <v>0.4</v>
      </c>
      <c r="G73" s="17">
        <f>F73/B2</f>
        <v>0.04</v>
      </c>
      <c r="H73" s="15">
        <f t="shared" si="5"/>
        <v>1.34</v>
      </c>
      <c r="I73" s="14">
        <f>H73/B3</f>
        <v>0.134</v>
      </c>
      <c r="J73" s="2">
        <v>0.0</v>
      </c>
      <c r="K73" s="2">
        <v>0.0</v>
      </c>
      <c r="L73" s="2">
        <v>0.0</v>
      </c>
    </row>
    <row r="74">
      <c r="A74" s="12">
        <v>45812.0</v>
      </c>
      <c r="B74" s="6" t="s">
        <v>63</v>
      </c>
      <c r="C74" s="2">
        <v>0.0</v>
      </c>
      <c r="D74" s="16">
        <f t="shared" si="3"/>
        <v>3.33</v>
      </c>
      <c r="E74" s="17">
        <f>D74/B1</f>
        <v>0.333</v>
      </c>
      <c r="F74" s="16">
        <f t="shared" si="4"/>
        <v>0.4</v>
      </c>
      <c r="G74" s="17">
        <f>F74/B2</f>
        <v>0.04</v>
      </c>
      <c r="H74" s="15">
        <f t="shared" si="5"/>
        <v>1.34</v>
      </c>
      <c r="I74" s="14">
        <f>H74/B3</f>
        <v>0.134</v>
      </c>
      <c r="J74" s="2">
        <v>0.0</v>
      </c>
      <c r="K74" s="2">
        <v>0.0</v>
      </c>
      <c r="L74" s="2">
        <v>0.0</v>
      </c>
    </row>
    <row r="75">
      <c r="A75" s="12">
        <v>45813.0</v>
      </c>
      <c r="B75" s="6" t="s">
        <v>61</v>
      </c>
      <c r="C75" s="2">
        <v>0.0</v>
      </c>
      <c r="D75" s="16">
        <f t="shared" si="3"/>
        <v>3.33</v>
      </c>
      <c r="E75" s="17">
        <f>D75/B1</f>
        <v>0.333</v>
      </c>
      <c r="F75" s="16">
        <f t="shared" si="4"/>
        <v>0.4</v>
      </c>
      <c r="G75" s="17">
        <f>F75/B2</f>
        <v>0.04</v>
      </c>
      <c r="H75" s="15">
        <f t="shared" si="5"/>
        <v>1.34</v>
      </c>
      <c r="I75" s="14">
        <f>H75/B3</f>
        <v>0.134</v>
      </c>
      <c r="J75" s="2">
        <v>0.0</v>
      </c>
      <c r="K75" s="2">
        <v>0.0</v>
      </c>
      <c r="L75" s="2">
        <v>0.0</v>
      </c>
    </row>
    <row r="76">
      <c r="A76" s="12">
        <v>45813.0</v>
      </c>
      <c r="B76" s="6" t="s">
        <v>62</v>
      </c>
      <c r="C76" s="2">
        <v>0.4</v>
      </c>
      <c r="D76" s="16">
        <f t="shared" si="3"/>
        <v>3.33</v>
      </c>
      <c r="E76" s="17">
        <f>D76/B1</f>
        <v>0.333</v>
      </c>
      <c r="F76" s="16">
        <f t="shared" si="4"/>
        <v>0</v>
      </c>
      <c r="G76" s="17">
        <f>F76/B2</f>
        <v>0</v>
      </c>
      <c r="H76" s="15">
        <f t="shared" si="5"/>
        <v>1.34</v>
      </c>
      <c r="I76" s="14">
        <f>H76/B3</f>
        <v>0.134</v>
      </c>
      <c r="J76" s="2">
        <v>0.0</v>
      </c>
      <c r="K76" s="2">
        <v>0.0</v>
      </c>
      <c r="L76" s="2">
        <v>0.0</v>
      </c>
    </row>
    <row r="77">
      <c r="A77" s="12">
        <v>45813.0</v>
      </c>
      <c r="B77" s="6" t="s">
        <v>63</v>
      </c>
      <c r="C77" s="2">
        <v>0.75</v>
      </c>
      <c r="D77" s="16">
        <f t="shared" si="3"/>
        <v>3.33</v>
      </c>
      <c r="E77" s="17">
        <f>D77/B1</f>
        <v>0.333</v>
      </c>
      <c r="F77" s="16">
        <f t="shared" si="4"/>
        <v>0</v>
      </c>
      <c r="G77" s="17">
        <f>F77/B2</f>
        <v>0</v>
      </c>
      <c r="H77" s="15">
        <f t="shared" si="5"/>
        <v>0.59</v>
      </c>
      <c r="I77" s="14">
        <f>H77/B3</f>
        <v>0.059</v>
      </c>
      <c r="J77" s="2">
        <v>0.0</v>
      </c>
      <c r="K77" s="2">
        <v>0.0</v>
      </c>
      <c r="L77" s="2">
        <v>0.0</v>
      </c>
    </row>
    <row r="78">
      <c r="A78" s="12">
        <v>45814.0</v>
      </c>
      <c r="B78" s="6" t="s">
        <v>61</v>
      </c>
      <c r="C78" s="2">
        <v>0.66</v>
      </c>
      <c r="D78" s="16">
        <f t="shared" si="3"/>
        <v>2.67</v>
      </c>
      <c r="E78" s="17">
        <f>D78/B1</f>
        <v>0.267</v>
      </c>
      <c r="F78" s="16">
        <f t="shared" si="4"/>
        <v>0</v>
      </c>
      <c r="G78" s="17">
        <f>F78/B2</f>
        <v>0</v>
      </c>
      <c r="H78" s="15">
        <f t="shared" si="5"/>
        <v>0.59</v>
      </c>
      <c r="I78" s="14">
        <f>H78/B3</f>
        <v>0.059</v>
      </c>
      <c r="J78" s="2">
        <v>0.0</v>
      </c>
      <c r="K78" s="2">
        <v>0.0</v>
      </c>
      <c r="L78" s="2">
        <v>0.0</v>
      </c>
    </row>
    <row r="79">
      <c r="A79" s="12">
        <v>45814.0</v>
      </c>
      <c r="B79" s="6" t="s">
        <v>62</v>
      </c>
      <c r="C79" s="2">
        <v>0.0</v>
      </c>
      <c r="D79" s="16">
        <f t="shared" si="3"/>
        <v>2.67</v>
      </c>
      <c r="E79" s="17">
        <f>D79/B1</f>
        <v>0.267</v>
      </c>
      <c r="F79" s="16">
        <f t="shared" si="4"/>
        <v>0</v>
      </c>
      <c r="G79" s="17">
        <f>F79/B2</f>
        <v>0</v>
      </c>
      <c r="H79" s="15">
        <f t="shared" si="5"/>
        <v>0.59</v>
      </c>
      <c r="I79" s="14">
        <f>H79/B3</f>
        <v>0.059</v>
      </c>
      <c r="J79" s="2">
        <v>0.0</v>
      </c>
      <c r="K79" s="2">
        <v>0.0</v>
      </c>
      <c r="L79" s="2">
        <v>0.0</v>
      </c>
    </row>
    <row r="80">
      <c r="A80" s="12">
        <v>45814.0</v>
      </c>
      <c r="B80" s="6" t="s">
        <v>63</v>
      </c>
      <c r="C80" s="2">
        <v>0.59</v>
      </c>
      <c r="D80" s="16">
        <f t="shared" si="3"/>
        <v>2.67</v>
      </c>
      <c r="E80" s="17">
        <f>D80/B1</f>
        <v>0.267</v>
      </c>
      <c r="F80" s="16">
        <f t="shared" si="4"/>
        <v>0</v>
      </c>
      <c r="G80" s="17">
        <f>F80/B2</f>
        <v>0</v>
      </c>
      <c r="H80" s="15">
        <f t="shared" si="5"/>
        <v>0</v>
      </c>
      <c r="I80" s="14">
        <f>H80/B3</f>
        <v>0</v>
      </c>
      <c r="J80" s="2">
        <v>0.0</v>
      </c>
      <c r="K80" s="2">
        <v>0.0</v>
      </c>
      <c r="L80" s="2">
        <v>0.0</v>
      </c>
    </row>
    <row r="81">
      <c r="A81" s="12">
        <v>45815.0</v>
      </c>
      <c r="B81" s="6" t="s">
        <v>61</v>
      </c>
      <c r="C81" s="2">
        <v>1.24</v>
      </c>
      <c r="D81" s="16">
        <f t="shared" si="3"/>
        <v>1.43</v>
      </c>
      <c r="E81" s="17">
        <f>D81/B1</f>
        <v>0.143</v>
      </c>
      <c r="F81" s="16">
        <f t="shared" si="4"/>
        <v>0</v>
      </c>
      <c r="G81" s="17">
        <f>F81/B2</f>
        <v>0</v>
      </c>
      <c r="H81" s="15">
        <f t="shared" si="5"/>
        <v>0</v>
      </c>
      <c r="I81" s="14">
        <f>H81/B3</f>
        <v>0</v>
      </c>
      <c r="J81" s="2">
        <v>0.0</v>
      </c>
      <c r="K81" s="2">
        <v>0.0</v>
      </c>
      <c r="L81" s="2">
        <v>0.0</v>
      </c>
    </row>
    <row r="82">
      <c r="A82" s="12">
        <v>45815.0</v>
      </c>
      <c r="B82" s="6" t="s">
        <v>62</v>
      </c>
      <c r="C82" s="2">
        <v>0.0</v>
      </c>
      <c r="D82" s="16">
        <f t="shared" si="3"/>
        <v>1.43</v>
      </c>
      <c r="E82" s="17">
        <f>D82/B1</f>
        <v>0.143</v>
      </c>
      <c r="F82" s="16">
        <f t="shared" si="4"/>
        <v>0</v>
      </c>
      <c r="G82" s="17">
        <f>F82/B2</f>
        <v>0</v>
      </c>
      <c r="H82" s="15">
        <f t="shared" si="5"/>
        <v>0</v>
      </c>
      <c r="I82" s="14">
        <f>H82/B3</f>
        <v>0</v>
      </c>
      <c r="J82" s="2">
        <v>0.0</v>
      </c>
      <c r="K82" s="2">
        <v>0.0</v>
      </c>
      <c r="L82" s="2">
        <v>0.0</v>
      </c>
    </row>
    <row r="83">
      <c r="A83" s="12">
        <v>45815.0</v>
      </c>
      <c r="B83" s="6" t="s">
        <v>63</v>
      </c>
      <c r="C83" s="2">
        <v>0.0</v>
      </c>
      <c r="D83" s="16">
        <f t="shared" si="3"/>
        <v>1.43</v>
      </c>
      <c r="E83" s="17">
        <f>D83/B1</f>
        <v>0.143</v>
      </c>
      <c r="F83" s="16">
        <f t="shared" si="4"/>
        <v>0</v>
      </c>
      <c r="G83" s="17">
        <f>F83/B2</f>
        <v>0</v>
      </c>
      <c r="H83" s="15">
        <f t="shared" si="5"/>
        <v>0</v>
      </c>
      <c r="I83" s="14">
        <f>H83/B3</f>
        <v>0</v>
      </c>
      <c r="J83" s="2">
        <v>0.0</v>
      </c>
      <c r="K83" s="2">
        <v>0.0</v>
      </c>
      <c r="L83" s="2">
        <v>0.0</v>
      </c>
    </row>
    <row r="84">
      <c r="A84" s="12">
        <v>45816.0</v>
      </c>
      <c r="B84" s="6" t="s">
        <v>61</v>
      </c>
      <c r="C84" s="2">
        <v>0.0</v>
      </c>
      <c r="D84" s="16">
        <f t="shared" si="3"/>
        <v>1.43</v>
      </c>
      <c r="E84" s="17">
        <f>D84/B1</f>
        <v>0.143</v>
      </c>
      <c r="F84" s="16">
        <f t="shared" si="4"/>
        <v>0</v>
      </c>
      <c r="G84" s="17">
        <f>F84/B2</f>
        <v>0</v>
      </c>
      <c r="H84" s="15">
        <f t="shared" si="5"/>
        <v>0</v>
      </c>
      <c r="I84" s="14">
        <f>H84/B3</f>
        <v>0</v>
      </c>
      <c r="J84" s="2">
        <v>0.0</v>
      </c>
      <c r="K84" s="2">
        <v>0.0</v>
      </c>
      <c r="L84" s="2">
        <v>0.0</v>
      </c>
    </row>
    <row r="85">
      <c r="A85" s="12">
        <v>45816.0</v>
      </c>
      <c r="B85" s="6" t="s">
        <v>62</v>
      </c>
      <c r="C85" s="2">
        <v>0.0</v>
      </c>
      <c r="D85" s="16">
        <f t="shared" si="3"/>
        <v>1.43</v>
      </c>
      <c r="E85" s="17">
        <f>D85/B1</f>
        <v>0.143</v>
      </c>
      <c r="F85" s="16">
        <f t="shared" si="4"/>
        <v>0</v>
      </c>
      <c r="G85" s="17">
        <f>F85/B2</f>
        <v>0</v>
      </c>
      <c r="H85" s="15">
        <f t="shared" si="5"/>
        <v>0</v>
      </c>
      <c r="I85" s="14">
        <f>H85/B3</f>
        <v>0</v>
      </c>
      <c r="J85" s="2">
        <v>0.0</v>
      </c>
      <c r="K85" s="2">
        <v>0.0</v>
      </c>
      <c r="L85" s="2">
        <v>0.0</v>
      </c>
    </row>
    <row r="86">
      <c r="A86" s="12">
        <v>45816.0</v>
      </c>
      <c r="B86" s="6" t="s">
        <v>63</v>
      </c>
      <c r="C86" s="2">
        <v>0.0</v>
      </c>
      <c r="D86" s="16">
        <f t="shared" si="3"/>
        <v>1.43</v>
      </c>
      <c r="E86" s="17">
        <f>D86/B1</f>
        <v>0.143</v>
      </c>
      <c r="F86" s="16">
        <f t="shared" si="4"/>
        <v>0</v>
      </c>
      <c r="G86" s="17">
        <f>F86/B2</f>
        <v>0</v>
      </c>
      <c r="H86" s="15">
        <f t="shared" si="5"/>
        <v>0</v>
      </c>
      <c r="I86" s="14">
        <f>H86/B3</f>
        <v>0</v>
      </c>
      <c r="J86" s="2">
        <v>0.0</v>
      </c>
      <c r="K86" s="2">
        <v>0.0</v>
      </c>
      <c r="L86" s="2">
        <v>0.0</v>
      </c>
    </row>
    <row r="87">
      <c r="A87" s="12">
        <v>45817.0</v>
      </c>
      <c r="B87" s="6" t="s">
        <v>61</v>
      </c>
      <c r="C87" s="2">
        <v>1.43</v>
      </c>
      <c r="D87" s="16">
        <f t="shared" si="3"/>
        <v>0</v>
      </c>
      <c r="E87" s="17">
        <f>D87/B1</f>
        <v>0</v>
      </c>
      <c r="F87" s="16">
        <f t="shared" si="4"/>
        <v>0</v>
      </c>
      <c r="G87" s="17">
        <f>F87/B2</f>
        <v>0</v>
      </c>
      <c r="H87" s="15">
        <f t="shared" si="5"/>
        <v>0</v>
      </c>
      <c r="I87" s="14">
        <f>H87/B3</f>
        <v>0</v>
      </c>
      <c r="J87" s="2">
        <v>0.0</v>
      </c>
      <c r="K87" s="2">
        <v>0.0</v>
      </c>
      <c r="L87" s="2">
        <v>0.0</v>
      </c>
    </row>
    <row r="88">
      <c r="A88" s="12">
        <v>45817.0</v>
      </c>
      <c r="B88" s="6" t="s">
        <v>62</v>
      </c>
      <c r="C88" s="2">
        <v>0.0</v>
      </c>
      <c r="D88" s="16">
        <f t="shared" si="3"/>
        <v>0</v>
      </c>
      <c r="E88" s="17">
        <f>D88/B1</f>
        <v>0</v>
      </c>
      <c r="F88" s="16">
        <f t="shared" si="4"/>
        <v>0</v>
      </c>
      <c r="G88" s="17">
        <f>F88/B2</f>
        <v>0</v>
      </c>
      <c r="H88" s="15">
        <f t="shared" si="5"/>
        <v>0</v>
      </c>
      <c r="I88" s="14">
        <f>H88/B3</f>
        <v>0</v>
      </c>
      <c r="J88" s="2">
        <v>0.0</v>
      </c>
      <c r="K88" s="2">
        <v>0.0</v>
      </c>
      <c r="L88" s="2">
        <v>0.0</v>
      </c>
    </row>
    <row r="89">
      <c r="A89" s="12">
        <v>45817.0</v>
      </c>
      <c r="B89" s="6" t="s">
        <v>63</v>
      </c>
      <c r="C89" s="2">
        <v>0.0</v>
      </c>
      <c r="D89" s="16">
        <f t="shared" si="3"/>
        <v>0</v>
      </c>
      <c r="E89" s="17">
        <f>D89/B1</f>
        <v>0</v>
      </c>
      <c r="F89" s="16">
        <f t="shared" si="4"/>
        <v>0</v>
      </c>
      <c r="G89" s="17">
        <f>F89/B2</f>
        <v>0</v>
      </c>
      <c r="H89" s="15">
        <f t="shared" si="5"/>
        <v>0</v>
      </c>
      <c r="I89" s="14">
        <f>H89/B3</f>
        <v>0</v>
      </c>
      <c r="J89" s="2">
        <v>0.0</v>
      </c>
      <c r="K89" s="2">
        <v>0.0</v>
      </c>
      <c r="L89" s="2">
        <v>0.0</v>
      </c>
    </row>
  </sheetData>
  <dataValidations>
    <dataValidation type="list" allowBlank="1" showErrorMessage="1" sqref="B6:B89">
      <formula1>"WW,FLA,MAC1+"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60.13"/>
    <col customWidth="1" min="2" max="2" width="22.63"/>
    <col customWidth="1" min="3" max="3" width="10.25"/>
    <col customWidth="1" min="4" max="4" width="17.0"/>
    <col customWidth="1" min="5" max="5" width="15.0"/>
    <col customWidth="1" min="6" max="6" width="17.0"/>
    <col customWidth="1" min="7" max="7" width="16.13"/>
    <col customWidth="1" min="8" max="9" width="16.38"/>
    <col customWidth="1" min="10" max="10" width="12.63"/>
    <col customWidth="1" min="11" max="11" width="14.88"/>
    <col customWidth="1" min="12" max="12" width="13.0"/>
  </cols>
  <sheetData>
    <row r="1">
      <c r="A1" s="1" t="s">
        <v>71</v>
      </c>
      <c r="B1" s="2">
        <v>10.0</v>
      </c>
      <c r="C1" s="2">
        <f>D89</f>
        <v>0</v>
      </c>
      <c r="D1" s="5">
        <f t="shared" ref="D1:D4" si="1">C1/B1</f>
        <v>0</v>
      </c>
      <c r="G1" s="1" t="s">
        <v>1</v>
      </c>
      <c r="H1" s="3">
        <f>IFERROR(__xludf.DUMMYFUNCTION("COUNTUNIQUE(A6:A47)"),14.0)</f>
        <v>14</v>
      </c>
      <c r="I1" s="3"/>
      <c r="J1" s="6"/>
      <c r="K1" s="3"/>
      <c r="L1" s="3"/>
      <c r="M1" s="7"/>
      <c r="N1" s="7"/>
    </row>
    <row r="2">
      <c r="A2" s="1" t="s">
        <v>75</v>
      </c>
      <c r="B2" s="2">
        <v>10.0</v>
      </c>
      <c r="C2" s="4">
        <f>F89</f>
        <v>0</v>
      </c>
      <c r="D2" s="5">
        <f t="shared" si="1"/>
        <v>0</v>
      </c>
      <c r="G2" s="1" t="s">
        <v>5</v>
      </c>
      <c r="H2" s="3">
        <f>(B1+B2+B3)/F4</f>
        <v>14</v>
      </c>
      <c r="I2" s="3"/>
      <c r="J2" s="3"/>
      <c r="K2" s="3"/>
      <c r="L2" s="3"/>
      <c r="M2" s="7"/>
      <c r="N2" s="7"/>
    </row>
    <row r="3">
      <c r="A3" s="1" t="s">
        <v>76</v>
      </c>
      <c r="B3" s="2">
        <v>10.0</v>
      </c>
      <c r="C3" s="4">
        <f>H89</f>
        <v>0</v>
      </c>
      <c r="D3" s="8">
        <f t="shared" si="1"/>
        <v>0</v>
      </c>
      <c r="E3" s="3"/>
      <c r="F3" s="6"/>
      <c r="G3" s="3"/>
      <c r="H3" s="3"/>
      <c r="I3" s="3"/>
      <c r="J3" s="3"/>
      <c r="K3" s="3"/>
      <c r="L3" s="3"/>
      <c r="M3" s="7"/>
      <c r="N3" s="7"/>
    </row>
    <row r="4">
      <c r="A4" s="3"/>
      <c r="B4" s="9">
        <f t="shared" ref="B4:C4" si="2">SUM(B1:B3)</f>
        <v>30</v>
      </c>
      <c r="C4" s="9">
        <f t="shared" si="2"/>
        <v>0</v>
      </c>
      <c r="D4" s="5">
        <f t="shared" si="1"/>
        <v>0</v>
      </c>
      <c r="E4" s="1" t="s">
        <v>7</v>
      </c>
      <c r="F4" s="3">
        <f>SUM(C6:C47)/H1</f>
        <v>2.142857143</v>
      </c>
      <c r="G4" s="3"/>
      <c r="H4" s="3"/>
      <c r="I4" s="3"/>
      <c r="J4" s="3"/>
      <c r="K4" s="3"/>
      <c r="L4" s="3"/>
      <c r="M4" s="7"/>
      <c r="N4" s="7"/>
    </row>
    <row r="5">
      <c r="A5" s="10" t="s">
        <v>8</v>
      </c>
      <c r="B5" s="10" t="s">
        <v>9</v>
      </c>
      <c r="C5" s="10" t="s">
        <v>10</v>
      </c>
      <c r="D5" s="10" t="s">
        <v>23</v>
      </c>
      <c r="E5" s="10" t="s">
        <v>23</v>
      </c>
      <c r="F5" s="10" t="s">
        <v>77</v>
      </c>
      <c r="G5" s="10" t="s">
        <v>77</v>
      </c>
      <c r="H5" s="10" t="s">
        <v>78</v>
      </c>
      <c r="I5" s="10" t="s">
        <v>78</v>
      </c>
      <c r="J5" s="10" t="s">
        <v>25</v>
      </c>
      <c r="K5" s="10" t="s">
        <v>79</v>
      </c>
      <c r="L5" s="10" t="s">
        <v>80</v>
      </c>
      <c r="M5" s="7"/>
      <c r="N5" s="7"/>
    </row>
    <row r="6">
      <c r="A6" s="12">
        <v>45818.0</v>
      </c>
      <c r="B6" s="6" t="s">
        <v>61</v>
      </c>
      <c r="C6" s="2">
        <v>1.0</v>
      </c>
      <c r="D6" s="4">
        <f>IF(B6="WW",B1-C6,B1)</f>
        <v>9</v>
      </c>
      <c r="E6" s="13">
        <f>D6/B1</f>
        <v>0.9</v>
      </c>
      <c r="F6" s="2">
        <f>IF(B6="FLA",B2-C6,B2)</f>
        <v>10</v>
      </c>
      <c r="G6" s="14">
        <f>F6/B2</f>
        <v>1</v>
      </c>
      <c r="H6" s="15">
        <f>IF(B6="MAC1+",B3-C6,B3)</f>
        <v>10</v>
      </c>
      <c r="I6" s="14">
        <f>H6/B3</f>
        <v>1</v>
      </c>
      <c r="J6" s="2">
        <v>0.0</v>
      </c>
      <c r="K6" s="2">
        <v>0.0</v>
      </c>
      <c r="L6" s="2">
        <v>0.0</v>
      </c>
      <c r="M6" s="7"/>
      <c r="N6" s="7"/>
    </row>
    <row r="7">
      <c r="A7" s="12">
        <v>45818.0</v>
      </c>
      <c r="B7" s="6" t="s">
        <v>62</v>
      </c>
      <c r="C7" s="2">
        <v>0.7</v>
      </c>
      <c r="D7" s="16">
        <f t="shared" ref="D7:D89" si="3">IF(B7="WW",D6-C7,D6)</f>
        <v>9</v>
      </c>
      <c r="E7" s="17">
        <f>D7/B1</f>
        <v>0.9</v>
      </c>
      <c r="F7" s="16">
        <f t="shared" ref="F7:F89" si="4">IF(B7="FLA",F6-C7,F6)</f>
        <v>9.3</v>
      </c>
      <c r="G7" s="17">
        <f>F7/B2</f>
        <v>0.93</v>
      </c>
      <c r="H7" s="15">
        <f t="shared" ref="H7:H89" si="5">IF(B7="MAC1+",H6-C7,H6)</f>
        <v>10</v>
      </c>
      <c r="I7" s="14">
        <f>H7/B3</f>
        <v>1</v>
      </c>
      <c r="J7" s="2">
        <v>0.0</v>
      </c>
      <c r="K7" s="2">
        <v>0.0</v>
      </c>
      <c r="L7" s="2">
        <v>0.0</v>
      </c>
      <c r="M7" s="7"/>
      <c r="N7" s="7"/>
    </row>
    <row r="8">
      <c r="A8" s="12">
        <v>45818.0</v>
      </c>
      <c r="B8" s="6" t="s">
        <v>63</v>
      </c>
      <c r="C8" s="2">
        <v>0.56</v>
      </c>
      <c r="D8" s="16">
        <f t="shared" si="3"/>
        <v>9</v>
      </c>
      <c r="E8" s="17">
        <f>D8/B1</f>
        <v>0.9</v>
      </c>
      <c r="F8" s="16">
        <f t="shared" si="4"/>
        <v>9.3</v>
      </c>
      <c r="G8" s="17">
        <f>F8/B2</f>
        <v>0.93</v>
      </c>
      <c r="H8" s="15">
        <f t="shared" si="5"/>
        <v>9.44</v>
      </c>
      <c r="I8" s="14">
        <f>H8/B3</f>
        <v>0.944</v>
      </c>
      <c r="J8" s="2">
        <v>0.0</v>
      </c>
      <c r="K8" s="2">
        <v>0.0</v>
      </c>
      <c r="L8" s="2">
        <v>0.0</v>
      </c>
      <c r="M8" s="7"/>
      <c r="N8" s="7"/>
    </row>
    <row r="9">
      <c r="A9" s="12">
        <v>45819.0</v>
      </c>
      <c r="B9" s="6" t="s">
        <v>61</v>
      </c>
      <c r="C9" s="2">
        <v>1.0</v>
      </c>
      <c r="D9" s="16">
        <f t="shared" si="3"/>
        <v>8</v>
      </c>
      <c r="E9" s="17">
        <f>D9/B1</f>
        <v>0.8</v>
      </c>
      <c r="F9" s="16">
        <f t="shared" si="4"/>
        <v>9.3</v>
      </c>
      <c r="G9" s="17">
        <f>F9/B2</f>
        <v>0.93</v>
      </c>
      <c r="H9" s="15">
        <f t="shared" si="5"/>
        <v>9.44</v>
      </c>
      <c r="I9" s="14">
        <f>H9/B3</f>
        <v>0.944</v>
      </c>
      <c r="J9" s="2">
        <v>0.0</v>
      </c>
      <c r="K9" s="2">
        <v>0.0</v>
      </c>
      <c r="L9" s="2">
        <v>0.0</v>
      </c>
      <c r="M9" s="7"/>
      <c r="N9" s="7"/>
    </row>
    <row r="10">
      <c r="A10" s="12">
        <v>45819.0</v>
      </c>
      <c r="B10" s="6" t="s">
        <v>62</v>
      </c>
      <c r="C10" s="2">
        <v>0.54</v>
      </c>
      <c r="D10" s="16">
        <f t="shared" si="3"/>
        <v>8</v>
      </c>
      <c r="E10" s="17">
        <f>D10/B1</f>
        <v>0.8</v>
      </c>
      <c r="F10" s="16">
        <f t="shared" si="4"/>
        <v>8.76</v>
      </c>
      <c r="G10" s="17">
        <f>F10/B2</f>
        <v>0.876</v>
      </c>
      <c r="H10" s="15">
        <f t="shared" si="5"/>
        <v>9.44</v>
      </c>
      <c r="I10" s="14">
        <f>H10/B3</f>
        <v>0.944</v>
      </c>
      <c r="J10" s="2">
        <v>0.0</v>
      </c>
      <c r="K10" s="2">
        <v>0.0</v>
      </c>
      <c r="L10" s="2">
        <v>0.0</v>
      </c>
      <c r="M10" s="7"/>
      <c r="N10" s="7"/>
    </row>
    <row r="11">
      <c r="A11" s="12">
        <v>45819.0</v>
      </c>
      <c r="B11" s="6" t="s">
        <v>63</v>
      </c>
      <c r="C11" s="2">
        <v>0.52</v>
      </c>
      <c r="D11" s="16">
        <f t="shared" si="3"/>
        <v>8</v>
      </c>
      <c r="E11" s="17">
        <f>D11/B1</f>
        <v>0.8</v>
      </c>
      <c r="F11" s="16">
        <f t="shared" si="4"/>
        <v>8.76</v>
      </c>
      <c r="G11" s="17">
        <f>F11/B2</f>
        <v>0.876</v>
      </c>
      <c r="H11" s="15">
        <f t="shared" si="5"/>
        <v>8.92</v>
      </c>
      <c r="I11" s="14">
        <f>H11/B3</f>
        <v>0.892</v>
      </c>
      <c r="J11" s="2">
        <v>0.0</v>
      </c>
      <c r="K11" s="2">
        <v>0.0</v>
      </c>
      <c r="L11" s="2">
        <v>0.0</v>
      </c>
      <c r="M11" s="7"/>
      <c r="N11" s="7"/>
    </row>
    <row r="12">
      <c r="A12" s="12">
        <v>45820.0</v>
      </c>
      <c r="B12" s="6" t="s">
        <v>61</v>
      </c>
      <c r="C12" s="2">
        <v>1.0</v>
      </c>
      <c r="D12" s="16">
        <f t="shared" si="3"/>
        <v>7</v>
      </c>
      <c r="E12" s="17">
        <f>D12/B1</f>
        <v>0.7</v>
      </c>
      <c r="F12" s="16">
        <f t="shared" si="4"/>
        <v>8.76</v>
      </c>
      <c r="G12" s="17">
        <f>F12/B2</f>
        <v>0.876</v>
      </c>
      <c r="H12" s="15">
        <f t="shared" si="5"/>
        <v>8.92</v>
      </c>
      <c r="I12" s="14">
        <f>H12/B3</f>
        <v>0.892</v>
      </c>
      <c r="J12" s="2">
        <v>0.0</v>
      </c>
      <c r="K12" s="2">
        <v>0.0</v>
      </c>
      <c r="L12" s="2">
        <v>0.0</v>
      </c>
      <c r="M12" s="7"/>
      <c r="N12" s="7"/>
    </row>
    <row r="13">
      <c r="A13" s="12">
        <v>45820.0</v>
      </c>
      <c r="B13" s="6" t="s">
        <v>62</v>
      </c>
      <c r="C13" s="2">
        <v>0.76</v>
      </c>
      <c r="D13" s="16">
        <f t="shared" si="3"/>
        <v>7</v>
      </c>
      <c r="E13" s="17">
        <f>D13/B1</f>
        <v>0.7</v>
      </c>
      <c r="F13" s="16">
        <f t="shared" si="4"/>
        <v>8</v>
      </c>
      <c r="G13" s="17">
        <f>F13/B2</f>
        <v>0.8</v>
      </c>
      <c r="H13" s="15">
        <f t="shared" si="5"/>
        <v>8.92</v>
      </c>
      <c r="I13" s="14">
        <f>H13/B3</f>
        <v>0.892</v>
      </c>
      <c r="J13" s="2">
        <v>0.0</v>
      </c>
      <c r="K13" s="2">
        <v>0.0</v>
      </c>
      <c r="L13" s="2">
        <v>0.0</v>
      </c>
      <c r="M13" s="7"/>
      <c r="N13" s="7"/>
    </row>
    <row r="14">
      <c r="A14" s="12">
        <v>45820.0</v>
      </c>
      <c r="B14" s="6" t="s">
        <v>63</v>
      </c>
      <c r="C14" s="2">
        <v>0.59</v>
      </c>
      <c r="D14" s="16">
        <f t="shared" si="3"/>
        <v>7</v>
      </c>
      <c r="E14" s="17">
        <f>D14/B1</f>
        <v>0.7</v>
      </c>
      <c r="F14" s="16">
        <f t="shared" si="4"/>
        <v>8</v>
      </c>
      <c r="G14" s="17">
        <f>F14/B2</f>
        <v>0.8</v>
      </c>
      <c r="H14" s="15">
        <f t="shared" si="5"/>
        <v>8.33</v>
      </c>
      <c r="I14" s="14">
        <f>H14/B3</f>
        <v>0.833</v>
      </c>
      <c r="J14" s="2">
        <v>0.0</v>
      </c>
      <c r="K14" s="2">
        <v>0.0</v>
      </c>
      <c r="L14" s="2">
        <v>0.0</v>
      </c>
      <c r="M14" s="7"/>
      <c r="N14" s="7"/>
    </row>
    <row r="15">
      <c r="A15" s="12">
        <v>45821.0</v>
      </c>
      <c r="B15" s="6" t="s">
        <v>61</v>
      </c>
      <c r="C15" s="2">
        <v>1.0</v>
      </c>
      <c r="D15" s="16">
        <f t="shared" si="3"/>
        <v>6</v>
      </c>
      <c r="E15" s="17">
        <f>D15/B1</f>
        <v>0.6</v>
      </c>
      <c r="F15" s="16">
        <f t="shared" si="4"/>
        <v>8</v>
      </c>
      <c r="G15" s="17">
        <f>F15/B2</f>
        <v>0.8</v>
      </c>
      <c r="H15" s="15">
        <f t="shared" si="5"/>
        <v>8.33</v>
      </c>
      <c r="I15" s="14">
        <f>H15/B3</f>
        <v>0.833</v>
      </c>
      <c r="J15" s="2">
        <v>0.0</v>
      </c>
      <c r="K15" s="2">
        <v>0.0</v>
      </c>
      <c r="L15" s="2">
        <v>0.0</v>
      </c>
      <c r="M15" s="7"/>
      <c r="N15" s="7"/>
    </row>
    <row r="16">
      <c r="A16" s="12">
        <v>45821.0</v>
      </c>
      <c r="B16" s="6" t="s">
        <v>62</v>
      </c>
      <c r="C16" s="2">
        <v>0.62</v>
      </c>
      <c r="D16" s="16">
        <f t="shared" si="3"/>
        <v>6</v>
      </c>
      <c r="E16" s="17">
        <f>D16/B1</f>
        <v>0.6</v>
      </c>
      <c r="F16" s="16">
        <f t="shared" si="4"/>
        <v>7.38</v>
      </c>
      <c r="G16" s="17">
        <f>F16/B2</f>
        <v>0.738</v>
      </c>
      <c r="H16" s="15">
        <f t="shared" si="5"/>
        <v>8.33</v>
      </c>
      <c r="I16" s="14">
        <f>H16/B3</f>
        <v>0.833</v>
      </c>
      <c r="J16" s="2">
        <v>0.0</v>
      </c>
      <c r="K16" s="2">
        <v>0.0</v>
      </c>
      <c r="L16" s="2">
        <v>0.0</v>
      </c>
      <c r="M16" s="7"/>
      <c r="N16" s="7"/>
    </row>
    <row r="17">
      <c r="A17" s="12">
        <v>45821.0</v>
      </c>
      <c r="B17" s="6" t="s">
        <v>63</v>
      </c>
      <c r="C17" s="2">
        <v>0.62</v>
      </c>
      <c r="D17" s="16">
        <f t="shared" si="3"/>
        <v>6</v>
      </c>
      <c r="E17" s="17">
        <f>D17/B1</f>
        <v>0.6</v>
      </c>
      <c r="F17" s="16">
        <f t="shared" si="4"/>
        <v>7.38</v>
      </c>
      <c r="G17" s="17">
        <f>F17/B2</f>
        <v>0.738</v>
      </c>
      <c r="H17" s="15">
        <f t="shared" si="5"/>
        <v>7.71</v>
      </c>
      <c r="I17" s="14">
        <f>H17/B3</f>
        <v>0.771</v>
      </c>
      <c r="J17" s="2">
        <v>0.0</v>
      </c>
      <c r="K17" s="2">
        <v>0.0</v>
      </c>
      <c r="L17" s="2">
        <v>0.0</v>
      </c>
      <c r="M17" s="7"/>
      <c r="N17" s="7"/>
    </row>
    <row r="18">
      <c r="A18" s="12">
        <v>45822.0</v>
      </c>
      <c r="B18" s="6" t="s">
        <v>61</v>
      </c>
      <c r="C18" s="2">
        <v>1.0</v>
      </c>
      <c r="D18" s="16">
        <f t="shared" si="3"/>
        <v>5</v>
      </c>
      <c r="E18" s="17">
        <f>D18/B1</f>
        <v>0.5</v>
      </c>
      <c r="F18" s="16">
        <f t="shared" si="4"/>
        <v>7.38</v>
      </c>
      <c r="G18" s="17">
        <f>F18/B2</f>
        <v>0.738</v>
      </c>
      <c r="H18" s="15">
        <f t="shared" si="5"/>
        <v>7.71</v>
      </c>
      <c r="I18" s="14">
        <f>H18/B3</f>
        <v>0.771</v>
      </c>
      <c r="J18" s="2">
        <v>0.0</v>
      </c>
      <c r="K18" s="2">
        <v>0.0</v>
      </c>
      <c r="L18" s="2">
        <v>0.0</v>
      </c>
      <c r="M18" s="7"/>
      <c r="N18" s="7"/>
    </row>
    <row r="19">
      <c r="A19" s="12">
        <v>45822.0</v>
      </c>
      <c r="B19" s="6" t="s">
        <v>62</v>
      </c>
      <c r="C19" s="2">
        <v>0.63</v>
      </c>
      <c r="D19" s="16">
        <f t="shared" si="3"/>
        <v>5</v>
      </c>
      <c r="E19" s="17">
        <f>D19/B1</f>
        <v>0.5</v>
      </c>
      <c r="F19" s="16">
        <f t="shared" si="4"/>
        <v>6.75</v>
      </c>
      <c r="G19" s="17">
        <f>F19/B2</f>
        <v>0.675</v>
      </c>
      <c r="H19" s="15">
        <f t="shared" si="5"/>
        <v>7.71</v>
      </c>
      <c r="I19" s="14">
        <f>H19/B3</f>
        <v>0.771</v>
      </c>
      <c r="J19" s="2">
        <v>0.0</v>
      </c>
      <c r="K19" s="2">
        <v>0.0</v>
      </c>
      <c r="L19" s="2">
        <v>0.0</v>
      </c>
      <c r="M19" s="7"/>
      <c r="N19" s="7"/>
    </row>
    <row r="20">
      <c r="A20" s="12">
        <v>45822.0</v>
      </c>
      <c r="B20" s="6" t="s">
        <v>63</v>
      </c>
      <c r="C20" s="2">
        <v>0.59</v>
      </c>
      <c r="D20" s="16">
        <f t="shared" si="3"/>
        <v>5</v>
      </c>
      <c r="E20" s="17">
        <f>D20/B1</f>
        <v>0.5</v>
      </c>
      <c r="F20" s="16">
        <f t="shared" si="4"/>
        <v>6.75</v>
      </c>
      <c r="G20" s="17">
        <f>F20/B2</f>
        <v>0.675</v>
      </c>
      <c r="H20" s="15">
        <f t="shared" si="5"/>
        <v>7.12</v>
      </c>
      <c r="I20" s="14">
        <f>H20/B3</f>
        <v>0.712</v>
      </c>
      <c r="J20" s="2">
        <v>0.0</v>
      </c>
      <c r="K20" s="2">
        <v>0.0</v>
      </c>
      <c r="L20" s="2">
        <v>0.0</v>
      </c>
      <c r="M20" s="7"/>
      <c r="N20" s="7"/>
    </row>
    <row r="21">
      <c r="A21" s="12">
        <v>45823.0</v>
      </c>
      <c r="B21" s="6" t="s">
        <v>61</v>
      </c>
      <c r="C21" s="2">
        <v>1.0</v>
      </c>
      <c r="D21" s="16">
        <f t="shared" si="3"/>
        <v>4</v>
      </c>
      <c r="E21" s="17">
        <f>D21/B1</f>
        <v>0.4</v>
      </c>
      <c r="F21" s="16">
        <f t="shared" si="4"/>
        <v>6.75</v>
      </c>
      <c r="G21" s="17">
        <f>F21/B2</f>
        <v>0.675</v>
      </c>
      <c r="H21" s="15">
        <f t="shared" si="5"/>
        <v>7.12</v>
      </c>
      <c r="I21" s="14">
        <f>H21/B3</f>
        <v>0.712</v>
      </c>
      <c r="J21" s="2">
        <v>0.0</v>
      </c>
      <c r="K21" s="2">
        <v>0.0</v>
      </c>
      <c r="L21" s="2">
        <v>0.0</v>
      </c>
      <c r="M21" s="7"/>
      <c r="N21" s="7"/>
    </row>
    <row r="22">
      <c r="A22" s="12">
        <v>45823.0</v>
      </c>
      <c r="B22" s="6" t="s">
        <v>62</v>
      </c>
      <c r="C22" s="2">
        <v>0.58</v>
      </c>
      <c r="D22" s="16">
        <f t="shared" si="3"/>
        <v>4</v>
      </c>
      <c r="E22" s="17">
        <f>D22/B1</f>
        <v>0.4</v>
      </c>
      <c r="F22" s="16">
        <f t="shared" si="4"/>
        <v>6.17</v>
      </c>
      <c r="G22" s="17">
        <f>F22/B2</f>
        <v>0.617</v>
      </c>
      <c r="H22" s="15">
        <f t="shared" si="5"/>
        <v>7.12</v>
      </c>
      <c r="I22" s="14">
        <f>H22/B3</f>
        <v>0.712</v>
      </c>
      <c r="J22" s="2">
        <v>0.0</v>
      </c>
      <c r="K22" s="2">
        <v>0.0</v>
      </c>
      <c r="L22" s="2">
        <v>0.0</v>
      </c>
      <c r="M22" s="7"/>
      <c r="N22" s="7"/>
    </row>
    <row r="23">
      <c r="A23" s="12">
        <v>45823.0</v>
      </c>
      <c r="B23" s="6" t="s">
        <v>63</v>
      </c>
      <c r="C23" s="2">
        <v>0.58</v>
      </c>
      <c r="D23" s="16">
        <f t="shared" si="3"/>
        <v>4</v>
      </c>
      <c r="E23" s="17">
        <f>D23/B1</f>
        <v>0.4</v>
      </c>
      <c r="F23" s="16">
        <f t="shared" si="4"/>
        <v>6.17</v>
      </c>
      <c r="G23" s="17">
        <f>F23/B2</f>
        <v>0.617</v>
      </c>
      <c r="H23" s="15">
        <f t="shared" si="5"/>
        <v>6.54</v>
      </c>
      <c r="I23" s="14">
        <f>H23/B3</f>
        <v>0.654</v>
      </c>
      <c r="J23" s="2">
        <v>0.0</v>
      </c>
      <c r="K23" s="2">
        <v>0.0</v>
      </c>
      <c r="L23" s="2">
        <v>0.0</v>
      </c>
      <c r="M23" s="7"/>
      <c r="N23" s="7"/>
    </row>
    <row r="24">
      <c r="A24" s="12">
        <v>45824.0</v>
      </c>
      <c r="B24" s="6" t="s">
        <v>61</v>
      </c>
      <c r="C24" s="2">
        <v>1.0</v>
      </c>
      <c r="D24" s="16">
        <f t="shared" si="3"/>
        <v>3</v>
      </c>
      <c r="E24" s="17">
        <f>D24/B1</f>
        <v>0.3</v>
      </c>
      <c r="F24" s="16">
        <f t="shared" si="4"/>
        <v>6.17</v>
      </c>
      <c r="G24" s="17">
        <f>F24/B2</f>
        <v>0.617</v>
      </c>
      <c r="H24" s="15">
        <f t="shared" si="5"/>
        <v>6.54</v>
      </c>
      <c r="I24" s="14">
        <f>H24/B3</f>
        <v>0.654</v>
      </c>
      <c r="J24" s="2">
        <v>0.0</v>
      </c>
      <c r="K24" s="2">
        <v>0.0</v>
      </c>
      <c r="L24" s="2">
        <v>0.0</v>
      </c>
      <c r="M24" s="7"/>
      <c r="N24" s="7"/>
    </row>
    <row r="25">
      <c r="A25" s="12">
        <v>45824.0</v>
      </c>
      <c r="B25" s="6" t="s">
        <v>62</v>
      </c>
      <c r="C25" s="2">
        <f>0.59+0.87</f>
        <v>1.46</v>
      </c>
      <c r="D25" s="16">
        <f t="shared" si="3"/>
        <v>3</v>
      </c>
      <c r="E25" s="17">
        <f>D25/B1</f>
        <v>0.3</v>
      </c>
      <c r="F25" s="16">
        <f t="shared" si="4"/>
        <v>4.71</v>
      </c>
      <c r="G25" s="17">
        <f>F25/B2</f>
        <v>0.471</v>
      </c>
      <c r="H25" s="15">
        <f t="shared" si="5"/>
        <v>6.54</v>
      </c>
      <c r="I25" s="14">
        <f>H25/B3</f>
        <v>0.654</v>
      </c>
      <c r="J25" s="2">
        <v>0.0</v>
      </c>
      <c r="K25" s="2">
        <v>0.0</v>
      </c>
      <c r="L25" s="2">
        <v>0.0</v>
      </c>
      <c r="M25" s="7"/>
      <c r="N25" s="7"/>
    </row>
    <row r="26">
      <c r="A26" s="12">
        <v>45824.0</v>
      </c>
      <c r="B26" s="6" t="s">
        <v>63</v>
      </c>
      <c r="C26" s="2">
        <f>0.73+1</f>
        <v>1.73</v>
      </c>
      <c r="D26" s="16">
        <f t="shared" si="3"/>
        <v>3</v>
      </c>
      <c r="E26" s="17">
        <f>D26/B1</f>
        <v>0.3</v>
      </c>
      <c r="F26" s="16">
        <f t="shared" si="4"/>
        <v>4.71</v>
      </c>
      <c r="G26" s="17">
        <f>F26/B2</f>
        <v>0.471</v>
      </c>
      <c r="H26" s="15">
        <f t="shared" si="5"/>
        <v>4.81</v>
      </c>
      <c r="I26" s="14">
        <f>H26/B3</f>
        <v>0.481</v>
      </c>
      <c r="J26" s="2">
        <v>0.0</v>
      </c>
      <c r="K26" s="2">
        <v>0.0</v>
      </c>
      <c r="L26" s="2">
        <v>0.0</v>
      </c>
      <c r="M26" s="7"/>
      <c r="N26" s="7"/>
    </row>
    <row r="27">
      <c r="A27" s="12">
        <v>45825.0</v>
      </c>
      <c r="B27" s="6" t="s">
        <v>61</v>
      </c>
      <c r="C27" s="2">
        <v>1.0</v>
      </c>
      <c r="D27" s="16">
        <f t="shared" si="3"/>
        <v>2</v>
      </c>
      <c r="E27" s="17">
        <f>D27/B1</f>
        <v>0.2</v>
      </c>
      <c r="F27" s="16">
        <f t="shared" si="4"/>
        <v>4.71</v>
      </c>
      <c r="G27" s="17">
        <f>F27/B2</f>
        <v>0.471</v>
      </c>
      <c r="H27" s="15">
        <f t="shared" si="5"/>
        <v>4.81</v>
      </c>
      <c r="I27" s="14">
        <f>H27/B3</f>
        <v>0.481</v>
      </c>
      <c r="J27" s="2">
        <v>0.0</v>
      </c>
      <c r="K27" s="2">
        <v>0.0</v>
      </c>
      <c r="L27" s="2">
        <v>0.0</v>
      </c>
      <c r="M27" s="7"/>
      <c r="N27" s="7"/>
    </row>
    <row r="28">
      <c r="A28" s="12">
        <v>45825.0</v>
      </c>
      <c r="B28" s="6" t="s">
        <v>62</v>
      </c>
      <c r="C28" s="2">
        <v>0.0</v>
      </c>
      <c r="D28" s="16">
        <f t="shared" si="3"/>
        <v>2</v>
      </c>
      <c r="E28" s="17">
        <f>D28/B1</f>
        <v>0.2</v>
      </c>
      <c r="F28" s="16">
        <f t="shared" si="4"/>
        <v>4.71</v>
      </c>
      <c r="G28" s="17">
        <f>F28/B2</f>
        <v>0.471</v>
      </c>
      <c r="H28" s="15">
        <f t="shared" si="5"/>
        <v>4.81</v>
      </c>
      <c r="I28" s="14">
        <f>H28/B3</f>
        <v>0.481</v>
      </c>
      <c r="J28" s="2">
        <v>0.0</v>
      </c>
      <c r="K28" s="2">
        <v>0.0</v>
      </c>
      <c r="L28" s="2">
        <v>0.0</v>
      </c>
      <c r="M28" s="7"/>
      <c r="N28" s="7"/>
    </row>
    <row r="29">
      <c r="A29" s="12">
        <v>45825.0</v>
      </c>
      <c r="B29" s="6" t="s">
        <v>63</v>
      </c>
      <c r="C29" s="2">
        <v>0.0</v>
      </c>
      <c r="D29" s="16">
        <f t="shared" si="3"/>
        <v>2</v>
      </c>
      <c r="E29" s="17">
        <f>D29/B1</f>
        <v>0.2</v>
      </c>
      <c r="F29" s="16">
        <f t="shared" si="4"/>
        <v>4.71</v>
      </c>
      <c r="G29" s="17">
        <f>F29/B2</f>
        <v>0.471</v>
      </c>
      <c r="H29" s="15">
        <f t="shared" si="5"/>
        <v>4.81</v>
      </c>
      <c r="I29" s="14">
        <f>H29/B3</f>
        <v>0.481</v>
      </c>
      <c r="J29" s="2">
        <v>0.0</v>
      </c>
      <c r="K29" s="2">
        <v>0.0</v>
      </c>
      <c r="L29" s="2">
        <v>0.0</v>
      </c>
      <c r="M29" s="7"/>
      <c r="N29" s="7"/>
    </row>
    <row r="30">
      <c r="A30" s="12">
        <v>45826.0</v>
      </c>
      <c r="B30" s="6" t="s">
        <v>61</v>
      </c>
      <c r="C30" s="2">
        <v>1.0</v>
      </c>
      <c r="D30" s="16">
        <f t="shared" si="3"/>
        <v>1</v>
      </c>
      <c r="E30" s="17">
        <f>D30/B1</f>
        <v>0.1</v>
      </c>
      <c r="F30" s="16">
        <f t="shared" si="4"/>
        <v>4.71</v>
      </c>
      <c r="G30" s="17">
        <f>F30/B2</f>
        <v>0.471</v>
      </c>
      <c r="H30" s="15">
        <f t="shared" si="5"/>
        <v>4.81</v>
      </c>
      <c r="I30" s="14">
        <f>H30/B3</f>
        <v>0.481</v>
      </c>
      <c r="J30" s="2">
        <v>0.0</v>
      </c>
      <c r="K30" s="2">
        <v>0.0</v>
      </c>
      <c r="L30" s="2">
        <v>0.0</v>
      </c>
      <c r="M30" s="7"/>
      <c r="N30" s="7"/>
    </row>
    <row r="31">
      <c r="A31" s="12">
        <v>45826.0</v>
      </c>
      <c r="B31" s="6" t="s">
        <v>62</v>
      </c>
      <c r="C31" s="2">
        <v>0.92</v>
      </c>
      <c r="D31" s="16">
        <f t="shared" si="3"/>
        <v>1</v>
      </c>
      <c r="E31" s="17">
        <f>D31/B1</f>
        <v>0.1</v>
      </c>
      <c r="F31" s="16">
        <f t="shared" si="4"/>
        <v>3.79</v>
      </c>
      <c r="G31" s="17">
        <f>F31/B2</f>
        <v>0.379</v>
      </c>
      <c r="H31" s="15">
        <f t="shared" si="5"/>
        <v>4.81</v>
      </c>
      <c r="I31" s="14">
        <f>H31/B3</f>
        <v>0.481</v>
      </c>
      <c r="J31" s="2">
        <v>0.0</v>
      </c>
      <c r="K31" s="2">
        <v>0.0</v>
      </c>
      <c r="L31" s="2">
        <v>0.0</v>
      </c>
      <c r="M31" s="7"/>
      <c r="N31" s="7"/>
    </row>
    <row r="32">
      <c r="A32" s="12">
        <v>45826.0</v>
      </c>
      <c r="B32" s="6" t="s">
        <v>63</v>
      </c>
      <c r="C32" s="2">
        <v>0.89</v>
      </c>
      <c r="D32" s="16">
        <f t="shared" si="3"/>
        <v>1</v>
      </c>
      <c r="E32" s="17">
        <f>D32/B1</f>
        <v>0.1</v>
      </c>
      <c r="F32" s="16">
        <f t="shared" si="4"/>
        <v>3.79</v>
      </c>
      <c r="G32" s="17">
        <f>F32/B2</f>
        <v>0.379</v>
      </c>
      <c r="H32" s="15">
        <f t="shared" si="5"/>
        <v>3.92</v>
      </c>
      <c r="I32" s="14">
        <f>H32/B3</f>
        <v>0.392</v>
      </c>
      <c r="J32" s="2">
        <v>0.0</v>
      </c>
      <c r="K32" s="2">
        <v>0.0</v>
      </c>
      <c r="L32" s="2">
        <v>0.0</v>
      </c>
      <c r="M32" s="7"/>
      <c r="N32" s="7"/>
    </row>
    <row r="33">
      <c r="A33" s="12">
        <v>45827.0</v>
      </c>
      <c r="B33" s="6" t="s">
        <v>61</v>
      </c>
      <c r="C33" s="2">
        <v>1.0</v>
      </c>
      <c r="D33" s="16">
        <f t="shared" si="3"/>
        <v>0</v>
      </c>
      <c r="E33" s="17">
        <f>D33/B1</f>
        <v>0</v>
      </c>
      <c r="F33" s="16">
        <f t="shared" si="4"/>
        <v>3.79</v>
      </c>
      <c r="G33" s="17">
        <f>F33/B2</f>
        <v>0.379</v>
      </c>
      <c r="H33" s="15">
        <f t="shared" si="5"/>
        <v>3.92</v>
      </c>
      <c r="I33" s="14">
        <f>H33/B3</f>
        <v>0.392</v>
      </c>
      <c r="J33" s="2">
        <v>0.0</v>
      </c>
      <c r="K33" s="2">
        <v>0.0</v>
      </c>
      <c r="L33" s="2">
        <v>0.0</v>
      </c>
      <c r="M33" s="7"/>
      <c r="N33" s="7"/>
    </row>
    <row r="34">
      <c r="A34" s="12">
        <v>45827.0</v>
      </c>
      <c r="B34" s="6" t="s">
        <v>62</v>
      </c>
      <c r="C34" s="2">
        <v>1.21</v>
      </c>
      <c r="D34" s="16">
        <f t="shared" si="3"/>
        <v>0</v>
      </c>
      <c r="E34" s="17">
        <f>D34/B1</f>
        <v>0</v>
      </c>
      <c r="F34" s="16">
        <f t="shared" si="4"/>
        <v>2.58</v>
      </c>
      <c r="G34" s="17">
        <f>F34/B2</f>
        <v>0.258</v>
      </c>
      <c r="H34" s="15">
        <f t="shared" si="5"/>
        <v>3.92</v>
      </c>
      <c r="I34" s="14">
        <f>H34/B3</f>
        <v>0.392</v>
      </c>
      <c r="J34" s="2">
        <v>0.0</v>
      </c>
      <c r="K34" s="2">
        <v>0.0</v>
      </c>
      <c r="L34" s="2">
        <v>0.0</v>
      </c>
      <c r="M34" s="7"/>
      <c r="N34" s="7"/>
    </row>
    <row r="35">
      <c r="A35" s="12">
        <v>45827.0</v>
      </c>
      <c r="B35" s="6" t="s">
        <v>63</v>
      </c>
      <c r="C35" s="2">
        <v>1.36</v>
      </c>
      <c r="D35" s="16">
        <f t="shared" si="3"/>
        <v>0</v>
      </c>
      <c r="E35" s="17">
        <f>D35/B1</f>
        <v>0</v>
      </c>
      <c r="F35" s="16">
        <f t="shared" si="4"/>
        <v>2.58</v>
      </c>
      <c r="G35" s="17">
        <f>F35/B2</f>
        <v>0.258</v>
      </c>
      <c r="H35" s="15">
        <f t="shared" si="5"/>
        <v>2.56</v>
      </c>
      <c r="I35" s="14">
        <f>H35/B3</f>
        <v>0.256</v>
      </c>
      <c r="J35" s="2">
        <v>0.0</v>
      </c>
      <c r="K35" s="2">
        <v>0.0</v>
      </c>
      <c r="L35" s="2">
        <v>0.0</v>
      </c>
      <c r="M35" s="7"/>
      <c r="N35" s="7"/>
    </row>
    <row r="36">
      <c r="A36" s="12">
        <v>45828.0</v>
      </c>
      <c r="B36" s="6" t="s">
        <v>61</v>
      </c>
      <c r="C36" s="2">
        <v>0.0</v>
      </c>
      <c r="D36" s="16">
        <f t="shared" si="3"/>
        <v>0</v>
      </c>
      <c r="E36" s="17">
        <f>D36/B1</f>
        <v>0</v>
      </c>
      <c r="F36" s="16">
        <f t="shared" si="4"/>
        <v>2.58</v>
      </c>
      <c r="G36" s="17">
        <f>F36/B2</f>
        <v>0.258</v>
      </c>
      <c r="H36" s="15">
        <f t="shared" si="5"/>
        <v>2.56</v>
      </c>
      <c r="I36" s="14">
        <f>H36/B3</f>
        <v>0.256</v>
      </c>
      <c r="J36" s="2">
        <v>0.0</v>
      </c>
      <c r="K36" s="2">
        <v>0.0</v>
      </c>
      <c r="L36" s="2">
        <v>0.0</v>
      </c>
      <c r="M36" s="7"/>
      <c r="N36" s="7"/>
    </row>
    <row r="37">
      <c r="A37" s="12">
        <v>45828.0</v>
      </c>
      <c r="B37" s="6" t="s">
        <v>62</v>
      </c>
      <c r="C37" s="2">
        <v>0.86</v>
      </c>
      <c r="D37" s="16">
        <f t="shared" si="3"/>
        <v>0</v>
      </c>
      <c r="E37" s="17">
        <f>D37/B1</f>
        <v>0</v>
      </c>
      <c r="F37" s="16">
        <f t="shared" si="4"/>
        <v>1.72</v>
      </c>
      <c r="G37" s="17">
        <f>F37/B2</f>
        <v>0.172</v>
      </c>
      <c r="H37" s="15">
        <f t="shared" si="5"/>
        <v>2.56</v>
      </c>
      <c r="I37" s="14">
        <f>H37/B3</f>
        <v>0.256</v>
      </c>
      <c r="J37" s="2">
        <v>0.0</v>
      </c>
      <c r="K37" s="2">
        <v>0.0</v>
      </c>
      <c r="L37" s="2">
        <v>0.0</v>
      </c>
      <c r="M37" s="7"/>
      <c r="N37" s="7"/>
    </row>
    <row r="38">
      <c r="A38" s="12">
        <v>45828.0</v>
      </c>
      <c r="B38" s="6" t="s">
        <v>63</v>
      </c>
      <c r="C38" s="2">
        <v>0.98</v>
      </c>
      <c r="D38" s="16">
        <f t="shared" si="3"/>
        <v>0</v>
      </c>
      <c r="E38" s="17">
        <f>D38/B1</f>
        <v>0</v>
      </c>
      <c r="F38" s="16">
        <f t="shared" si="4"/>
        <v>1.72</v>
      </c>
      <c r="G38" s="17">
        <f>F38/B2</f>
        <v>0.172</v>
      </c>
      <c r="H38" s="15">
        <f t="shared" si="5"/>
        <v>1.58</v>
      </c>
      <c r="I38" s="14">
        <f>H38/B3</f>
        <v>0.158</v>
      </c>
      <c r="J38" s="2">
        <v>0.0</v>
      </c>
      <c r="K38" s="2">
        <v>0.0</v>
      </c>
      <c r="L38" s="2">
        <v>0.0</v>
      </c>
      <c r="M38" s="7"/>
      <c r="N38" s="7"/>
    </row>
    <row r="39">
      <c r="A39" s="12">
        <v>45829.0</v>
      </c>
      <c r="B39" s="6" t="s">
        <v>61</v>
      </c>
      <c r="C39" s="2">
        <v>0.0</v>
      </c>
      <c r="D39" s="16">
        <f t="shared" si="3"/>
        <v>0</v>
      </c>
      <c r="E39" s="17">
        <f>D39/B1</f>
        <v>0</v>
      </c>
      <c r="F39" s="16">
        <f t="shared" si="4"/>
        <v>1.72</v>
      </c>
      <c r="G39" s="17">
        <f>F39/B2</f>
        <v>0.172</v>
      </c>
      <c r="H39" s="15">
        <f t="shared" si="5"/>
        <v>1.58</v>
      </c>
      <c r="I39" s="14">
        <f>H39/B3</f>
        <v>0.158</v>
      </c>
      <c r="J39" s="2">
        <v>0.0</v>
      </c>
      <c r="K39" s="2">
        <v>0.0</v>
      </c>
      <c r="L39" s="2">
        <v>0.0</v>
      </c>
      <c r="M39" s="7"/>
      <c r="N39" s="7"/>
    </row>
    <row r="40">
      <c r="A40" s="12">
        <v>45829.0</v>
      </c>
      <c r="B40" s="6" t="s">
        <v>62</v>
      </c>
      <c r="C40" s="2">
        <v>0.0</v>
      </c>
      <c r="D40" s="16">
        <f t="shared" si="3"/>
        <v>0</v>
      </c>
      <c r="E40" s="17">
        <f>D40/B1</f>
        <v>0</v>
      </c>
      <c r="F40" s="16">
        <f t="shared" si="4"/>
        <v>1.72</v>
      </c>
      <c r="G40" s="17">
        <f>F40/B2</f>
        <v>0.172</v>
      </c>
      <c r="H40" s="15">
        <f t="shared" si="5"/>
        <v>1.58</v>
      </c>
      <c r="I40" s="14">
        <f>H40/B3</f>
        <v>0.158</v>
      </c>
      <c r="J40" s="2">
        <v>0.0</v>
      </c>
      <c r="K40" s="2">
        <v>0.0</v>
      </c>
      <c r="L40" s="2">
        <v>0.0</v>
      </c>
      <c r="M40" s="7"/>
      <c r="N40" s="7"/>
    </row>
    <row r="41">
      <c r="A41" s="12">
        <v>45829.0</v>
      </c>
      <c r="B41" s="6" t="s">
        <v>63</v>
      </c>
      <c r="C41" s="2">
        <v>0.0</v>
      </c>
      <c r="D41" s="16">
        <f t="shared" si="3"/>
        <v>0</v>
      </c>
      <c r="E41" s="17">
        <f>D41/B1</f>
        <v>0</v>
      </c>
      <c r="F41" s="16">
        <f t="shared" si="4"/>
        <v>1.72</v>
      </c>
      <c r="G41" s="17">
        <f>F41/B2</f>
        <v>0.172</v>
      </c>
      <c r="H41" s="15">
        <f t="shared" si="5"/>
        <v>1.58</v>
      </c>
      <c r="I41" s="14">
        <f>H41/B3</f>
        <v>0.158</v>
      </c>
      <c r="J41" s="2">
        <v>0.0</v>
      </c>
      <c r="K41" s="2">
        <v>0.0</v>
      </c>
      <c r="L41" s="2">
        <v>0.0</v>
      </c>
      <c r="M41" s="7"/>
      <c r="N41" s="7"/>
    </row>
    <row r="42">
      <c r="A42" s="12">
        <v>45830.0</v>
      </c>
      <c r="B42" s="6" t="s">
        <v>61</v>
      </c>
      <c r="C42" s="2">
        <v>0.0</v>
      </c>
      <c r="D42" s="16">
        <f t="shared" si="3"/>
        <v>0</v>
      </c>
      <c r="E42" s="17">
        <f>D42/B1</f>
        <v>0</v>
      </c>
      <c r="F42" s="16">
        <f t="shared" si="4"/>
        <v>1.72</v>
      </c>
      <c r="G42" s="17">
        <f>F42/B2</f>
        <v>0.172</v>
      </c>
      <c r="H42" s="15">
        <f t="shared" si="5"/>
        <v>1.58</v>
      </c>
      <c r="I42" s="14">
        <f>H42/B3</f>
        <v>0.158</v>
      </c>
      <c r="J42" s="2">
        <v>0.0</v>
      </c>
      <c r="K42" s="2">
        <v>0.0</v>
      </c>
      <c r="L42" s="2">
        <v>0.0</v>
      </c>
      <c r="M42" s="7"/>
      <c r="N42" s="7"/>
    </row>
    <row r="43">
      <c r="A43" s="12">
        <v>45830.0</v>
      </c>
      <c r="B43" s="6" t="s">
        <v>62</v>
      </c>
      <c r="C43" s="2">
        <v>0.85</v>
      </c>
      <c r="D43" s="16">
        <f t="shared" si="3"/>
        <v>0</v>
      </c>
      <c r="E43" s="17">
        <f>D43/B1</f>
        <v>0</v>
      </c>
      <c r="F43" s="16">
        <f t="shared" si="4"/>
        <v>0.87</v>
      </c>
      <c r="G43" s="17">
        <f>F43/B2</f>
        <v>0.087</v>
      </c>
      <c r="H43" s="15">
        <f t="shared" si="5"/>
        <v>1.58</v>
      </c>
      <c r="I43" s="14">
        <f>H43/B3</f>
        <v>0.158</v>
      </c>
      <c r="J43" s="2">
        <v>0.0</v>
      </c>
      <c r="K43" s="2">
        <v>0.0</v>
      </c>
      <c r="L43" s="2">
        <v>0.0</v>
      </c>
      <c r="M43" s="7"/>
      <c r="N43" s="7"/>
    </row>
    <row r="44">
      <c r="A44" s="12">
        <v>45830.0</v>
      </c>
      <c r="B44" s="6" t="s">
        <v>63</v>
      </c>
      <c r="C44" s="2">
        <v>0.88</v>
      </c>
      <c r="D44" s="16">
        <f t="shared" si="3"/>
        <v>0</v>
      </c>
      <c r="E44" s="17">
        <f>D44/B1</f>
        <v>0</v>
      </c>
      <c r="F44" s="16">
        <f t="shared" si="4"/>
        <v>0.87</v>
      </c>
      <c r="G44" s="17">
        <f>F44/B2</f>
        <v>0.087</v>
      </c>
      <c r="H44" s="15">
        <f t="shared" si="5"/>
        <v>0.7</v>
      </c>
      <c r="I44" s="14">
        <f>H44/B3</f>
        <v>0.07</v>
      </c>
      <c r="J44" s="2">
        <v>0.0</v>
      </c>
      <c r="K44" s="2">
        <v>0.0</v>
      </c>
      <c r="L44" s="2">
        <v>0.0</v>
      </c>
      <c r="M44" s="7"/>
      <c r="N44" s="7"/>
    </row>
    <row r="45">
      <c r="A45" s="12">
        <v>45831.0</v>
      </c>
      <c r="B45" s="6" t="s">
        <v>61</v>
      </c>
      <c r="C45" s="2">
        <v>0.0</v>
      </c>
      <c r="D45" s="16">
        <f t="shared" si="3"/>
        <v>0</v>
      </c>
      <c r="E45" s="17">
        <f>D45/B1</f>
        <v>0</v>
      </c>
      <c r="F45" s="16">
        <f t="shared" si="4"/>
        <v>0.87</v>
      </c>
      <c r="G45" s="17">
        <f>F45/B2</f>
        <v>0.087</v>
      </c>
      <c r="H45" s="15">
        <f t="shared" si="5"/>
        <v>0.7</v>
      </c>
      <c r="I45" s="14">
        <f>H45/B3</f>
        <v>0.07</v>
      </c>
      <c r="J45" s="2">
        <v>0.0</v>
      </c>
      <c r="K45" s="2">
        <v>0.0</v>
      </c>
      <c r="L45" s="2">
        <v>0.0</v>
      </c>
      <c r="M45" s="7"/>
      <c r="N45" s="7"/>
    </row>
    <row r="46">
      <c r="A46" s="12">
        <v>45831.0</v>
      </c>
      <c r="B46" s="6" t="s">
        <v>62</v>
      </c>
      <c r="C46" s="2">
        <v>0.87</v>
      </c>
      <c r="D46" s="16">
        <f t="shared" si="3"/>
        <v>0</v>
      </c>
      <c r="E46" s="17">
        <f>D46/B1</f>
        <v>0</v>
      </c>
      <c r="F46" s="16">
        <f t="shared" si="4"/>
        <v>0</v>
      </c>
      <c r="G46" s="17">
        <f>F46/B2</f>
        <v>0</v>
      </c>
      <c r="H46" s="15">
        <f t="shared" si="5"/>
        <v>0.7</v>
      </c>
      <c r="I46" s="14">
        <f>H46/B3</f>
        <v>0.07</v>
      </c>
      <c r="J46" s="2">
        <v>0.0</v>
      </c>
      <c r="K46" s="2">
        <v>0.0</v>
      </c>
      <c r="L46" s="2">
        <v>0.0</v>
      </c>
      <c r="M46" s="7"/>
      <c r="N46" s="7"/>
    </row>
    <row r="47">
      <c r="A47" s="12">
        <v>45831.0</v>
      </c>
      <c r="B47" s="6" t="s">
        <v>63</v>
      </c>
      <c r="C47" s="2">
        <v>0.7</v>
      </c>
      <c r="D47" s="16">
        <f t="shared" si="3"/>
        <v>0</v>
      </c>
      <c r="E47" s="17">
        <f>D47/B1</f>
        <v>0</v>
      </c>
      <c r="F47" s="16">
        <f t="shared" si="4"/>
        <v>0</v>
      </c>
      <c r="G47" s="17">
        <f>F47/B2</f>
        <v>0</v>
      </c>
      <c r="H47" s="15">
        <f t="shared" si="5"/>
        <v>0</v>
      </c>
      <c r="I47" s="14">
        <f>H47/B3</f>
        <v>0</v>
      </c>
      <c r="J47" s="2">
        <v>0.0</v>
      </c>
      <c r="K47" s="2">
        <v>0.0</v>
      </c>
      <c r="L47" s="2">
        <v>0.0</v>
      </c>
      <c r="M47" s="7"/>
      <c r="N47" s="7"/>
    </row>
    <row r="48">
      <c r="A48" s="12">
        <v>45832.0</v>
      </c>
      <c r="B48" s="6" t="s">
        <v>61</v>
      </c>
      <c r="C48" s="2">
        <v>0.0</v>
      </c>
      <c r="D48" s="16">
        <f t="shared" si="3"/>
        <v>0</v>
      </c>
      <c r="E48" s="17">
        <f>D48/B1</f>
        <v>0</v>
      </c>
      <c r="F48" s="16">
        <f t="shared" si="4"/>
        <v>0</v>
      </c>
      <c r="G48" s="17">
        <f>F48/B2</f>
        <v>0</v>
      </c>
      <c r="H48" s="15">
        <f t="shared" si="5"/>
        <v>0</v>
      </c>
      <c r="I48" s="14">
        <f>H48/B3</f>
        <v>0</v>
      </c>
      <c r="J48" s="2">
        <v>0.0</v>
      </c>
      <c r="K48" s="2">
        <v>0.0</v>
      </c>
      <c r="L48" s="2">
        <v>0.0</v>
      </c>
      <c r="M48" s="7"/>
      <c r="N48" s="7"/>
    </row>
    <row r="49">
      <c r="A49" s="12">
        <v>45832.0</v>
      </c>
      <c r="B49" s="6" t="s">
        <v>62</v>
      </c>
      <c r="C49" s="2">
        <v>0.0</v>
      </c>
      <c r="D49" s="16">
        <f t="shared" si="3"/>
        <v>0</v>
      </c>
      <c r="E49" s="17">
        <f>D49/B1</f>
        <v>0</v>
      </c>
      <c r="F49" s="16">
        <f t="shared" si="4"/>
        <v>0</v>
      </c>
      <c r="G49" s="17">
        <f>F49/B2</f>
        <v>0</v>
      </c>
      <c r="H49" s="15">
        <f t="shared" si="5"/>
        <v>0</v>
      </c>
      <c r="I49" s="14">
        <f>H49/B3</f>
        <v>0</v>
      </c>
      <c r="J49" s="2">
        <v>0.0</v>
      </c>
      <c r="K49" s="2">
        <v>0.0</v>
      </c>
      <c r="L49" s="2">
        <v>0.0</v>
      </c>
      <c r="M49" s="7"/>
      <c r="N49" s="7"/>
    </row>
    <row r="50">
      <c r="A50" s="12">
        <v>45832.0</v>
      </c>
      <c r="B50" s="6" t="s">
        <v>63</v>
      </c>
      <c r="C50" s="2">
        <v>0.0</v>
      </c>
      <c r="D50" s="16">
        <f t="shared" si="3"/>
        <v>0</v>
      </c>
      <c r="E50" s="17">
        <f>D50/B1</f>
        <v>0</v>
      </c>
      <c r="F50" s="16">
        <f t="shared" si="4"/>
        <v>0</v>
      </c>
      <c r="G50" s="17">
        <f>F50/B2</f>
        <v>0</v>
      </c>
      <c r="H50" s="15">
        <f t="shared" si="5"/>
        <v>0</v>
      </c>
      <c r="I50" s="14">
        <f>H50/B3</f>
        <v>0</v>
      </c>
      <c r="J50" s="2">
        <v>0.0</v>
      </c>
      <c r="K50" s="2">
        <v>0.0</v>
      </c>
      <c r="L50" s="2">
        <v>0.0</v>
      </c>
      <c r="M50" s="7"/>
      <c r="N50" s="7"/>
    </row>
    <row r="51">
      <c r="A51" s="12">
        <v>45833.0</v>
      </c>
      <c r="B51" s="6" t="s">
        <v>61</v>
      </c>
      <c r="C51" s="2">
        <v>0.0</v>
      </c>
      <c r="D51" s="16">
        <f t="shared" si="3"/>
        <v>0</v>
      </c>
      <c r="E51" s="17">
        <f>D51/B1</f>
        <v>0</v>
      </c>
      <c r="F51" s="16">
        <f t="shared" si="4"/>
        <v>0</v>
      </c>
      <c r="G51" s="17">
        <f>F51/B2</f>
        <v>0</v>
      </c>
      <c r="H51" s="15">
        <f t="shared" si="5"/>
        <v>0</v>
      </c>
      <c r="I51" s="14">
        <f>H51/B3</f>
        <v>0</v>
      </c>
      <c r="J51" s="2">
        <v>0.0</v>
      </c>
      <c r="K51" s="2">
        <v>0.0</v>
      </c>
      <c r="L51" s="2">
        <v>0.0</v>
      </c>
      <c r="M51" s="7"/>
      <c r="N51" s="7"/>
    </row>
    <row r="52">
      <c r="A52" s="12">
        <v>45833.0</v>
      </c>
      <c r="B52" s="6" t="s">
        <v>62</v>
      </c>
      <c r="C52" s="2">
        <v>0.0</v>
      </c>
      <c r="D52" s="16">
        <f t="shared" si="3"/>
        <v>0</v>
      </c>
      <c r="E52" s="17">
        <f>D52/B1</f>
        <v>0</v>
      </c>
      <c r="F52" s="16">
        <f t="shared" si="4"/>
        <v>0</v>
      </c>
      <c r="G52" s="17">
        <f>F52/B2</f>
        <v>0</v>
      </c>
      <c r="H52" s="15">
        <f t="shared" si="5"/>
        <v>0</v>
      </c>
      <c r="I52" s="14">
        <f>H52/B3</f>
        <v>0</v>
      </c>
      <c r="J52" s="2">
        <v>0.0</v>
      </c>
      <c r="K52" s="2">
        <v>0.0</v>
      </c>
      <c r="L52" s="2">
        <v>0.0</v>
      </c>
      <c r="M52" s="7"/>
      <c r="N52" s="7"/>
    </row>
    <row r="53">
      <c r="A53" s="12">
        <v>45833.0</v>
      </c>
      <c r="B53" s="6" t="s">
        <v>63</v>
      </c>
      <c r="C53" s="2">
        <v>0.0</v>
      </c>
      <c r="D53" s="16">
        <f t="shared" si="3"/>
        <v>0</v>
      </c>
      <c r="E53" s="17">
        <f>D53/B1</f>
        <v>0</v>
      </c>
      <c r="F53" s="16">
        <f t="shared" si="4"/>
        <v>0</v>
      </c>
      <c r="G53" s="17">
        <f>F53/B2</f>
        <v>0</v>
      </c>
      <c r="H53" s="15">
        <f t="shared" si="5"/>
        <v>0</v>
      </c>
      <c r="I53" s="14">
        <f>H53/B3</f>
        <v>0</v>
      </c>
      <c r="J53" s="2">
        <v>0.0</v>
      </c>
      <c r="K53" s="2">
        <v>0.0</v>
      </c>
      <c r="L53" s="2">
        <v>0.0</v>
      </c>
      <c r="M53" s="7"/>
      <c r="N53" s="7"/>
    </row>
    <row r="54">
      <c r="A54" s="12">
        <v>45834.0</v>
      </c>
      <c r="B54" s="6" t="s">
        <v>61</v>
      </c>
      <c r="C54" s="2">
        <v>0.0</v>
      </c>
      <c r="D54" s="16">
        <f t="shared" si="3"/>
        <v>0</v>
      </c>
      <c r="E54" s="17">
        <f>D54/B1</f>
        <v>0</v>
      </c>
      <c r="F54" s="16">
        <f t="shared" si="4"/>
        <v>0</v>
      </c>
      <c r="G54" s="17">
        <f>F54/B2</f>
        <v>0</v>
      </c>
      <c r="H54" s="15">
        <f t="shared" si="5"/>
        <v>0</v>
      </c>
      <c r="I54" s="14">
        <f>H54/B3</f>
        <v>0</v>
      </c>
      <c r="J54" s="2">
        <v>0.0</v>
      </c>
      <c r="K54" s="2">
        <v>0.0</v>
      </c>
      <c r="L54" s="2">
        <v>0.0</v>
      </c>
      <c r="M54" s="7"/>
      <c r="N54" s="7"/>
    </row>
    <row r="55">
      <c r="A55" s="12">
        <v>45834.0</v>
      </c>
      <c r="B55" s="6" t="s">
        <v>62</v>
      </c>
      <c r="C55" s="2">
        <v>0.0</v>
      </c>
      <c r="D55" s="16">
        <f t="shared" si="3"/>
        <v>0</v>
      </c>
      <c r="E55" s="17">
        <f>D55/B1</f>
        <v>0</v>
      </c>
      <c r="F55" s="16">
        <f t="shared" si="4"/>
        <v>0</v>
      </c>
      <c r="G55" s="17">
        <f>F55/B2</f>
        <v>0</v>
      </c>
      <c r="H55" s="15">
        <f t="shared" si="5"/>
        <v>0</v>
      </c>
      <c r="I55" s="14">
        <f>H55/B3</f>
        <v>0</v>
      </c>
      <c r="J55" s="2">
        <v>0.0</v>
      </c>
      <c r="K55" s="2">
        <v>0.0</v>
      </c>
      <c r="L55" s="2">
        <v>0.0</v>
      </c>
      <c r="M55" s="7"/>
      <c r="N55" s="7"/>
    </row>
    <row r="56">
      <c r="A56" s="12">
        <v>45834.0</v>
      </c>
      <c r="B56" s="6" t="s">
        <v>63</v>
      </c>
      <c r="C56" s="2">
        <v>0.0</v>
      </c>
      <c r="D56" s="16">
        <f t="shared" si="3"/>
        <v>0</v>
      </c>
      <c r="E56" s="17">
        <f>D56/B1</f>
        <v>0</v>
      </c>
      <c r="F56" s="16">
        <f t="shared" si="4"/>
        <v>0</v>
      </c>
      <c r="G56" s="17">
        <f>F56/B2</f>
        <v>0</v>
      </c>
      <c r="H56" s="15">
        <f t="shared" si="5"/>
        <v>0</v>
      </c>
      <c r="I56" s="14">
        <f>H56/B3</f>
        <v>0</v>
      </c>
      <c r="J56" s="2">
        <v>0.0</v>
      </c>
      <c r="K56" s="2">
        <v>0.0</v>
      </c>
      <c r="L56" s="2">
        <v>0.0</v>
      </c>
      <c r="M56" s="7"/>
      <c r="N56" s="7"/>
    </row>
    <row r="57">
      <c r="A57" s="12">
        <v>45835.0</v>
      </c>
      <c r="B57" s="6" t="s">
        <v>61</v>
      </c>
      <c r="C57" s="2">
        <v>0.0</v>
      </c>
      <c r="D57" s="16">
        <f t="shared" si="3"/>
        <v>0</v>
      </c>
      <c r="E57" s="17">
        <f>D57/B1</f>
        <v>0</v>
      </c>
      <c r="F57" s="16">
        <f t="shared" si="4"/>
        <v>0</v>
      </c>
      <c r="G57" s="17">
        <f>F57/B2</f>
        <v>0</v>
      </c>
      <c r="H57" s="15">
        <f t="shared" si="5"/>
        <v>0</v>
      </c>
      <c r="I57" s="14">
        <f>H57/B3</f>
        <v>0</v>
      </c>
      <c r="J57" s="2">
        <v>0.0</v>
      </c>
      <c r="K57" s="2">
        <v>0.0</v>
      </c>
      <c r="L57" s="2">
        <v>0.0</v>
      </c>
      <c r="M57" s="7"/>
      <c r="N57" s="7"/>
    </row>
    <row r="58">
      <c r="A58" s="12">
        <v>45835.0</v>
      </c>
      <c r="B58" s="6" t="s">
        <v>62</v>
      </c>
      <c r="C58" s="2">
        <v>0.0</v>
      </c>
      <c r="D58" s="16">
        <f t="shared" si="3"/>
        <v>0</v>
      </c>
      <c r="E58" s="17">
        <f>D58/B1</f>
        <v>0</v>
      </c>
      <c r="F58" s="16">
        <f t="shared" si="4"/>
        <v>0</v>
      </c>
      <c r="G58" s="17">
        <f>F58/B2</f>
        <v>0</v>
      </c>
      <c r="H58" s="15">
        <f t="shared" si="5"/>
        <v>0</v>
      </c>
      <c r="I58" s="14">
        <f>H58/B3</f>
        <v>0</v>
      </c>
      <c r="J58" s="2">
        <v>0.0</v>
      </c>
      <c r="K58" s="2">
        <v>0.0</v>
      </c>
      <c r="L58" s="2">
        <v>0.0</v>
      </c>
      <c r="M58" s="7"/>
      <c r="N58" s="7"/>
    </row>
    <row r="59">
      <c r="A59" s="12">
        <v>45835.0</v>
      </c>
      <c r="B59" s="6" t="s">
        <v>63</v>
      </c>
      <c r="C59" s="2">
        <v>0.0</v>
      </c>
      <c r="D59" s="16">
        <f t="shared" si="3"/>
        <v>0</v>
      </c>
      <c r="E59" s="17">
        <f>D59/B1</f>
        <v>0</v>
      </c>
      <c r="F59" s="16">
        <f t="shared" si="4"/>
        <v>0</v>
      </c>
      <c r="G59" s="17">
        <f>F59/B2</f>
        <v>0</v>
      </c>
      <c r="H59" s="15">
        <f t="shared" si="5"/>
        <v>0</v>
      </c>
      <c r="I59" s="14">
        <f>H59/B3</f>
        <v>0</v>
      </c>
      <c r="J59" s="2">
        <v>0.0</v>
      </c>
      <c r="K59" s="2">
        <v>0.0</v>
      </c>
      <c r="L59" s="2">
        <v>0.0</v>
      </c>
    </row>
    <row r="60">
      <c r="A60" s="12">
        <v>45836.0</v>
      </c>
      <c r="B60" s="6" t="s">
        <v>61</v>
      </c>
      <c r="C60" s="2">
        <v>0.0</v>
      </c>
      <c r="D60" s="16">
        <f t="shared" si="3"/>
        <v>0</v>
      </c>
      <c r="E60" s="17">
        <f>D60/B1</f>
        <v>0</v>
      </c>
      <c r="F60" s="16">
        <f t="shared" si="4"/>
        <v>0</v>
      </c>
      <c r="G60" s="17">
        <f>F60/B2</f>
        <v>0</v>
      </c>
      <c r="H60" s="15">
        <f t="shared" si="5"/>
        <v>0</v>
      </c>
      <c r="I60" s="14">
        <f>H60/B3</f>
        <v>0</v>
      </c>
      <c r="J60" s="2">
        <v>0.0</v>
      </c>
      <c r="K60" s="2">
        <v>0.0</v>
      </c>
      <c r="L60" s="2">
        <v>0.0</v>
      </c>
    </row>
    <row r="61">
      <c r="A61" s="12">
        <v>45836.0</v>
      </c>
      <c r="B61" s="6" t="s">
        <v>62</v>
      </c>
      <c r="C61" s="2">
        <v>0.0</v>
      </c>
      <c r="D61" s="16">
        <f t="shared" si="3"/>
        <v>0</v>
      </c>
      <c r="E61" s="17">
        <f>D61/B1</f>
        <v>0</v>
      </c>
      <c r="F61" s="16">
        <f t="shared" si="4"/>
        <v>0</v>
      </c>
      <c r="G61" s="17">
        <f>F61/B2</f>
        <v>0</v>
      </c>
      <c r="H61" s="15">
        <f t="shared" si="5"/>
        <v>0</v>
      </c>
      <c r="I61" s="14">
        <f>H61/B3</f>
        <v>0</v>
      </c>
      <c r="J61" s="2">
        <v>0.0</v>
      </c>
      <c r="K61" s="2">
        <v>0.0</v>
      </c>
      <c r="L61" s="2">
        <v>0.0</v>
      </c>
    </row>
    <row r="62">
      <c r="A62" s="12">
        <v>45836.0</v>
      </c>
      <c r="B62" s="6" t="s">
        <v>63</v>
      </c>
      <c r="C62" s="2">
        <v>0.0</v>
      </c>
      <c r="D62" s="16">
        <f t="shared" si="3"/>
        <v>0</v>
      </c>
      <c r="E62" s="17">
        <f>D62/B1</f>
        <v>0</v>
      </c>
      <c r="F62" s="16">
        <f t="shared" si="4"/>
        <v>0</v>
      </c>
      <c r="G62" s="17">
        <f>F62/B2</f>
        <v>0</v>
      </c>
      <c r="H62" s="15">
        <f t="shared" si="5"/>
        <v>0</v>
      </c>
      <c r="I62" s="14">
        <f>H62/B3</f>
        <v>0</v>
      </c>
      <c r="J62" s="2">
        <v>0.0</v>
      </c>
      <c r="K62" s="2">
        <v>0.0</v>
      </c>
      <c r="L62" s="2">
        <v>0.0</v>
      </c>
    </row>
    <row r="63">
      <c r="A63" s="12">
        <v>45837.0</v>
      </c>
      <c r="B63" s="6" t="s">
        <v>61</v>
      </c>
      <c r="C63" s="2">
        <v>0.0</v>
      </c>
      <c r="D63" s="16">
        <f t="shared" si="3"/>
        <v>0</v>
      </c>
      <c r="E63" s="17">
        <f>D63/B1</f>
        <v>0</v>
      </c>
      <c r="F63" s="16">
        <f t="shared" si="4"/>
        <v>0</v>
      </c>
      <c r="G63" s="17">
        <f>F63/B2</f>
        <v>0</v>
      </c>
      <c r="H63" s="15">
        <f t="shared" si="5"/>
        <v>0</v>
      </c>
      <c r="I63" s="14">
        <f>H63/B3</f>
        <v>0</v>
      </c>
      <c r="J63" s="2">
        <v>0.0</v>
      </c>
      <c r="K63" s="2">
        <v>0.0</v>
      </c>
      <c r="L63" s="2">
        <v>0.0</v>
      </c>
    </row>
    <row r="64">
      <c r="A64" s="12">
        <v>45837.0</v>
      </c>
      <c r="B64" s="6" t="s">
        <v>62</v>
      </c>
      <c r="C64" s="2">
        <v>0.0</v>
      </c>
      <c r="D64" s="16">
        <f t="shared" si="3"/>
        <v>0</v>
      </c>
      <c r="E64" s="17">
        <f>D64/B1</f>
        <v>0</v>
      </c>
      <c r="F64" s="16">
        <f t="shared" si="4"/>
        <v>0</v>
      </c>
      <c r="G64" s="17">
        <f>F64/B2</f>
        <v>0</v>
      </c>
      <c r="H64" s="15">
        <f t="shared" si="5"/>
        <v>0</v>
      </c>
      <c r="I64" s="14">
        <f>H64/B3</f>
        <v>0</v>
      </c>
      <c r="J64" s="2">
        <v>0.0</v>
      </c>
      <c r="K64" s="2">
        <v>0.0</v>
      </c>
      <c r="L64" s="2">
        <v>0.0</v>
      </c>
    </row>
    <row r="65">
      <c r="A65" s="12">
        <v>45837.0</v>
      </c>
      <c r="B65" s="6" t="s">
        <v>63</v>
      </c>
      <c r="C65" s="2">
        <v>0.0</v>
      </c>
      <c r="D65" s="16">
        <f t="shared" si="3"/>
        <v>0</v>
      </c>
      <c r="E65" s="17">
        <f>D65/B1</f>
        <v>0</v>
      </c>
      <c r="F65" s="16">
        <f t="shared" si="4"/>
        <v>0</v>
      </c>
      <c r="G65" s="17">
        <f>F65/B2</f>
        <v>0</v>
      </c>
      <c r="H65" s="15">
        <f t="shared" si="5"/>
        <v>0</v>
      </c>
      <c r="I65" s="14">
        <f>H65/B3</f>
        <v>0</v>
      </c>
      <c r="J65" s="2">
        <v>0.0</v>
      </c>
      <c r="K65" s="2">
        <v>0.0</v>
      </c>
      <c r="L65" s="2">
        <v>0.0</v>
      </c>
    </row>
    <row r="66">
      <c r="A66" s="12">
        <v>45838.0</v>
      </c>
      <c r="B66" s="6" t="s">
        <v>61</v>
      </c>
      <c r="C66" s="2">
        <v>0.0</v>
      </c>
      <c r="D66" s="16">
        <f t="shared" si="3"/>
        <v>0</v>
      </c>
      <c r="E66" s="17">
        <f>D66/B1</f>
        <v>0</v>
      </c>
      <c r="F66" s="16">
        <f t="shared" si="4"/>
        <v>0</v>
      </c>
      <c r="G66" s="17">
        <f>F66/B2</f>
        <v>0</v>
      </c>
      <c r="H66" s="15">
        <f t="shared" si="5"/>
        <v>0</v>
      </c>
      <c r="I66" s="14">
        <f>H66/B3</f>
        <v>0</v>
      </c>
      <c r="J66" s="2">
        <v>0.0</v>
      </c>
      <c r="K66" s="2">
        <v>0.0</v>
      </c>
      <c r="L66" s="2">
        <v>0.0</v>
      </c>
    </row>
    <row r="67">
      <c r="A67" s="12">
        <v>45838.0</v>
      </c>
      <c r="B67" s="6" t="s">
        <v>62</v>
      </c>
      <c r="C67" s="2">
        <v>0.0</v>
      </c>
      <c r="D67" s="16">
        <f t="shared" si="3"/>
        <v>0</v>
      </c>
      <c r="E67" s="17">
        <f>D67/B1</f>
        <v>0</v>
      </c>
      <c r="F67" s="16">
        <f t="shared" si="4"/>
        <v>0</v>
      </c>
      <c r="G67" s="17">
        <f>F67/B2</f>
        <v>0</v>
      </c>
      <c r="H67" s="15">
        <f t="shared" si="5"/>
        <v>0</v>
      </c>
      <c r="I67" s="14">
        <f>H67/B3</f>
        <v>0</v>
      </c>
      <c r="J67" s="2">
        <v>0.0</v>
      </c>
      <c r="K67" s="2">
        <v>0.0</v>
      </c>
      <c r="L67" s="2">
        <v>0.0</v>
      </c>
    </row>
    <row r="68">
      <c r="A68" s="12">
        <v>45838.0</v>
      </c>
      <c r="B68" s="6" t="s">
        <v>63</v>
      </c>
      <c r="C68" s="2">
        <v>0.0</v>
      </c>
      <c r="D68" s="16">
        <f t="shared" si="3"/>
        <v>0</v>
      </c>
      <c r="E68" s="17">
        <f>D68/B1</f>
        <v>0</v>
      </c>
      <c r="F68" s="16">
        <f t="shared" si="4"/>
        <v>0</v>
      </c>
      <c r="G68" s="17">
        <f>F68/B2</f>
        <v>0</v>
      </c>
      <c r="H68" s="15">
        <f t="shared" si="5"/>
        <v>0</v>
      </c>
      <c r="I68" s="14">
        <f>H68/B3</f>
        <v>0</v>
      </c>
      <c r="J68" s="2">
        <v>0.0</v>
      </c>
      <c r="K68" s="2">
        <v>0.0</v>
      </c>
      <c r="L68" s="2">
        <v>0.0</v>
      </c>
    </row>
    <row r="69">
      <c r="A69" s="12">
        <v>45839.0</v>
      </c>
      <c r="B69" s="6" t="s">
        <v>61</v>
      </c>
      <c r="C69" s="2">
        <v>0.0</v>
      </c>
      <c r="D69" s="16">
        <f t="shared" si="3"/>
        <v>0</v>
      </c>
      <c r="E69" s="17">
        <f>D69/B1</f>
        <v>0</v>
      </c>
      <c r="F69" s="16">
        <f t="shared" si="4"/>
        <v>0</v>
      </c>
      <c r="G69" s="17">
        <f>F69/B2</f>
        <v>0</v>
      </c>
      <c r="H69" s="15">
        <f t="shared" si="5"/>
        <v>0</v>
      </c>
      <c r="I69" s="14">
        <f>H69/B3</f>
        <v>0</v>
      </c>
      <c r="J69" s="2">
        <v>0.0</v>
      </c>
      <c r="K69" s="2">
        <v>0.0</v>
      </c>
      <c r="L69" s="2">
        <v>0.0</v>
      </c>
    </row>
    <row r="70">
      <c r="A70" s="12">
        <v>45839.0</v>
      </c>
      <c r="B70" s="6" t="s">
        <v>62</v>
      </c>
      <c r="C70" s="2">
        <v>0.0</v>
      </c>
      <c r="D70" s="16">
        <f t="shared" si="3"/>
        <v>0</v>
      </c>
      <c r="E70" s="17">
        <f>D70/B1</f>
        <v>0</v>
      </c>
      <c r="F70" s="16">
        <f t="shared" si="4"/>
        <v>0</v>
      </c>
      <c r="G70" s="17">
        <f>F70/B2</f>
        <v>0</v>
      </c>
      <c r="H70" s="15">
        <f t="shared" si="5"/>
        <v>0</v>
      </c>
      <c r="I70" s="14">
        <f>H70/B3</f>
        <v>0</v>
      </c>
      <c r="J70" s="2">
        <v>0.0</v>
      </c>
      <c r="K70" s="2">
        <v>0.0</v>
      </c>
      <c r="L70" s="2">
        <v>0.0</v>
      </c>
    </row>
    <row r="71">
      <c r="A71" s="12">
        <v>45839.0</v>
      </c>
      <c r="B71" s="6" t="s">
        <v>63</v>
      </c>
      <c r="C71" s="2">
        <v>0.0</v>
      </c>
      <c r="D71" s="16">
        <f t="shared" si="3"/>
        <v>0</v>
      </c>
      <c r="E71" s="17">
        <f>D71/B1</f>
        <v>0</v>
      </c>
      <c r="F71" s="16">
        <f t="shared" si="4"/>
        <v>0</v>
      </c>
      <c r="G71" s="17">
        <f>F71/B2</f>
        <v>0</v>
      </c>
      <c r="H71" s="15">
        <f t="shared" si="5"/>
        <v>0</v>
      </c>
      <c r="I71" s="14">
        <f>H71/B3</f>
        <v>0</v>
      </c>
      <c r="J71" s="2">
        <v>0.0</v>
      </c>
      <c r="K71" s="2">
        <v>0.0</v>
      </c>
      <c r="L71" s="2">
        <v>0.0</v>
      </c>
    </row>
    <row r="72">
      <c r="A72" s="12">
        <v>45840.0</v>
      </c>
      <c r="B72" s="6" t="s">
        <v>61</v>
      </c>
      <c r="C72" s="2">
        <v>0.0</v>
      </c>
      <c r="D72" s="16">
        <f t="shared" si="3"/>
        <v>0</v>
      </c>
      <c r="E72" s="17">
        <f>D72/B1</f>
        <v>0</v>
      </c>
      <c r="F72" s="16">
        <f t="shared" si="4"/>
        <v>0</v>
      </c>
      <c r="G72" s="17">
        <f>F72/B2</f>
        <v>0</v>
      </c>
      <c r="H72" s="15">
        <f t="shared" si="5"/>
        <v>0</v>
      </c>
      <c r="I72" s="14">
        <f>H72/B3</f>
        <v>0</v>
      </c>
      <c r="J72" s="2">
        <v>0.0</v>
      </c>
      <c r="K72" s="2">
        <v>0.0</v>
      </c>
      <c r="L72" s="2">
        <v>0.0</v>
      </c>
    </row>
    <row r="73">
      <c r="A73" s="12">
        <v>45840.0</v>
      </c>
      <c r="B73" s="6" t="s">
        <v>62</v>
      </c>
      <c r="C73" s="2">
        <v>0.0</v>
      </c>
      <c r="D73" s="16">
        <f t="shared" si="3"/>
        <v>0</v>
      </c>
      <c r="E73" s="17">
        <f>D73/B1</f>
        <v>0</v>
      </c>
      <c r="F73" s="16">
        <f t="shared" si="4"/>
        <v>0</v>
      </c>
      <c r="G73" s="17">
        <f>F73/B2</f>
        <v>0</v>
      </c>
      <c r="H73" s="15">
        <f t="shared" si="5"/>
        <v>0</v>
      </c>
      <c r="I73" s="14">
        <f>H73/B3</f>
        <v>0</v>
      </c>
      <c r="J73" s="2">
        <v>0.0</v>
      </c>
      <c r="K73" s="2">
        <v>0.0</v>
      </c>
      <c r="L73" s="2">
        <v>0.0</v>
      </c>
    </row>
    <row r="74">
      <c r="A74" s="12">
        <v>45840.0</v>
      </c>
      <c r="B74" s="6" t="s">
        <v>63</v>
      </c>
      <c r="C74" s="2">
        <v>0.0</v>
      </c>
      <c r="D74" s="16">
        <f t="shared" si="3"/>
        <v>0</v>
      </c>
      <c r="E74" s="17">
        <f>D74/B1</f>
        <v>0</v>
      </c>
      <c r="F74" s="16">
        <f t="shared" si="4"/>
        <v>0</v>
      </c>
      <c r="G74" s="17">
        <f>F74/B2</f>
        <v>0</v>
      </c>
      <c r="H74" s="15">
        <f t="shared" si="5"/>
        <v>0</v>
      </c>
      <c r="I74" s="14">
        <f>H74/B3</f>
        <v>0</v>
      </c>
      <c r="J74" s="2">
        <v>0.0</v>
      </c>
      <c r="K74" s="2">
        <v>0.0</v>
      </c>
      <c r="L74" s="2">
        <v>0.0</v>
      </c>
    </row>
    <row r="75">
      <c r="A75" s="12">
        <v>45841.0</v>
      </c>
      <c r="B75" s="6" t="s">
        <v>61</v>
      </c>
      <c r="C75" s="2">
        <v>0.0</v>
      </c>
      <c r="D75" s="16">
        <f t="shared" si="3"/>
        <v>0</v>
      </c>
      <c r="E75" s="17">
        <f>D75/B1</f>
        <v>0</v>
      </c>
      <c r="F75" s="16">
        <f t="shared" si="4"/>
        <v>0</v>
      </c>
      <c r="G75" s="17">
        <f>F75/B2</f>
        <v>0</v>
      </c>
      <c r="H75" s="15">
        <f t="shared" si="5"/>
        <v>0</v>
      </c>
      <c r="I75" s="14">
        <f>H75/B3</f>
        <v>0</v>
      </c>
      <c r="J75" s="2">
        <v>0.0</v>
      </c>
      <c r="K75" s="2">
        <v>0.0</v>
      </c>
      <c r="L75" s="2">
        <v>0.0</v>
      </c>
    </row>
    <row r="76">
      <c r="A76" s="12">
        <v>45841.0</v>
      </c>
      <c r="B76" s="6" t="s">
        <v>62</v>
      </c>
      <c r="C76" s="2">
        <v>0.0</v>
      </c>
      <c r="D76" s="16">
        <f t="shared" si="3"/>
        <v>0</v>
      </c>
      <c r="E76" s="17">
        <f>D76/B1</f>
        <v>0</v>
      </c>
      <c r="F76" s="16">
        <f t="shared" si="4"/>
        <v>0</v>
      </c>
      <c r="G76" s="17">
        <f>F76/B2</f>
        <v>0</v>
      </c>
      <c r="H76" s="15">
        <f t="shared" si="5"/>
        <v>0</v>
      </c>
      <c r="I76" s="14">
        <f>H76/B3</f>
        <v>0</v>
      </c>
      <c r="J76" s="2">
        <v>0.0</v>
      </c>
      <c r="K76" s="2">
        <v>0.0</v>
      </c>
      <c r="L76" s="2">
        <v>0.0</v>
      </c>
    </row>
    <row r="77">
      <c r="A77" s="12">
        <v>45841.0</v>
      </c>
      <c r="B77" s="6" t="s">
        <v>63</v>
      </c>
      <c r="C77" s="2">
        <v>0.0</v>
      </c>
      <c r="D77" s="16">
        <f t="shared" si="3"/>
        <v>0</v>
      </c>
      <c r="E77" s="17">
        <f>D77/B1</f>
        <v>0</v>
      </c>
      <c r="F77" s="16">
        <f t="shared" si="4"/>
        <v>0</v>
      </c>
      <c r="G77" s="17">
        <f>F77/B2</f>
        <v>0</v>
      </c>
      <c r="H77" s="15">
        <f t="shared" si="5"/>
        <v>0</v>
      </c>
      <c r="I77" s="14">
        <f>H77/B3</f>
        <v>0</v>
      </c>
      <c r="J77" s="2">
        <v>0.0</v>
      </c>
      <c r="K77" s="2">
        <v>0.0</v>
      </c>
      <c r="L77" s="2">
        <v>0.0</v>
      </c>
    </row>
    <row r="78">
      <c r="A78" s="12">
        <v>45842.0</v>
      </c>
      <c r="B78" s="6" t="s">
        <v>61</v>
      </c>
      <c r="C78" s="2">
        <v>0.0</v>
      </c>
      <c r="D78" s="16">
        <f t="shared" si="3"/>
        <v>0</v>
      </c>
      <c r="E78" s="17">
        <f>D78/B1</f>
        <v>0</v>
      </c>
      <c r="F78" s="16">
        <f t="shared" si="4"/>
        <v>0</v>
      </c>
      <c r="G78" s="17">
        <f>F78/B2</f>
        <v>0</v>
      </c>
      <c r="H78" s="15">
        <f t="shared" si="5"/>
        <v>0</v>
      </c>
      <c r="I78" s="14">
        <f>H78/B3</f>
        <v>0</v>
      </c>
      <c r="J78" s="2">
        <v>0.0</v>
      </c>
      <c r="K78" s="2">
        <v>0.0</v>
      </c>
      <c r="L78" s="2">
        <v>0.0</v>
      </c>
    </row>
    <row r="79">
      <c r="A79" s="12">
        <v>45842.0</v>
      </c>
      <c r="B79" s="6" t="s">
        <v>62</v>
      </c>
      <c r="C79" s="2">
        <v>0.0</v>
      </c>
      <c r="D79" s="16">
        <f t="shared" si="3"/>
        <v>0</v>
      </c>
      <c r="E79" s="17">
        <f>D79/B1</f>
        <v>0</v>
      </c>
      <c r="F79" s="16">
        <f t="shared" si="4"/>
        <v>0</v>
      </c>
      <c r="G79" s="17">
        <f>F79/B2</f>
        <v>0</v>
      </c>
      <c r="H79" s="15">
        <f t="shared" si="5"/>
        <v>0</v>
      </c>
      <c r="I79" s="14">
        <f>H79/B3</f>
        <v>0</v>
      </c>
      <c r="J79" s="2">
        <v>0.0</v>
      </c>
      <c r="K79" s="2">
        <v>0.0</v>
      </c>
      <c r="L79" s="2">
        <v>0.0</v>
      </c>
    </row>
    <row r="80">
      <c r="A80" s="12">
        <v>45842.0</v>
      </c>
      <c r="B80" s="6" t="s">
        <v>63</v>
      </c>
      <c r="C80" s="2">
        <v>0.0</v>
      </c>
      <c r="D80" s="16">
        <f t="shared" si="3"/>
        <v>0</v>
      </c>
      <c r="E80" s="17">
        <f>D80/B1</f>
        <v>0</v>
      </c>
      <c r="F80" s="16">
        <f t="shared" si="4"/>
        <v>0</v>
      </c>
      <c r="G80" s="17">
        <f>F80/B2</f>
        <v>0</v>
      </c>
      <c r="H80" s="15">
        <f t="shared" si="5"/>
        <v>0</v>
      </c>
      <c r="I80" s="14">
        <f>H80/B3</f>
        <v>0</v>
      </c>
      <c r="J80" s="2">
        <v>0.0</v>
      </c>
      <c r="K80" s="2">
        <v>0.0</v>
      </c>
      <c r="L80" s="2">
        <v>0.0</v>
      </c>
    </row>
    <row r="81">
      <c r="A81" s="12">
        <v>45843.0</v>
      </c>
      <c r="B81" s="6" t="s">
        <v>61</v>
      </c>
      <c r="C81" s="2">
        <v>0.0</v>
      </c>
      <c r="D81" s="16">
        <f t="shared" si="3"/>
        <v>0</v>
      </c>
      <c r="E81" s="17">
        <f>D81/B1</f>
        <v>0</v>
      </c>
      <c r="F81" s="16">
        <f t="shared" si="4"/>
        <v>0</v>
      </c>
      <c r="G81" s="17">
        <f>F81/B2</f>
        <v>0</v>
      </c>
      <c r="H81" s="15">
        <f t="shared" si="5"/>
        <v>0</v>
      </c>
      <c r="I81" s="14">
        <f>H81/B3</f>
        <v>0</v>
      </c>
      <c r="J81" s="2">
        <v>0.0</v>
      </c>
      <c r="K81" s="2">
        <v>0.0</v>
      </c>
      <c r="L81" s="2">
        <v>0.0</v>
      </c>
    </row>
    <row r="82">
      <c r="A82" s="12">
        <v>45843.0</v>
      </c>
      <c r="B82" s="6" t="s">
        <v>62</v>
      </c>
      <c r="C82" s="2">
        <v>0.0</v>
      </c>
      <c r="D82" s="16">
        <f t="shared" si="3"/>
        <v>0</v>
      </c>
      <c r="E82" s="17">
        <f>D82/B1</f>
        <v>0</v>
      </c>
      <c r="F82" s="16">
        <f t="shared" si="4"/>
        <v>0</v>
      </c>
      <c r="G82" s="17">
        <f>F82/B2</f>
        <v>0</v>
      </c>
      <c r="H82" s="15">
        <f t="shared" si="5"/>
        <v>0</v>
      </c>
      <c r="I82" s="14">
        <f>H82/B3</f>
        <v>0</v>
      </c>
      <c r="J82" s="2">
        <v>0.0</v>
      </c>
      <c r="K82" s="2">
        <v>0.0</v>
      </c>
      <c r="L82" s="2">
        <v>0.0</v>
      </c>
    </row>
    <row r="83">
      <c r="A83" s="12">
        <v>45843.0</v>
      </c>
      <c r="B83" s="6" t="s">
        <v>63</v>
      </c>
      <c r="C83" s="2">
        <v>0.0</v>
      </c>
      <c r="D83" s="16">
        <f t="shared" si="3"/>
        <v>0</v>
      </c>
      <c r="E83" s="17">
        <f>D83/B1</f>
        <v>0</v>
      </c>
      <c r="F83" s="16">
        <f t="shared" si="4"/>
        <v>0</v>
      </c>
      <c r="G83" s="17">
        <f>F83/B2</f>
        <v>0</v>
      </c>
      <c r="H83" s="15">
        <f t="shared" si="5"/>
        <v>0</v>
      </c>
      <c r="I83" s="14">
        <f>H83/B3</f>
        <v>0</v>
      </c>
      <c r="J83" s="2">
        <v>0.0</v>
      </c>
      <c r="K83" s="2">
        <v>0.0</v>
      </c>
      <c r="L83" s="2">
        <v>0.0</v>
      </c>
    </row>
    <row r="84">
      <c r="A84" s="12">
        <v>45844.0</v>
      </c>
      <c r="B84" s="6" t="s">
        <v>61</v>
      </c>
      <c r="C84" s="2">
        <v>0.0</v>
      </c>
      <c r="D84" s="16">
        <f t="shared" si="3"/>
        <v>0</v>
      </c>
      <c r="E84" s="17">
        <f>D84/B1</f>
        <v>0</v>
      </c>
      <c r="F84" s="16">
        <f t="shared" si="4"/>
        <v>0</v>
      </c>
      <c r="G84" s="17">
        <f>F84/B2</f>
        <v>0</v>
      </c>
      <c r="H84" s="15">
        <f t="shared" si="5"/>
        <v>0</v>
      </c>
      <c r="I84" s="14">
        <f>H84/B3</f>
        <v>0</v>
      </c>
      <c r="J84" s="2">
        <v>0.0</v>
      </c>
      <c r="K84" s="2">
        <v>0.0</v>
      </c>
      <c r="L84" s="2">
        <v>0.0</v>
      </c>
    </row>
    <row r="85">
      <c r="A85" s="12">
        <v>45844.0</v>
      </c>
      <c r="B85" s="6" t="s">
        <v>62</v>
      </c>
      <c r="C85" s="2">
        <v>0.0</v>
      </c>
      <c r="D85" s="16">
        <f t="shared" si="3"/>
        <v>0</v>
      </c>
      <c r="E85" s="17">
        <f>D85/B1</f>
        <v>0</v>
      </c>
      <c r="F85" s="16">
        <f t="shared" si="4"/>
        <v>0</v>
      </c>
      <c r="G85" s="17">
        <f>F85/B2</f>
        <v>0</v>
      </c>
      <c r="H85" s="15">
        <f t="shared" si="5"/>
        <v>0</v>
      </c>
      <c r="I85" s="14">
        <f>H85/B3</f>
        <v>0</v>
      </c>
      <c r="J85" s="2">
        <v>0.0</v>
      </c>
      <c r="K85" s="2">
        <v>0.0</v>
      </c>
      <c r="L85" s="2">
        <v>0.0</v>
      </c>
    </row>
    <row r="86">
      <c r="A86" s="12">
        <v>45844.0</v>
      </c>
      <c r="B86" s="6" t="s">
        <v>63</v>
      </c>
      <c r="C86" s="2">
        <v>0.0</v>
      </c>
      <c r="D86" s="16">
        <f t="shared" si="3"/>
        <v>0</v>
      </c>
      <c r="E86" s="17">
        <f>D86/B1</f>
        <v>0</v>
      </c>
      <c r="F86" s="16">
        <f t="shared" si="4"/>
        <v>0</v>
      </c>
      <c r="G86" s="17">
        <f>F86/B2</f>
        <v>0</v>
      </c>
      <c r="H86" s="15">
        <f t="shared" si="5"/>
        <v>0</v>
      </c>
      <c r="I86" s="14">
        <f>H86/B3</f>
        <v>0</v>
      </c>
      <c r="J86" s="2">
        <v>0.0</v>
      </c>
      <c r="K86" s="2">
        <v>0.0</v>
      </c>
      <c r="L86" s="2">
        <v>0.0</v>
      </c>
    </row>
    <row r="87">
      <c r="A87" s="12">
        <v>45845.0</v>
      </c>
      <c r="B87" s="6" t="s">
        <v>61</v>
      </c>
      <c r="C87" s="2">
        <v>0.0</v>
      </c>
      <c r="D87" s="16">
        <f t="shared" si="3"/>
        <v>0</v>
      </c>
      <c r="E87" s="17">
        <f>D87/B1</f>
        <v>0</v>
      </c>
      <c r="F87" s="16">
        <f t="shared" si="4"/>
        <v>0</v>
      </c>
      <c r="G87" s="17">
        <f>F87/B2</f>
        <v>0</v>
      </c>
      <c r="H87" s="15">
        <f t="shared" si="5"/>
        <v>0</v>
      </c>
      <c r="I87" s="14">
        <f>H87/B3</f>
        <v>0</v>
      </c>
      <c r="J87" s="2">
        <v>0.0</v>
      </c>
      <c r="K87" s="2">
        <v>0.0</v>
      </c>
      <c r="L87" s="2">
        <v>0.0</v>
      </c>
    </row>
    <row r="88">
      <c r="A88" s="12">
        <v>45845.0</v>
      </c>
      <c r="B88" s="6" t="s">
        <v>62</v>
      </c>
      <c r="C88" s="2">
        <v>0.0</v>
      </c>
      <c r="D88" s="16">
        <f t="shared" si="3"/>
        <v>0</v>
      </c>
      <c r="E88" s="17">
        <f>D88/B1</f>
        <v>0</v>
      </c>
      <c r="F88" s="16">
        <f t="shared" si="4"/>
        <v>0</v>
      </c>
      <c r="G88" s="17">
        <f>F88/B2</f>
        <v>0</v>
      </c>
      <c r="H88" s="15">
        <f t="shared" si="5"/>
        <v>0</v>
      </c>
      <c r="I88" s="14">
        <f>H88/B3</f>
        <v>0</v>
      </c>
      <c r="J88" s="2">
        <v>0.0</v>
      </c>
      <c r="K88" s="2">
        <v>0.0</v>
      </c>
      <c r="L88" s="2">
        <v>0.0</v>
      </c>
    </row>
    <row r="89">
      <c r="A89" s="12">
        <v>45845.0</v>
      </c>
      <c r="B89" s="6" t="s">
        <v>63</v>
      </c>
      <c r="C89" s="2">
        <v>0.0</v>
      </c>
      <c r="D89" s="16">
        <f t="shared" si="3"/>
        <v>0</v>
      </c>
      <c r="E89" s="17">
        <f>D89/B1</f>
        <v>0</v>
      </c>
      <c r="F89" s="16">
        <f t="shared" si="4"/>
        <v>0</v>
      </c>
      <c r="G89" s="17">
        <f>F89/B2</f>
        <v>0</v>
      </c>
      <c r="H89" s="15">
        <f t="shared" si="5"/>
        <v>0</v>
      </c>
      <c r="I89" s="14">
        <f>H89/B3</f>
        <v>0</v>
      </c>
      <c r="J89" s="2">
        <v>0.0</v>
      </c>
      <c r="K89" s="2">
        <v>0.0</v>
      </c>
      <c r="L89" s="2">
        <v>0.0</v>
      </c>
    </row>
  </sheetData>
  <dataValidations>
    <dataValidation type="list" allowBlank="1" showErrorMessage="1" sqref="B6:B89">
      <formula1>"WW,FLA,MAC1+"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60.13"/>
    <col customWidth="1" min="2" max="2" width="22.63"/>
    <col customWidth="1" min="3" max="3" width="10.25"/>
    <col customWidth="1" min="4" max="4" width="17.0"/>
    <col customWidth="1" min="5" max="5" width="15.0"/>
    <col customWidth="1" min="6" max="6" width="17.0"/>
    <col customWidth="1" min="7" max="7" width="16.13"/>
    <col customWidth="1" min="8" max="9" width="16.38"/>
    <col customWidth="1" min="10" max="10" width="12.63"/>
    <col customWidth="1" min="11" max="11" width="14.88"/>
    <col customWidth="1" min="12" max="12" width="13.0"/>
  </cols>
  <sheetData>
    <row r="1">
      <c r="A1" s="1" t="s">
        <v>81</v>
      </c>
      <c r="B1" s="2">
        <v>10.0</v>
      </c>
      <c r="C1" s="2">
        <f>D98</f>
        <v>0</v>
      </c>
      <c r="D1" s="5">
        <f t="shared" ref="D1:D4" si="1">C1/B1</f>
        <v>0</v>
      </c>
      <c r="G1" s="1" t="s">
        <v>1</v>
      </c>
      <c r="H1" s="3">
        <f>IFERROR(__xludf.DUMMYFUNCTION("COUNTUNIQUE(A6:A98)"),31.0)</f>
        <v>31</v>
      </c>
      <c r="I1" s="3"/>
      <c r="J1" s="6"/>
      <c r="K1" s="3"/>
      <c r="L1" s="3"/>
      <c r="M1" s="7"/>
      <c r="N1" s="7"/>
    </row>
    <row r="2">
      <c r="A2" s="1" t="s">
        <v>82</v>
      </c>
      <c r="B2" s="2">
        <v>10.0</v>
      </c>
      <c r="C2" s="4">
        <f>F98</f>
        <v>0</v>
      </c>
      <c r="D2" s="5">
        <f t="shared" si="1"/>
        <v>0</v>
      </c>
      <c r="G2" s="1" t="s">
        <v>5</v>
      </c>
      <c r="H2" s="3">
        <f>(B1+B2+B3)/F4</f>
        <v>31</v>
      </c>
      <c r="I2" s="3"/>
      <c r="J2" s="3"/>
      <c r="K2" s="3"/>
      <c r="L2" s="3"/>
      <c r="M2" s="7"/>
      <c r="N2" s="7"/>
    </row>
    <row r="3">
      <c r="A3" s="1" t="s">
        <v>55</v>
      </c>
      <c r="B3" s="2">
        <v>15.0</v>
      </c>
      <c r="C3" s="4">
        <f>H98</f>
        <v>0</v>
      </c>
      <c r="D3" s="8">
        <f t="shared" si="1"/>
        <v>0</v>
      </c>
      <c r="E3" s="3"/>
      <c r="F3" s="6"/>
      <c r="G3" s="3"/>
      <c r="H3" s="3"/>
      <c r="I3" s="3"/>
      <c r="J3" s="3"/>
      <c r="K3" s="3"/>
      <c r="L3" s="3"/>
      <c r="M3" s="7"/>
      <c r="N3" s="7"/>
    </row>
    <row r="4">
      <c r="A4" s="3"/>
      <c r="B4" s="9">
        <f t="shared" ref="B4:C4" si="2">SUM(B1:B3)</f>
        <v>35</v>
      </c>
      <c r="C4" s="9">
        <f t="shared" si="2"/>
        <v>0</v>
      </c>
      <c r="D4" s="5">
        <f t="shared" si="1"/>
        <v>0</v>
      </c>
      <c r="E4" s="1" t="s">
        <v>7</v>
      </c>
      <c r="F4" s="3">
        <f>SUM(C6:C98)/H1</f>
        <v>1.129032258</v>
      </c>
      <c r="G4" s="3"/>
      <c r="H4" s="3"/>
      <c r="I4" s="3"/>
      <c r="J4" s="3"/>
      <c r="K4" s="3"/>
      <c r="L4" s="3"/>
      <c r="M4" s="7"/>
      <c r="N4" s="7"/>
    </row>
    <row r="5">
      <c r="A5" s="10" t="s">
        <v>8</v>
      </c>
      <c r="B5" s="10" t="s">
        <v>9</v>
      </c>
      <c r="C5" s="10" t="s">
        <v>10</v>
      </c>
      <c r="D5" s="10" t="s">
        <v>83</v>
      </c>
      <c r="E5" s="10" t="s">
        <v>83</v>
      </c>
      <c r="F5" s="10" t="s">
        <v>84</v>
      </c>
      <c r="G5" s="10" t="s">
        <v>84</v>
      </c>
      <c r="H5" s="10" t="s">
        <v>78</v>
      </c>
      <c r="I5" s="10" t="s">
        <v>78</v>
      </c>
      <c r="J5" s="10" t="s">
        <v>85</v>
      </c>
      <c r="K5" s="10" t="s">
        <v>86</v>
      </c>
      <c r="L5" s="10" t="s">
        <v>80</v>
      </c>
      <c r="M5" s="7"/>
      <c r="N5" s="7"/>
    </row>
    <row r="6">
      <c r="A6" s="12">
        <v>45835.0</v>
      </c>
      <c r="B6" s="6" t="s">
        <v>61</v>
      </c>
      <c r="C6" s="2">
        <v>0.43</v>
      </c>
      <c r="D6" s="4">
        <f>IF(B6="WW",B1-C6,B1)</f>
        <v>9.57</v>
      </c>
      <c r="E6" s="13">
        <f>D6/B1</f>
        <v>0.957</v>
      </c>
      <c r="F6" s="2">
        <f>IF(B6="FLA",B2-C6,B2)</f>
        <v>10</v>
      </c>
      <c r="G6" s="14">
        <f>F6/B2</f>
        <v>1</v>
      </c>
      <c r="H6" s="15">
        <f>IF(B6="MAC1+",B3-C6,B3)</f>
        <v>15</v>
      </c>
      <c r="I6" s="14">
        <f>H6/B3</f>
        <v>1</v>
      </c>
      <c r="J6" s="2">
        <v>0.0</v>
      </c>
      <c r="K6" s="2">
        <v>0.0</v>
      </c>
      <c r="L6" s="2">
        <v>0.0</v>
      </c>
      <c r="M6" s="7"/>
      <c r="N6" s="7"/>
    </row>
    <row r="7">
      <c r="A7" s="12">
        <v>45835.0</v>
      </c>
      <c r="B7" s="6" t="s">
        <v>62</v>
      </c>
      <c r="C7" s="2">
        <v>0.58</v>
      </c>
      <c r="D7" s="16">
        <f t="shared" ref="D7:D98" si="3">IF(B7="WW",D6-C7,D6)</f>
        <v>9.57</v>
      </c>
      <c r="E7" s="17">
        <f>D7/B1</f>
        <v>0.957</v>
      </c>
      <c r="F7" s="16">
        <f t="shared" ref="F7:F98" si="4">IF(B7="FLA",F6-C7,F6)</f>
        <v>9.42</v>
      </c>
      <c r="G7" s="17">
        <f>F7/B2</f>
        <v>0.942</v>
      </c>
      <c r="H7" s="15">
        <f t="shared" ref="H7:H98" si="5">IF(B7="MAC1+",H6-C7,H6)</f>
        <v>15</v>
      </c>
      <c r="I7" s="14">
        <f>H7/B3</f>
        <v>1</v>
      </c>
      <c r="J7" s="2">
        <v>0.0</v>
      </c>
      <c r="K7" s="2">
        <v>0.0</v>
      </c>
      <c r="L7" s="2">
        <v>0.0</v>
      </c>
      <c r="M7" s="7"/>
      <c r="N7" s="7"/>
    </row>
    <row r="8">
      <c r="A8" s="12">
        <v>45835.0</v>
      </c>
      <c r="B8" s="6" t="s">
        <v>63</v>
      </c>
      <c r="C8" s="2">
        <v>0.0</v>
      </c>
      <c r="D8" s="16">
        <f t="shared" si="3"/>
        <v>9.57</v>
      </c>
      <c r="E8" s="17">
        <f>D8/B1</f>
        <v>0.957</v>
      </c>
      <c r="F8" s="16">
        <f t="shared" si="4"/>
        <v>9.42</v>
      </c>
      <c r="G8" s="17">
        <f>F8/B2</f>
        <v>0.942</v>
      </c>
      <c r="H8" s="15">
        <f t="shared" si="5"/>
        <v>15</v>
      </c>
      <c r="I8" s="14">
        <f>H8/B3</f>
        <v>1</v>
      </c>
      <c r="J8" s="2">
        <v>0.0</v>
      </c>
      <c r="K8" s="2">
        <v>0.0</v>
      </c>
      <c r="L8" s="2">
        <v>0.0</v>
      </c>
      <c r="M8" s="7"/>
      <c r="N8" s="7"/>
    </row>
    <row r="9">
      <c r="A9" s="12">
        <v>45836.0</v>
      </c>
      <c r="B9" s="6" t="s">
        <v>61</v>
      </c>
      <c r="C9" s="2">
        <v>0.0</v>
      </c>
      <c r="D9" s="16">
        <f t="shared" si="3"/>
        <v>9.57</v>
      </c>
      <c r="E9" s="17">
        <f>D9/B1</f>
        <v>0.957</v>
      </c>
      <c r="F9" s="16">
        <f t="shared" si="4"/>
        <v>9.42</v>
      </c>
      <c r="G9" s="17">
        <f>F9/B2</f>
        <v>0.942</v>
      </c>
      <c r="H9" s="15">
        <f t="shared" si="5"/>
        <v>15</v>
      </c>
      <c r="I9" s="14">
        <f>H9/B3</f>
        <v>1</v>
      </c>
      <c r="J9" s="2">
        <v>0.0</v>
      </c>
      <c r="K9" s="2">
        <v>0.0</v>
      </c>
      <c r="L9" s="2">
        <v>0.0</v>
      </c>
      <c r="M9" s="7"/>
      <c r="N9" s="7"/>
    </row>
    <row r="10">
      <c r="A10" s="12">
        <v>45836.0</v>
      </c>
      <c r="B10" s="6" t="s">
        <v>62</v>
      </c>
      <c r="C10" s="2">
        <v>0.63</v>
      </c>
      <c r="D10" s="16">
        <f t="shared" si="3"/>
        <v>9.57</v>
      </c>
      <c r="E10" s="17">
        <f>D10/B1</f>
        <v>0.957</v>
      </c>
      <c r="F10" s="16">
        <f t="shared" si="4"/>
        <v>8.79</v>
      </c>
      <c r="G10" s="17">
        <f>F10/B2</f>
        <v>0.879</v>
      </c>
      <c r="H10" s="15">
        <f t="shared" si="5"/>
        <v>15</v>
      </c>
      <c r="I10" s="14">
        <f>H10/B3</f>
        <v>1</v>
      </c>
      <c r="J10" s="2">
        <v>0.0</v>
      </c>
      <c r="K10" s="2">
        <v>0.0</v>
      </c>
      <c r="L10" s="2">
        <v>0.0</v>
      </c>
      <c r="M10" s="7"/>
      <c r="N10" s="7"/>
    </row>
    <row r="11">
      <c r="A11" s="12">
        <v>45836.0</v>
      </c>
      <c r="B11" s="6" t="s">
        <v>63</v>
      </c>
      <c r="C11" s="2">
        <v>0.73</v>
      </c>
      <c r="D11" s="16">
        <f t="shared" si="3"/>
        <v>9.57</v>
      </c>
      <c r="E11" s="17">
        <f>D11/B1</f>
        <v>0.957</v>
      </c>
      <c r="F11" s="16">
        <f t="shared" si="4"/>
        <v>8.79</v>
      </c>
      <c r="G11" s="17">
        <f>F11/B2</f>
        <v>0.879</v>
      </c>
      <c r="H11" s="15">
        <f t="shared" si="5"/>
        <v>14.27</v>
      </c>
      <c r="I11" s="14">
        <f>H11/B3</f>
        <v>0.9513333333</v>
      </c>
      <c r="J11" s="2">
        <v>0.0</v>
      </c>
      <c r="K11" s="2">
        <v>0.0</v>
      </c>
      <c r="L11" s="2">
        <v>0.0</v>
      </c>
      <c r="M11" s="7"/>
      <c r="N11" s="7"/>
    </row>
    <row r="12">
      <c r="A12" s="12">
        <v>45837.0</v>
      </c>
      <c r="B12" s="6" t="s">
        <v>61</v>
      </c>
      <c r="C12" s="2">
        <v>0.53</v>
      </c>
      <c r="D12" s="16">
        <f t="shared" si="3"/>
        <v>9.04</v>
      </c>
      <c r="E12" s="17">
        <f>D12/B1</f>
        <v>0.904</v>
      </c>
      <c r="F12" s="16">
        <f t="shared" si="4"/>
        <v>8.79</v>
      </c>
      <c r="G12" s="17">
        <f>F12/B2</f>
        <v>0.879</v>
      </c>
      <c r="H12" s="15">
        <f t="shared" si="5"/>
        <v>14.27</v>
      </c>
      <c r="I12" s="14">
        <f>H12/B3</f>
        <v>0.9513333333</v>
      </c>
      <c r="J12" s="2">
        <v>0.0</v>
      </c>
      <c r="K12" s="2">
        <v>0.0</v>
      </c>
      <c r="L12" s="2">
        <v>0.0</v>
      </c>
      <c r="M12" s="7"/>
      <c r="N12" s="7"/>
    </row>
    <row r="13">
      <c r="A13" s="12">
        <v>45837.0</v>
      </c>
      <c r="B13" s="6" t="s">
        <v>62</v>
      </c>
      <c r="C13" s="2">
        <v>0.0</v>
      </c>
      <c r="D13" s="16">
        <f t="shared" si="3"/>
        <v>9.04</v>
      </c>
      <c r="E13" s="17">
        <f>D13/B1</f>
        <v>0.904</v>
      </c>
      <c r="F13" s="16">
        <f t="shared" si="4"/>
        <v>8.79</v>
      </c>
      <c r="G13" s="17">
        <f>F13/B2</f>
        <v>0.879</v>
      </c>
      <c r="H13" s="15">
        <f t="shared" si="5"/>
        <v>14.27</v>
      </c>
      <c r="I13" s="14">
        <f>H13/B3</f>
        <v>0.9513333333</v>
      </c>
      <c r="J13" s="2">
        <v>0.0</v>
      </c>
      <c r="K13" s="2">
        <v>0.0</v>
      </c>
      <c r="L13" s="2">
        <v>0.0</v>
      </c>
      <c r="M13" s="7"/>
      <c r="N13" s="7"/>
    </row>
    <row r="14">
      <c r="A14" s="12">
        <v>45837.0</v>
      </c>
      <c r="B14" s="6" t="s">
        <v>63</v>
      </c>
      <c r="C14" s="2">
        <v>0.95</v>
      </c>
      <c r="D14" s="16">
        <f t="shared" si="3"/>
        <v>9.04</v>
      </c>
      <c r="E14" s="17">
        <f>D14/B1</f>
        <v>0.904</v>
      </c>
      <c r="F14" s="16">
        <f t="shared" si="4"/>
        <v>8.79</v>
      </c>
      <c r="G14" s="17">
        <f>F14/B2</f>
        <v>0.879</v>
      </c>
      <c r="H14" s="15">
        <f t="shared" si="5"/>
        <v>13.32</v>
      </c>
      <c r="I14" s="14">
        <f>H14/B3</f>
        <v>0.888</v>
      </c>
      <c r="J14" s="2">
        <v>0.0</v>
      </c>
      <c r="K14" s="2">
        <v>0.0</v>
      </c>
      <c r="L14" s="2">
        <v>0.0</v>
      </c>
      <c r="M14" s="7"/>
      <c r="N14" s="7"/>
    </row>
    <row r="15">
      <c r="A15" s="12">
        <v>45838.0</v>
      </c>
      <c r="B15" s="6" t="s">
        <v>61</v>
      </c>
      <c r="C15" s="2">
        <v>0.0</v>
      </c>
      <c r="D15" s="16">
        <f t="shared" si="3"/>
        <v>9.04</v>
      </c>
      <c r="E15" s="17">
        <f>D15/B1</f>
        <v>0.904</v>
      </c>
      <c r="F15" s="16">
        <f t="shared" si="4"/>
        <v>8.79</v>
      </c>
      <c r="G15" s="17">
        <f>F15/B2</f>
        <v>0.879</v>
      </c>
      <c r="H15" s="15">
        <f t="shared" si="5"/>
        <v>13.32</v>
      </c>
      <c r="I15" s="14">
        <f>H15/B3</f>
        <v>0.888</v>
      </c>
      <c r="J15" s="2">
        <v>0.0</v>
      </c>
      <c r="K15" s="2">
        <v>0.0</v>
      </c>
      <c r="L15" s="2">
        <v>0.0</v>
      </c>
      <c r="M15" s="7"/>
      <c r="N15" s="7"/>
    </row>
    <row r="16">
      <c r="A16" s="12">
        <v>45838.0</v>
      </c>
      <c r="B16" s="6" t="s">
        <v>62</v>
      </c>
      <c r="C16" s="2">
        <v>0.78</v>
      </c>
      <c r="D16" s="16">
        <f t="shared" si="3"/>
        <v>9.04</v>
      </c>
      <c r="E16" s="17">
        <f>D16/B1</f>
        <v>0.904</v>
      </c>
      <c r="F16" s="16">
        <f t="shared" si="4"/>
        <v>8.01</v>
      </c>
      <c r="G16" s="17">
        <f>F16/B2</f>
        <v>0.801</v>
      </c>
      <c r="H16" s="15">
        <f t="shared" si="5"/>
        <v>13.32</v>
      </c>
      <c r="I16" s="14">
        <f>H16/B3</f>
        <v>0.888</v>
      </c>
      <c r="J16" s="2">
        <v>0.0</v>
      </c>
      <c r="K16" s="2">
        <v>0.0</v>
      </c>
      <c r="L16" s="2">
        <v>0.0</v>
      </c>
      <c r="M16" s="7"/>
      <c r="N16" s="7"/>
    </row>
    <row r="17">
      <c r="A17" s="12">
        <v>45838.0</v>
      </c>
      <c r="B17" s="6" t="s">
        <v>63</v>
      </c>
      <c r="C17" s="2">
        <v>0.78</v>
      </c>
      <c r="D17" s="16">
        <f t="shared" si="3"/>
        <v>9.04</v>
      </c>
      <c r="E17" s="17">
        <f>D17/B1</f>
        <v>0.904</v>
      </c>
      <c r="F17" s="16">
        <f t="shared" si="4"/>
        <v>8.01</v>
      </c>
      <c r="G17" s="17">
        <f>F17/B2</f>
        <v>0.801</v>
      </c>
      <c r="H17" s="15">
        <f t="shared" si="5"/>
        <v>12.54</v>
      </c>
      <c r="I17" s="14">
        <f>H17/B3</f>
        <v>0.836</v>
      </c>
      <c r="J17" s="2">
        <v>0.0</v>
      </c>
      <c r="K17" s="2">
        <v>0.0</v>
      </c>
      <c r="L17" s="2">
        <v>0.0</v>
      </c>
      <c r="M17" s="7"/>
      <c r="N17" s="7"/>
    </row>
    <row r="18">
      <c r="A18" s="12">
        <v>45839.0</v>
      </c>
      <c r="B18" s="6" t="s">
        <v>61</v>
      </c>
      <c r="C18" s="2">
        <v>0.74</v>
      </c>
      <c r="D18" s="16">
        <f t="shared" si="3"/>
        <v>8.3</v>
      </c>
      <c r="E18" s="17">
        <f>D18/B1</f>
        <v>0.83</v>
      </c>
      <c r="F18" s="16">
        <f t="shared" si="4"/>
        <v>8.01</v>
      </c>
      <c r="G18" s="17">
        <f>F18/B2</f>
        <v>0.801</v>
      </c>
      <c r="H18" s="15">
        <f t="shared" si="5"/>
        <v>12.54</v>
      </c>
      <c r="I18" s="14">
        <f>H18/B3</f>
        <v>0.836</v>
      </c>
      <c r="J18" s="2">
        <v>0.0</v>
      </c>
      <c r="K18" s="2">
        <v>0.0</v>
      </c>
      <c r="L18" s="2">
        <v>0.0</v>
      </c>
      <c r="M18" s="7"/>
      <c r="N18" s="7"/>
    </row>
    <row r="19">
      <c r="A19" s="12">
        <v>45839.0</v>
      </c>
      <c r="B19" s="6" t="s">
        <v>62</v>
      </c>
      <c r="C19" s="2">
        <v>0.0</v>
      </c>
      <c r="D19" s="16">
        <f t="shared" si="3"/>
        <v>8.3</v>
      </c>
      <c r="E19" s="17">
        <f>D19/B1</f>
        <v>0.83</v>
      </c>
      <c r="F19" s="16">
        <f t="shared" si="4"/>
        <v>8.01</v>
      </c>
      <c r="G19" s="17">
        <f>F19/B2</f>
        <v>0.801</v>
      </c>
      <c r="H19" s="15">
        <f t="shared" si="5"/>
        <v>12.54</v>
      </c>
      <c r="I19" s="14">
        <f>H19/B3</f>
        <v>0.836</v>
      </c>
      <c r="J19" s="2">
        <v>0.0</v>
      </c>
      <c r="K19" s="2">
        <v>0.0</v>
      </c>
      <c r="L19" s="2">
        <v>0.0</v>
      </c>
      <c r="M19" s="7"/>
      <c r="N19" s="7"/>
    </row>
    <row r="20">
      <c r="A20" s="12">
        <v>45839.0</v>
      </c>
      <c r="B20" s="6" t="s">
        <v>63</v>
      </c>
      <c r="C20" s="2">
        <v>0.86</v>
      </c>
      <c r="D20" s="16">
        <f t="shared" si="3"/>
        <v>8.3</v>
      </c>
      <c r="E20" s="17">
        <f>D20/B1</f>
        <v>0.83</v>
      </c>
      <c r="F20" s="16">
        <f t="shared" si="4"/>
        <v>8.01</v>
      </c>
      <c r="G20" s="17">
        <f>F20/B2</f>
        <v>0.801</v>
      </c>
      <c r="H20" s="15">
        <f t="shared" si="5"/>
        <v>11.68</v>
      </c>
      <c r="I20" s="14">
        <f>H20/B3</f>
        <v>0.7786666667</v>
      </c>
      <c r="J20" s="2">
        <v>0.0</v>
      </c>
      <c r="K20" s="2">
        <v>0.0</v>
      </c>
      <c r="L20" s="2">
        <v>0.0</v>
      </c>
      <c r="M20" s="7"/>
      <c r="N20" s="7"/>
    </row>
    <row r="21">
      <c r="A21" s="12">
        <v>45840.0</v>
      </c>
      <c r="B21" s="6" t="s">
        <v>61</v>
      </c>
      <c r="C21" s="2">
        <v>0.0</v>
      </c>
      <c r="D21" s="16">
        <f t="shared" si="3"/>
        <v>8.3</v>
      </c>
      <c r="E21" s="17">
        <f>D21/B1</f>
        <v>0.83</v>
      </c>
      <c r="F21" s="16">
        <f t="shared" si="4"/>
        <v>8.01</v>
      </c>
      <c r="G21" s="17">
        <f>F21/B2</f>
        <v>0.801</v>
      </c>
      <c r="H21" s="15">
        <f t="shared" si="5"/>
        <v>11.68</v>
      </c>
      <c r="I21" s="14">
        <f>H21/B3</f>
        <v>0.7786666667</v>
      </c>
      <c r="J21" s="2">
        <v>0.0</v>
      </c>
      <c r="K21" s="2">
        <v>0.0</v>
      </c>
      <c r="L21" s="2">
        <v>0.0</v>
      </c>
      <c r="M21" s="7"/>
      <c r="N21" s="7"/>
    </row>
    <row r="22">
      <c r="A22" s="12">
        <v>45840.0</v>
      </c>
      <c r="B22" s="6" t="s">
        <v>62</v>
      </c>
      <c r="C22" s="2">
        <v>0.0</v>
      </c>
      <c r="D22" s="16">
        <f t="shared" si="3"/>
        <v>8.3</v>
      </c>
      <c r="E22" s="17">
        <f>D22/B1</f>
        <v>0.83</v>
      </c>
      <c r="F22" s="16">
        <f t="shared" si="4"/>
        <v>8.01</v>
      </c>
      <c r="G22" s="17">
        <f>F22/B2</f>
        <v>0.801</v>
      </c>
      <c r="H22" s="15">
        <f t="shared" si="5"/>
        <v>11.68</v>
      </c>
      <c r="I22" s="14">
        <f>H22/B3</f>
        <v>0.7786666667</v>
      </c>
      <c r="J22" s="2">
        <v>0.0</v>
      </c>
      <c r="K22" s="2">
        <v>0.0</v>
      </c>
      <c r="L22" s="2">
        <v>0.0</v>
      </c>
      <c r="M22" s="7"/>
      <c r="N22" s="7"/>
    </row>
    <row r="23">
      <c r="A23" s="12">
        <v>45840.0</v>
      </c>
      <c r="B23" s="6" t="s">
        <v>63</v>
      </c>
      <c r="C23" s="2">
        <v>0.0</v>
      </c>
      <c r="D23" s="16">
        <f t="shared" si="3"/>
        <v>8.3</v>
      </c>
      <c r="E23" s="17">
        <f>D23/B1</f>
        <v>0.83</v>
      </c>
      <c r="F23" s="16">
        <f t="shared" si="4"/>
        <v>8.01</v>
      </c>
      <c r="G23" s="17">
        <f>F23/B2</f>
        <v>0.801</v>
      </c>
      <c r="H23" s="15">
        <f t="shared" si="5"/>
        <v>11.68</v>
      </c>
      <c r="I23" s="14">
        <f>H23/B3</f>
        <v>0.7786666667</v>
      </c>
      <c r="J23" s="2">
        <v>0.0</v>
      </c>
      <c r="K23" s="2">
        <v>0.0</v>
      </c>
      <c r="L23" s="2">
        <v>0.0</v>
      </c>
      <c r="M23" s="7"/>
      <c r="N23" s="7"/>
    </row>
    <row r="24">
      <c r="A24" s="12">
        <v>45841.0</v>
      </c>
      <c r="B24" s="6" t="s">
        <v>61</v>
      </c>
      <c r="C24" s="2">
        <v>0.0</v>
      </c>
      <c r="D24" s="16">
        <f t="shared" si="3"/>
        <v>8.3</v>
      </c>
      <c r="E24" s="17">
        <f>D24/B1</f>
        <v>0.83</v>
      </c>
      <c r="F24" s="16">
        <f t="shared" si="4"/>
        <v>8.01</v>
      </c>
      <c r="G24" s="17">
        <f>F24/B2</f>
        <v>0.801</v>
      </c>
      <c r="H24" s="15">
        <f t="shared" si="5"/>
        <v>11.68</v>
      </c>
      <c r="I24" s="14">
        <f>H24/B3</f>
        <v>0.7786666667</v>
      </c>
      <c r="J24" s="2">
        <v>0.0</v>
      </c>
      <c r="K24" s="2">
        <v>0.0</v>
      </c>
      <c r="L24" s="2">
        <v>0.0</v>
      </c>
      <c r="M24" s="7"/>
      <c r="N24" s="7"/>
    </row>
    <row r="25">
      <c r="A25" s="12">
        <v>45841.0</v>
      </c>
      <c r="B25" s="6" t="s">
        <v>62</v>
      </c>
      <c r="C25" s="2">
        <v>0.82</v>
      </c>
      <c r="D25" s="16">
        <f t="shared" si="3"/>
        <v>8.3</v>
      </c>
      <c r="E25" s="17">
        <f>D25/B1</f>
        <v>0.83</v>
      </c>
      <c r="F25" s="16">
        <f t="shared" si="4"/>
        <v>7.19</v>
      </c>
      <c r="G25" s="17">
        <f>F25/B2</f>
        <v>0.719</v>
      </c>
      <c r="H25" s="15">
        <f t="shared" si="5"/>
        <v>11.68</v>
      </c>
      <c r="I25" s="14">
        <f>H25/B3</f>
        <v>0.7786666667</v>
      </c>
      <c r="J25" s="2">
        <v>0.0</v>
      </c>
      <c r="K25" s="2">
        <v>0.0</v>
      </c>
      <c r="L25" s="2">
        <v>0.0</v>
      </c>
      <c r="M25" s="7"/>
      <c r="N25" s="7"/>
    </row>
    <row r="26">
      <c r="A26" s="12">
        <v>45841.0</v>
      </c>
      <c r="B26" s="6" t="s">
        <v>63</v>
      </c>
      <c r="C26" s="2">
        <v>1.04</v>
      </c>
      <c r="D26" s="16">
        <f t="shared" si="3"/>
        <v>8.3</v>
      </c>
      <c r="E26" s="17">
        <f>D26/B1</f>
        <v>0.83</v>
      </c>
      <c r="F26" s="16">
        <f t="shared" si="4"/>
        <v>7.19</v>
      </c>
      <c r="G26" s="17">
        <f>F26/B2</f>
        <v>0.719</v>
      </c>
      <c r="H26" s="15">
        <f t="shared" si="5"/>
        <v>10.64</v>
      </c>
      <c r="I26" s="14">
        <f>H26/B3</f>
        <v>0.7093333333</v>
      </c>
      <c r="J26" s="2">
        <v>0.0</v>
      </c>
      <c r="K26" s="2">
        <v>0.0</v>
      </c>
      <c r="L26" s="2">
        <v>0.0</v>
      </c>
      <c r="M26" s="7"/>
      <c r="N26" s="7"/>
    </row>
    <row r="27">
      <c r="A27" s="12">
        <v>45842.0</v>
      </c>
      <c r="B27" s="6" t="s">
        <v>61</v>
      </c>
      <c r="C27" s="2">
        <v>0.0</v>
      </c>
      <c r="D27" s="16">
        <f t="shared" si="3"/>
        <v>8.3</v>
      </c>
      <c r="E27" s="17">
        <f>D27/B1</f>
        <v>0.83</v>
      </c>
      <c r="F27" s="16">
        <f t="shared" si="4"/>
        <v>7.19</v>
      </c>
      <c r="G27" s="17">
        <f>F27/B2</f>
        <v>0.719</v>
      </c>
      <c r="H27" s="15">
        <f t="shared" si="5"/>
        <v>10.64</v>
      </c>
      <c r="I27" s="14">
        <f>H27/B3</f>
        <v>0.7093333333</v>
      </c>
      <c r="J27" s="2">
        <v>0.0</v>
      </c>
      <c r="K27" s="2">
        <v>0.0</v>
      </c>
      <c r="L27" s="2">
        <v>0.0</v>
      </c>
      <c r="M27" s="7"/>
      <c r="N27" s="7"/>
    </row>
    <row r="28">
      <c r="A28" s="12">
        <v>45842.0</v>
      </c>
      <c r="B28" s="6" t="s">
        <v>62</v>
      </c>
      <c r="C28" s="2">
        <v>0.0</v>
      </c>
      <c r="D28" s="16">
        <f t="shared" si="3"/>
        <v>8.3</v>
      </c>
      <c r="E28" s="17">
        <f>D28/B1</f>
        <v>0.83</v>
      </c>
      <c r="F28" s="16">
        <f t="shared" si="4"/>
        <v>7.19</v>
      </c>
      <c r="G28" s="17">
        <f>F28/B2</f>
        <v>0.719</v>
      </c>
      <c r="H28" s="15">
        <f t="shared" si="5"/>
        <v>10.64</v>
      </c>
      <c r="I28" s="14">
        <f>H28/B3</f>
        <v>0.7093333333</v>
      </c>
      <c r="J28" s="2">
        <v>0.0</v>
      </c>
      <c r="K28" s="2">
        <v>0.0</v>
      </c>
      <c r="L28" s="2">
        <v>0.0</v>
      </c>
      <c r="M28" s="7"/>
      <c r="N28" s="7"/>
    </row>
    <row r="29">
      <c r="A29" s="12">
        <v>45842.0</v>
      </c>
      <c r="B29" s="6" t="s">
        <v>63</v>
      </c>
      <c r="C29" s="2">
        <v>0.0</v>
      </c>
      <c r="D29" s="16">
        <f t="shared" si="3"/>
        <v>8.3</v>
      </c>
      <c r="E29" s="17">
        <f>D29/B1</f>
        <v>0.83</v>
      </c>
      <c r="F29" s="16">
        <f t="shared" si="4"/>
        <v>7.19</v>
      </c>
      <c r="G29" s="17">
        <f>F29/B2</f>
        <v>0.719</v>
      </c>
      <c r="H29" s="15">
        <f t="shared" si="5"/>
        <v>10.64</v>
      </c>
      <c r="I29" s="14">
        <f>H29/B3</f>
        <v>0.7093333333</v>
      </c>
      <c r="J29" s="2">
        <v>0.0</v>
      </c>
      <c r="K29" s="2">
        <v>0.0</v>
      </c>
      <c r="L29" s="2">
        <v>0.0</v>
      </c>
      <c r="M29" s="7"/>
      <c r="N29" s="7"/>
    </row>
    <row r="30">
      <c r="A30" s="12">
        <v>45843.0</v>
      </c>
      <c r="B30" s="6" t="s">
        <v>61</v>
      </c>
      <c r="C30" s="2">
        <v>0.84</v>
      </c>
      <c r="D30" s="16">
        <f t="shared" si="3"/>
        <v>7.46</v>
      </c>
      <c r="E30" s="17">
        <f>D30/B1</f>
        <v>0.746</v>
      </c>
      <c r="F30" s="16">
        <f t="shared" si="4"/>
        <v>7.19</v>
      </c>
      <c r="G30" s="17">
        <f>F30/B2</f>
        <v>0.719</v>
      </c>
      <c r="H30" s="15">
        <f t="shared" si="5"/>
        <v>10.64</v>
      </c>
      <c r="I30" s="14">
        <f>H30/B3</f>
        <v>0.7093333333</v>
      </c>
      <c r="J30" s="2">
        <v>0.0</v>
      </c>
      <c r="K30" s="2">
        <v>0.0</v>
      </c>
      <c r="L30" s="2">
        <v>0.0</v>
      </c>
      <c r="M30" s="7"/>
      <c r="N30" s="7"/>
    </row>
    <row r="31">
      <c r="A31" s="12">
        <v>45843.0</v>
      </c>
      <c r="B31" s="6" t="s">
        <v>62</v>
      </c>
      <c r="C31" s="2">
        <v>0.0</v>
      </c>
      <c r="D31" s="16">
        <f t="shared" si="3"/>
        <v>7.46</v>
      </c>
      <c r="E31" s="17">
        <f>D31/B1</f>
        <v>0.746</v>
      </c>
      <c r="F31" s="16">
        <f t="shared" si="4"/>
        <v>7.19</v>
      </c>
      <c r="G31" s="17">
        <f>F31/B2</f>
        <v>0.719</v>
      </c>
      <c r="H31" s="15">
        <f t="shared" si="5"/>
        <v>10.64</v>
      </c>
      <c r="I31" s="14">
        <f>H31/B3</f>
        <v>0.7093333333</v>
      </c>
      <c r="J31" s="2">
        <v>0.0</v>
      </c>
      <c r="K31" s="2">
        <v>0.0</v>
      </c>
      <c r="L31" s="2">
        <v>0.0</v>
      </c>
      <c r="M31" s="7"/>
      <c r="N31" s="7"/>
    </row>
    <row r="32">
      <c r="A32" s="12">
        <v>45843.0</v>
      </c>
      <c r="B32" s="6" t="s">
        <v>63</v>
      </c>
      <c r="C32" s="2">
        <v>0.87</v>
      </c>
      <c r="D32" s="16">
        <f t="shared" si="3"/>
        <v>7.46</v>
      </c>
      <c r="E32" s="17">
        <f>D32/B1</f>
        <v>0.746</v>
      </c>
      <c r="F32" s="16">
        <f t="shared" si="4"/>
        <v>7.19</v>
      </c>
      <c r="G32" s="17">
        <f>F32/B2</f>
        <v>0.719</v>
      </c>
      <c r="H32" s="15">
        <f t="shared" si="5"/>
        <v>9.77</v>
      </c>
      <c r="I32" s="14">
        <f>H32/B3</f>
        <v>0.6513333333</v>
      </c>
      <c r="J32" s="2">
        <v>0.0</v>
      </c>
      <c r="K32" s="2">
        <v>0.0</v>
      </c>
      <c r="L32" s="2">
        <v>0.0</v>
      </c>
      <c r="M32" s="7"/>
      <c r="N32" s="7"/>
    </row>
    <row r="33">
      <c r="A33" s="12">
        <v>45844.0</v>
      </c>
      <c r="B33" s="6" t="s">
        <v>61</v>
      </c>
      <c r="C33" s="2">
        <v>0.0</v>
      </c>
      <c r="D33" s="16">
        <f t="shared" si="3"/>
        <v>7.46</v>
      </c>
      <c r="E33" s="17">
        <f>D33/B1</f>
        <v>0.746</v>
      </c>
      <c r="F33" s="16">
        <f t="shared" si="4"/>
        <v>7.19</v>
      </c>
      <c r="G33" s="17">
        <f>F33/B2</f>
        <v>0.719</v>
      </c>
      <c r="H33" s="15">
        <f t="shared" si="5"/>
        <v>9.77</v>
      </c>
      <c r="I33" s="14">
        <f>H33/B3</f>
        <v>0.6513333333</v>
      </c>
      <c r="J33" s="2">
        <v>0.0</v>
      </c>
      <c r="K33" s="2">
        <v>0.0</v>
      </c>
      <c r="L33" s="2">
        <v>0.0</v>
      </c>
      <c r="M33" s="7"/>
      <c r="N33" s="7"/>
    </row>
    <row r="34">
      <c r="A34" s="12">
        <v>45844.0</v>
      </c>
      <c r="B34" s="6" t="s">
        <v>62</v>
      </c>
      <c r="C34" s="2">
        <v>0.0</v>
      </c>
      <c r="D34" s="16">
        <f t="shared" si="3"/>
        <v>7.46</v>
      </c>
      <c r="E34" s="17">
        <f>D34/B1</f>
        <v>0.746</v>
      </c>
      <c r="F34" s="16">
        <f t="shared" si="4"/>
        <v>7.19</v>
      </c>
      <c r="G34" s="17">
        <f>F34/B2</f>
        <v>0.719</v>
      </c>
      <c r="H34" s="15">
        <f t="shared" si="5"/>
        <v>9.77</v>
      </c>
      <c r="I34" s="14">
        <f>H34/B3</f>
        <v>0.6513333333</v>
      </c>
      <c r="J34" s="2">
        <v>0.0</v>
      </c>
      <c r="K34" s="2">
        <v>0.0</v>
      </c>
      <c r="L34" s="2">
        <v>0.0</v>
      </c>
      <c r="M34" s="7"/>
      <c r="N34" s="7"/>
    </row>
    <row r="35">
      <c r="A35" s="12">
        <v>45844.0</v>
      </c>
      <c r="B35" s="6" t="s">
        <v>63</v>
      </c>
      <c r="C35" s="2">
        <v>0.0</v>
      </c>
      <c r="D35" s="16">
        <f t="shared" si="3"/>
        <v>7.46</v>
      </c>
      <c r="E35" s="17">
        <f>D35/B1</f>
        <v>0.746</v>
      </c>
      <c r="F35" s="16">
        <f t="shared" si="4"/>
        <v>7.19</v>
      </c>
      <c r="G35" s="17">
        <f>F35/B2</f>
        <v>0.719</v>
      </c>
      <c r="H35" s="15">
        <f t="shared" si="5"/>
        <v>9.77</v>
      </c>
      <c r="I35" s="14">
        <f>H35/B3</f>
        <v>0.6513333333</v>
      </c>
      <c r="J35" s="2">
        <v>0.0</v>
      </c>
      <c r="K35" s="2">
        <v>0.0</v>
      </c>
      <c r="L35" s="2">
        <v>0.0</v>
      </c>
      <c r="M35" s="7"/>
      <c r="N35" s="7"/>
    </row>
    <row r="36">
      <c r="A36" s="12">
        <v>45845.0</v>
      </c>
      <c r="B36" s="6" t="s">
        <v>61</v>
      </c>
      <c r="C36" s="2">
        <v>0.0</v>
      </c>
      <c r="D36" s="16">
        <f t="shared" si="3"/>
        <v>7.46</v>
      </c>
      <c r="E36" s="17">
        <f>D36/B1</f>
        <v>0.746</v>
      </c>
      <c r="F36" s="16">
        <f t="shared" si="4"/>
        <v>7.19</v>
      </c>
      <c r="G36" s="17">
        <f>F36/B2</f>
        <v>0.719</v>
      </c>
      <c r="H36" s="15">
        <f t="shared" si="5"/>
        <v>9.77</v>
      </c>
      <c r="I36" s="14">
        <f>H36/B3</f>
        <v>0.6513333333</v>
      </c>
      <c r="J36" s="2">
        <v>0.0</v>
      </c>
      <c r="K36" s="2">
        <v>0.0</v>
      </c>
      <c r="L36" s="2">
        <v>0.0</v>
      </c>
      <c r="M36" s="7"/>
      <c r="N36" s="7"/>
    </row>
    <row r="37">
      <c r="A37" s="12">
        <v>45845.0</v>
      </c>
      <c r="B37" s="6" t="s">
        <v>62</v>
      </c>
      <c r="C37" s="2">
        <v>0.75</v>
      </c>
      <c r="D37" s="16">
        <f t="shared" si="3"/>
        <v>7.46</v>
      </c>
      <c r="E37" s="17">
        <f>D37/B1</f>
        <v>0.746</v>
      </c>
      <c r="F37" s="16">
        <f t="shared" si="4"/>
        <v>6.44</v>
      </c>
      <c r="G37" s="17">
        <f>F37/B2</f>
        <v>0.644</v>
      </c>
      <c r="H37" s="15">
        <f t="shared" si="5"/>
        <v>9.77</v>
      </c>
      <c r="I37" s="14">
        <f>H37/B3</f>
        <v>0.6513333333</v>
      </c>
      <c r="J37" s="2">
        <v>0.0</v>
      </c>
      <c r="K37" s="2">
        <v>0.0</v>
      </c>
      <c r="L37" s="2">
        <v>0.0</v>
      </c>
      <c r="M37" s="7"/>
      <c r="N37" s="7"/>
    </row>
    <row r="38">
      <c r="A38" s="12">
        <v>45845.0</v>
      </c>
      <c r="B38" s="6" t="s">
        <v>63</v>
      </c>
      <c r="C38" s="2">
        <v>0.93</v>
      </c>
      <c r="D38" s="16">
        <f t="shared" si="3"/>
        <v>7.46</v>
      </c>
      <c r="E38" s="17">
        <f>D38/B1</f>
        <v>0.746</v>
      </c>
      <c r="F38" s="16">
        <f t="shared" si="4"/>
        <v>6.44</v>
      </c>
      <c r="G38" s="17">
        <f>F38/B2</f>
        <v>0.644</v>
      </c>
      <c r="H38" s="15">
        <f t="shared" si="5"/>
        <v>8.84</v>
      </c>
      <c r="I38" s="14">
        <f>H38/B3</f>
        <v>0.5893333333</v>
      </c>
      <c r="J38" s="2">
        <v>0.0</v>
      </c>
      <c r="K38" s="2">
        <v>0.0</v>
      </c>
      <c r="L38" s="2">
        <v>0.0</v>
      </c>
      <c r="M38" s="7"/>
      <c r="N38" s="7"/>
    </row>
    <row r="39">
      <c r="A39" s="12">
        <v>45846.0</v>
      </c>
      <c r="B39" s="6" t="s">
        <v>61</v>
      </c>
      <c r="C39" s="2">
        <v>1.03</v>
      </c>
      <c r="D39" s="16">
        <f t="shared" si="3"/>
        <v>6.43</v>
      </c>
      <c r="E39" s="17">
        <f>D39/B1</f>
        <v>0.643</v>
      </c>
      <c r="F39" s="16">
        <f t="shared" si="4"/>
        <v>6.44</v>
      </c>
      <c r="G39" s="17">
        <f>F39/B2</f>
        <v>0.644</v>
      </c>
      <c r="H39" s="15">
        <f t="shared" si="5"/>
        <v>8.84</v>
      </c>
      <c r="I39" s="14">
        <f>H39/B3</f>
        <v>0.5893333333</v>
      </c>
      <c r="J39" s="2">
        <v>0.0</v>
      </c>
      <c r="K39" s="2">
        <v>0.0</v>
      </c>
      <c r="L39" s="2">
        <v>0.0</v>
      </c>
      <c r="M39" s="7"/>
      <c r="N39" s="7"/>
    </row>
    <row r="40">
      <c r="A40" s="12">
        <v>45846.0</v>
      </c>
      <c r="B40" s="6" t="s">
        <v>62</v>
      </c>
      <c r="C40" s="2">
        <v>0.0</v>
      </c>
      <c r="D40" s="16">
        <f t="shared" si="3"/>
        <v>6.43</v>
      </c>
      <c r="E40" s="17">
        <f>D40/B1</f>
        <v>0.643</v>
      </c>
      <c r="F40" s="16">
        <f t="shared" si="4"/>
        <v>6.44</v>
      </c>
      <c r="G40" s="17">
        <f>F40/B2</f>
        <v>0.644</v>
      </c>
      <c r="H40" s="15">
        <f t="shared" si="5"/>
        <v>8.84</v>
      </c>
      <c r="I40" s="14">
        <f>H40/B3</f>
        <v>0.5893333333</v>
      </c>
      <c r="J40" s="2">
        <v>0.0</v>
      </c>
      <c r="K40" s="2">
        <v>0.0</v>
      </c>
      <c r="L40" s="2">
        <v>0.0</v>
      </c>
      <c r="M40" s="7"/>
      <c r="N40" s="7"/>
    </row>
    <row r="41">
      <c r="A41" s="12">
        <v>45846.0</v>
      </c>
      <c r="B41" s="6" t="s">
        <v>63</v>
      </c>
      <c r="C41" s="2">
        <v>0.9</v>
      </c>
      <c r="D41" s="16">
        <f t="shared" si="3"/>
        <v>6.43</v>
      </c>
      <c r="E41" s="17">
        <f>D41/B1</f>
        <v>0.643</v>
      </c>
      <c r="F41" s="16">
        <f t="shared" si="4"/>
        <v>6.44</v>
      </c>
      <c r="G41" s="17">
        <f>F41/B2</f>
        <v>0.644</v>
      </c>
      <c r="H41" s="15">
        <f t="shared" si="5"/>
        <v>7.94</v>
      </c>
      <c r="I41" s="14">
        <f>H41/B3</f>
        <v>0.5293333333</v>
      </c>
      <c r="J41" s="2">
        <v>0.0</v>
      </c>
      <c r="K41" s="2">
        <v>0.0</v>
      </c>
      <c r="L41" s="2">
        <v>0.0</v>
      </c>
      <c r="M41" s="7"/>
      <c r="N41" s="7"/>
    </row>
    <row r="42">
      <c r="A42" s="12">
        <v>45847.0</v>
      </c>
      <c r="B42" s="6" t="s">
        <v>61</v>
      </c>
      <c r="C42" s="2">
        <v>0.0</v>
      </c>
      <c r="D42" s="16">
        <f t="shared" si="3"/>
        <v>6.43</v>
      </c>
      <c r="E42" s="17">
        <f>D42/B1</f>
        <v>0.643</v>
      </c>
      <c r="F42" s="16">
        <f t="shared" si="4"/>
        <v>6.44</v>
      </c>
      <c r="G42" s="17">
        <f>F42/B2</f>
        <v>0.644</v>
      </c>
      <c r="H42" s="15">
        <f t="shared" si="5"/>
        <v>7.94</v>
      </c>
      <c r="I42" s="14">
        <f>H42/B3</f>
        <v>0.5293333333</v>
      </c>
      <c r="J42" s="2">
        <v>0.0</v>
      </c>
      <c r="K42" s="2">
        <v>0.0</v>
      </c>
      <c r="L42" s="2">
        <v>0.0</v>
      </c>
      <c r="M42" s="7"/>
      <c r="N42" s="7"/>
    </row>
    <row r="43">
      <c r="A43" s="12">
        <v>45847.0</v>
      </c>
      <c r="B43" s="6" t="s">
        <v>62</v>
      </c>
      <c r="C43" s="2">
        <v>0.0</v>
      </c>
      <c r="D43" s="16">
        <f t="shared" si="3"/>
        <v>6.43</v>
      </c>
      <c r="E43" s="17">
        <f>D43/B1</f>
        <v>0.643</v>
      </c>
      <c r="F43" s="16">
        <f t="shared" si="4"/>
        <v>6.44</v>
      </c>
      <c r="G43" s="17">
        <f>F43/B2</f>
        <v>0.644</v>
      </c>
      <c r="H43" s="15">
        <f t="shared" si="5"/>
        <v>7.94</v>
      </c>
      <c r="I43" s="14">
        <f>H43/B3</f>
        <v>0.5293333333</v>
      </c>
      <c r="J43" s="2">
        <v>0.0</v>
      </c>
      <c r="K43" s="2">
        <v>0.0</v>
      </c>
      <c r="L43" s="2">
        <v>0.0</v>
      </c>
      <c r="M43" s="7"/>
      <c r="N43" s="7"/>
    </row>
    <row r="44">
      <c r="A44" s="12">
        <v>45847.0</v>
      </c>
      <c r="B44" s="6" t="s">
        <v>63</v>
      </c>
      <c r="C44" s="2">
        <v>0.0</v>
      </c>
      <c r="D44" s="16">
        <f t="shared" si="3"/>
        <v>6.43</v>
      </c>
      <c r="E44" s="17">
        <f>D44/B1</f>
        <v>0.643</v>
      </c>
      <c r="F44" s="16">
        <f t="shared" si="4"/>
        <v>6.44</v>
      </c>
      <c r="G44" s="17">
        <f>F44/B2</f>
        <v>0.644</v>
      </c>
      <c r="H44" s="15">
        <f t="shared" si="5"/>
        <v>7.94</v>
      </c>
      <c r="I44" s="14">
        <f>H44/B3</f>
        <v>0.5293333333</v>
      </c>
      <c r="J44" s="2">
        <v>0.0</v>
      </c>
      <c r="K44" s="2">
        <v>0.0</v>
      </c>
      <c r="L44" s="2">
        <v>0.0</v>
      </c>
      <c r="M44" s="7"/>
      <c r="N44" s="7"/>
    </row>
    <row r="45">
      <c r="A45" s="12">
        <v>45848.0</v>
      </c>
      <c r="B45" s="6" t="s">
        <v>61</v>
      </c>
      <c r="C45" s="2">
        <v>0.0</v>
      </c>
      <c r="D45" s="16">
        <f t="shared" si="3"/>
        <v>6.43</v>
      </c>
      <c r="E45" s="17">
        <f>D45/B1</f>
        <v>0.643</v>
      </c>
      <c r="F45" s="16">
        <f t="shared" si="4"/>
        <v>6.44</v>
      </c>
      <c r="G45" s="17">
        <f>F45/B2</f>
        <v>0.644</v>
      </c>
      <c r="H45" s="15">
        <f t="shared" si="5"/>
        <v>7.94</v>
      </c>
      <c r="I45" s="14">
        <f>H45/B3</f>
        <v>0.5293333333</v>
      </c>
      <c r="J45" s="2">
        <v>0.0</v>
      </c>
      <c r="K45" s="2">
        <v>0.0</v>
      </c>
      <c r="L45" s="2">
        <v>0.0</v>
      </c>
      <c r="M45" s="7"/>
      <c r="N45" s="7"/>
    </row>
    <row r="46">
      <c r="A46" s="12">
        <v>45848.0</v>
      </c>
      <c r="B46" s="6" t="s">
        <v>62</v>
      </c>
      <c r="C46" s="2">
        <v>0.77</v>
      </c>
      <c r="D46" s="16">
        <f t="shared" si="3"/>
        <v>6.43</v>
      </c>
      <c r="E46" s="17">
        <f>D46/B1</f>
        <v>0.643</v>
      </c>
      <c r="F46" s="16">
        <f t="shared" si="4"/>
        <v>5.67</v>
      </c>
      <c r="G46" s="17">
        <f>F46/B2</f>
        <v>0.567</v>
      </c>
      <c r="H46" s="15">
        <f t="shared" si="5"/>
        <v>7.94</v>
      </c>
      <c r="I46" s="14">
        <f>H46/B3</f>
        <v>0.5293333333</v>
      </c>
      <c r="J46" s="2">
        <v>0.0</v>
      </c>
      <c r="K46" s="2">
        <v>0.0</v>
      </c>
      <c r="L46" s="2">
        <v>0.0</v>
      </c>
      <c r="M46" s="7"/>
      <c r="N46" s="7"/>
    </row>
    <row r="47">
      <c r="A47" s="12">
        <v>45848.0</v>
      </c>
      <c r="B47" s="6" t="s">
        <v>63</v>
      </c>
      <c r="C47" s="2">
        <v>0.77</v>
      </c>
      <c r="D47" s="16">
        <f t="shared" si="3"/>
        <v>6.43</v>
      </c>
      <c r="E47" s="17">
        <f>D47/B1</f>
        <v>0.643</v>
      </c>
      <c r="F47" s="16">
        <f t="shared" si="4"/>
        <v>5.67</v>
      </c>
      <c r="G47" s="17">
        <f>F47/B2</f>
        <v>0.567</v>
      </c>
      <c r="H47" s="15">
        <f t="shared" si="5"/>
        <v>7.17</v>
      </c>
      <c r="I47" s="14">
        <f>H47/B3</f>
        <v>0.478</v>
      </c>
      <c r="J47" s="2">
        <v>0.0</v>
      </c>
      <c r="K47" s="2">
        <v>0.0</v>
      </c>
      <c r="L47" s="2">
        <v>0.0</v>
      </c>
      <c r="M47" s="7"/>
      <c r="N47" s="7"/>
    </row>
    <row r="48">
      <c r="A48" s="12">
        <v>45849.0</v>
      </c>
      <c r="B48" s="6" t="s">
        <v>61</v>
      </c>
      <c r="C48" s="2">
        <v>0.98</v>
      </c>
      <c r="D48" s="16">
        <f t="shared" si="3"/>
        <v>5.45</v>
      </c>
      <c r="E48" s="17">
        <f>D48/B1</f>
        <v>0.545</v>
      </c>
      <c r="F48" s="16">
        <f t="shared" si="4"/>
        <v>5.67</v>
      </c>
      <c r="G48" s="17">
        <f>F48/B2</f>
        <v>0.567</v>
      </c>
      <c r="H48" s="15">
        <f t="shared" si="5"/>
        <v>7.17</v>
      </c>
      <c r="I48" s="14">
        <f>H48/B3</f>
        <v>0.478</v>
      </c>
      <c r="J48" s="2">
        <v>0.0</v>
      </c>
      <c r="K48" s="2">
        <v>0.0</v>
      </c>
      <c r="L48" s="2">
        <v>0.0</v>
      </c>
      <c r="M48" s="7"/>
      <c r="N48" s="7"/>
    </row>
    <row r="49">
      <c r="A49" s="12">
        <v>45849.0</v>
      </c>
      <c r="B49" s="6" t="s">
        <v>62</v>
      </c>
      <c r="C49" s="2">
        <v>0.0</v>
      </c>
      <c r="D49" s="16">
        <f t="shared" si="3"/>
        <v>5.45</v>
      </c>
      <c r="E49" s="17">
        <f>D49/B1</f>
        <v>0.545</v>
      </c>
      <c r="F49" s="16">
        <f t="shared" si="4"/>
        <v>5.67</v>
      </c>
      <c r="G49" s="17">
        <f>F49/B2</f>
        <v>0.567</v>
      </c>
      <c r="H49" s="15">
        <f t="shared" si="5"/>
        <v>7.17</v>
      </c>
      <c r="I49" s="14">
        <f>H49/B3</f>
        <v>0.478</v>
      </c>
      <c r="J49" s="2">
        <v>0.0</v>
      </c>
      <c r="K49" s="2">
        <v>0.0</v>
      </c>
      <c r="L49" s="2">
        <v>0.0</v>
      </c>
      <c r="M49" s="7"/>
      <c r="N49" s="7"/>
    </row>
    <row r="50">
      <c r="A50" s="12">
        <v>45849.0</v>
      </c>
      <c r="B50" s="6" t="s">
        <v>63</v>
      </c>
      <c r="C50" s="2">
        <v>1.05</v>
      </c>
      <c r="D50" s="16">
        <f t="shared" si="3"/>
        <v>5.45</v>
      </c>
      <c r="E50" s="17">
        <f>D50/B1</f>
        <v>0.545</v>
      </c>
      <c r="F50" s="16">
        <f t="shared" si="4"/>
        <v>5.67</v>
      </c>
      <c r="G50" s="17">
        <f>F50/B2</f>
        <v>0.567</v>
      </c>
      <c r="H50" s="15">
        <f t="shared" si="5"/>
        <v>6.12</v>
      </c>
      <c r="I50" s="14">
        <f>H50/B3</f>
        <v>0.408</v>
      </c>
      <c r="J50" s="2">
        <v>0.0</v>
      </c>
      <c r="K50" s="2">
        <v>0.0</v>
      </c>
      <c r="L50" s="2">
        <v>0.0</v>
      </c>
      <c r="M50" s="7"/>
      <c r="N50" s="7"/>
    </row>
    <row r="51">
      <c r="A51" s="12">
        <v>45850.0</v>
      </c>
      <c r="B51" s="6" t="s">
        <v>61</v>
      </c>
      <c r="C51" s="2">
        <v>0.0</v>
      </c>
      <c r="D51" s="16">
        <f t="shared" si="3"/>
        <v>5.45</v>
      </c>
      <c r="E51" s="17">
        <f>D51/B1</f>
        <v>0.545</v>
      </c>
      <c r="F51" s="16">
        <f t="shared" si="4"/>
        <v>5.67</v>
      </c>
      <c r="G51" s="17">
        <f>F51/B2</f>
        <v>0.567</v>
      </c>
      <c r="H51" s="15">
        <f t="shared" si="5"/>
        <v>6.12</v>
      </c>
      <c r="I51" s="14">
        <f>H51/B3</f>
        <v>0.408</v>
      </c>
      <c r="J51" s="2">
        <v>0.0</v>
      </c>
      <c r="K51" s="2">
        <v>0.0</v>
      </c>
      <c r="L51" s="2">
        <v>0.0</v>
      </c>
      <c r="M51" s="7"/>
      <c r="N51" s="7"/>
    </row>
    <row r="52">
      <c r="A52" s="12">
        <v>45850.0</v>
      </c>
      <c r="B52" s="6" t="s">
        <v>62</v>
      </c>
      <c r="C52" s="2">
        <v>0.76</v>
      </c>
      <c r="D52" s="16">
        <f t="shared" si="3"/>
        <v>5.45</v>
      </c>
      <c r="E52" s="17">
        <f>D52/B1</f>
        <v>0.545</v>
      </c>
      <c r="F52" s="16">
        <f t="shared" si="4"/>
        <v>4.91</v>
      </c>
      <c r="G52" s="17">
        <f>F52/B2</f>
        <v>0.491</v>
      </c>
      <c r="H52" s="15">
        <f t="shared" si="5"/>
        <v>6.12</v>
      </c>
      <c r="I52" s="14">
        <f>H52/B3</f>
        <v>0.408</v>
      </c>
      <c r="J52" s="2">
        <v>0.0</v>
      </c>
      <c r="K52" s="2">
        <v>0.0</v>
      </c>
      <c r="L52" s="2">
        <v>0.0</v>
      </c>
      <c r="M52" s="7"/>
      <c r="N52" s="7"/>
    </row>
    <row r="53">
      <c r="A53" s="12">
        <v>45850.0</v>
      </c>
      <c r="B53" s="6" t="s">
        <v>63</v>
      </c>
      <c r="C53" s="2">
        <v>0.86</v>
      </c>
      <c r="D53" s="16">
        <f t="shared" si="3"/>
        <v>5.45</v>
      </c>
      <c r="E53" s="17">
        <f>D53/B1</f>
        <v>0.545</v>
      </c>
      <c r="F53" s="16">
        <f t="shared" si="4"/>
        <v>4.91</v>
      </c>
      <c r="G53" s="17">
        <f>F53/B2</f>
        <v>0.491</v>
      </c>
      <c r="H53" s="15">
        <f t="shared" si="5"/>
        <v>5.26</v>
      </c>
      <c r="I53" s="14">
        <f>H53/B3</f>
        <v>0.3506666667</v>
      </c>
      <c r="J53" s="2">
        <v>0.0</v>
      </c>
      <c r="K53" s="2">
        <v>0.0</v>
      </c>
      <c r="L53" s="2">
        <v>0.0</v>
      </c>
      <c r="M53" s="7"/>
      <c r="N53" s="7"/>
    </row>
    <row r="54">
      <c r="A54" s="12">
        <v>45851.0</v>
      </c>
      <c r="B54" s="6" t="s">
        <v>61</v>
      </c>
      <c r="C54" s="2">
        <v>0.0</v>
      </c>
      <c r="D54" s="16">
        <f t="shared" si="3"/>
        <v>5.45</v>
      </c>
      <c r="E54" s="17">
        <f>D54/B1</f>
        <v>0.545</v>
      </c>
      <c r="F54" s="16">
        <f t="shared" si="4"/>
        <v>4.91</v>
      </c>
      <c r="G54" s="17">
        <f>F54/B2</f>
        <v>0.491</v>
      </c>
      <c r="H54" s="15">
        <f t="shared" si="5"/>
        <v>5.26</v>
      </c>
      <c r="I54" s="14">
        <f>H54/B3</f>
        <v>0.3506666667</v>
      </c>
      <c r="J54" s="2">
        <v>0.0</v>
      </c>
      <c r="K54" s="2">
        <v>0.0</v>
      </c>
      <c r="L54" s="2">
        <v>0.0</v>
      </c>
      <c r="M54" s="7"/>
      <c r="N54" s="7"/>
    </row>
    <row r="55">
      <c r="A55" s="12">
        <v>45851.0</v>
      </c>
      <c r="B55" s="6" t="s">
        <v>62</v>
      </c>
      <c r="C55" s="2">
        <v>0.0</v>
      </c>
      <c r="D55" s="16">
        <f t="shared" si="3"/>
        <v>5.45</v>
      </c>
      <c r="E55" s="17">
        <f>D55/B1</f>
        <v>0.545</v>
      </c>
      <c r="F55" s="16">
        <f t="shared" si="4"/>
        <v>4.91</v>
      </c>
      <c r="G55" s="17">
        <f>F55/B2</f>
        <v>0.491</v>
      </c>
      <c r="H55" s="15">
        <f t="shared" si="5"/>
        <v>5.26</v>
      </c>
      <c r="I55" s="14">
        <f>H55/B3</f>
        <v>0.3506666667</v>
      </c>
      <c r="J55" s="2">
        <v>0.0</v>
      </c>
      <c r="K55" s="2">
        <v>0.0</v>
      </c>
      <c r="L55" s="2">
        <v>0.0</v>
      </c>
      <c r="M55" s="7"/>
      <c r="N55" s="7"/>
    </row>
    <row r="56">
      <c r="A56" s="12">
        <v>45851.0</v>
      </c>
      <c r="B56" s="6" t="s">
        <v>63</v>
      </c>
      <c r="C56" s="2">
        <v>0.0</v>
      </c>
      <c r="D56" s="16">
        <f t="shared" si="3"/>
        <v>5.45</v>
      </c>
      <c r="E56" s="17">
        <f>D56/B1</f>
        <v>0.545</v>
      </c>
      <c r="F56" s="16">
        <f t="shared" si="4"/>
        <v>4.91</v>
      </c>
      <c r="G56" s="17">
        <f>F56/B2</f>
        <v>0.491</v>
      </c>
      <c r="H56" s="15">
        <f t="shared" si="5"/>
        <v>5.26</v>
      </c>
      <c r="I56" s="14">
        <f>H56/B3</f>
        <v>0.3506666667</v>
      </c>
      <c r="J56" s="2">
        <v>0.0</v>
      </c>
      <c r="K56" s="2">
        <v>0.0</v>
      </c>
      <c r="L56" s="2">
        <v>0.0</v>
      </c>
      <c r="M56" s="7"/>
      <c r="N56" s="7"/>
    </row>
    <row r="57">
      <c r="A57" s="12">
        <v>45852.0</v>
      </c>
      <c r="B57" s="6" t="s">
        <v>61</v>
      </c>
      <c r="C57" s="2">
        <v>0.8</v>
      </c>
      <c r="D57" s="16">
        <f t="shared" si="3"/>
        <v>4.65</v>
      </c>
      <c r="E57" s="17">
        <f>D57/B1</f>
        <v>0.465</v>
      </c>
      <c r="F57" s="16">
        <f t="shared" si="4"/>
        <v>4.91</v>
      </c>
      <c r="G57" s="17">
        <f>F57/B2</f>
        <v>0.491</v>
      </c>
      <c r="H57" s="15">
        <f t="shared" si="5"/>
        <v>5.26</v>
      </c>
      <c r="I57" s="14">
        <f>H57/B3</f>
        <v>0.3506666667</v>
      </c>
      <c r="J57" s="2">
        <v>0.0</v>
      </c>
      <c r="K57" s="2">
        <v>0.0</v>
      </c>
      <c r="L57" s="2">
        <v>0.0</v>
      </c>
      <c r="M57" s="7"/>
      <c r="N57" s="7"/>
    </row>
    <row r="58">
      <c r="A58" s="12">
        <v>45852.0</v>
      </c>
      <c r="B58" s="6" t="s">
        <v>62</v>
      </c>
      <c r="C58" s="2">
        <v>0.0</v>
      </c>
      <c r="D58" s="16">
        <f t="shared" si="3"/>
        <v>4.65</v>
      </c>
      <c r="E58" s="17">
        <f>D58/B1</f>
        <v>0.465</v>
      </c>
      <c r="F58" s="16">
        <f t="shared" si="4"/>
        <v>4.91</v>
      </c>
      <c r="G58" s="17">
        <f>F58/B2</f>
        <v>0.491</v>
      </c>
      <c r="H58" s="15">
        <f t="shared" si="5"/>
        <v>5.26</v>
      </c>
      <c r="I58" s="14">
        <f>H58/B3</f>
        <v>0.3506666667</v>
      </c>
      <c r="J58" s="2">
        <v>0.0</v>
      </c>
      <c r="K58" s="2">
        <v>0.0</v>
      </c>
      <c r="L58" s="2">
        <v>0.0</v>
      </c>
      <c r="M58" s="7"/>
      <c r="N58" s="7"/>
    </row>
    <row r="59">
      <c r="A59" s="12">
        <v>45852.0</v>
      </c>
      <c r="B59" s="6" t="s">
        <v>63</v>
      </c>
      <c r="C59" s="2">
        <v>0.97</v>
      </c>
      <c r="D59" s="16">
        <f t="shared" si="3"/>
        <v>4.65</v>
      </c>
      <c r="E59" s="17">
        <f>D59/B1</f>
        <v>0.465</v>
      </c>
      <c r="F59" s="16">
        <f t="shared" si="4"/>
        <v>4.91</v>
      </c>
      <c r="G59" s="17">
        <f>F59/B2</f>
        <v>0.491</v>
      </c>
      <c r="H59" s="15">
        <f t="shared" si="5"/>
        <v>4.29</v>
      </c>
      <c r="I59" s="14">
        <f>H59/B3</f>
        <v>0.286</v>
      </c>
      <c r="J59" s="2">
        <v>0.0</v>
      </c>
      <c r="K59" s="2">
        <v>0.0</v>
      </c>
      <c r="L59" s="2">
        <v>0.0</v>
      </c>
    </row>
    <row r="60">
      <c r="A60" s="12">
        <v>45853.0</v>
      </c>
      <c r="B60" s="6" t="s">
        <v>61</v>
      </c>
      <c r="C60" s="2">
        <v>0.52</v>
      </c>
      <c r="D60" s="16">
        <f t="shared" si="3"/>
        <v>4.13</v>
      </c>
      <c r="E60" s="17">
        <f>D60/B1</f>
        <v>0.413</v>
      </c>
      <c r="F60" s="16">
        <f t="shared" si="4"/>
        <v>4.91</v>
      </c>
      <c r="G60" s="17">
        <f>F60/B2</f>
        <v>0.491</v>
      </c>
      <c r="H60" s="15">
        <f t="shared" si="5"/>
        <v>4.29</v>
      </c>
      <c r="I60" s="14">
        <f>H60/B3</f>
        <v>0.286</v>
      </c>
      <c r="J60" s="2">
        <v>0.0</v>
      </c>
      <c r="K60" s="2">
        <v>0.0</v>
      </c>
      <c r="L60" s="2">
        <v>0.0</v>
      </c>
    </row>
    <row r="61">
      <c r="A61" s="12">
        <v>45853.0</v>
      </c>
      <c r="B61" s="6" t="s">
        <v>62</v>
      </c>
      <c r="C61" s="2">
        <v>0.58</v>
      </c>
      <c r="D61" s="16">
        <f t="shared" si="3"/>
        <v>4.13</v>
      </c>
      <c r="E61" s="17">
        <f>D61/B1</f>
        <v>0.413</v>
      </c>
      <c r="F61" s="16">
        <f t="shared" si="4"/>
        <v>4.33</v>
      </c>
      <c r="G61" s="17">
        <f>F61/B2</f>
        <v>0.433</v>
      </c>
      <c r="H61" s="15">
        <f t="shared" si="5"/>
        <v>4.29</v>
      </c>
      <c r="I61" s="14">
        <f>H61/B3</f>
        <v>0.286</v>
      </c>
      <c r="J61" s="2">
        <v>0.0</v>
      </c>
      <c r="K61" s="2">
        <v>0.0</v>
      </c>
      <c r="L61" s="2">
        <v>0.0</v>
      </c>
    </row>
    <row r="62">
      <c r="A62" s="12">
        <v>45853.0</v>
      </c>
      <c r="B62" s="6" t="s">
        <v>63</v>
      </c>
      <c r="C62" s="2">
        <v>0.0</v>
      </c>
      <c r="D62" s="16">
        <f t="shared" si="3"/>
        <v>4.13</v>
      </c>
      <c r="E62" s="17">
        <f>D62/B1</f>
        <v>0.413</v>
      </c>
      <c r="F62" s="16">
        <f t="shared" si="4"/>
        <v>4.33</v>
      </c>
      <c r="G62" s="17">
        <f>F62/B2</f>
        <v>0.433</v>
      </c>
      <c r="H62" s="15">
        <f t="shared" si="5"/>
        <v>4.29</v>
      </c>
      <c r="I62" s="14">
        <f>H62/B3</f>
        <v>0.286</v>
      </c>
      <c r="J62" s="2">
        <v>0.0</v>
      </c>
      <c r="K62" s="2">
        <v>0.0</v>
      </c>
      <c r="L62" s="2">
        <v>0.0</v>
      </c>
    </row>
    <row r="63">
      <c r="A63" s="12">
        <v>45854.0</v>
      </c>
      <c r="B63" s="6" t="s">
        <v>61</v>
      </c>
      <c r="C63" s="2">
        <v>0.0</v>
      </c>
      <c r="D63" s="16">
        <f t="shared" si="3"/>
        <v>4.13</v>
      </c>
      <c r="E63" s="17">
        <f>D63/B1</f>
        <v>0.413</v>
      </c>
      <c r="F63" s="16">
        <f t="shared" si="4"/>
        <v>4.33</v>
      </c>
      <c r="G63" s="17">
        <f>F63/B2</f>
        <v>0.433</v>
      </c>
      <c r="H63" s="15">
        <f t="shared" si="5"/>
        <v>4.29</v>
      </c>
      <c r="I63" s="14">
        <f>H63/B3</f>
        <v>0.286</v>
      </c>
      <c r="J63" s="2">
        <v>0.0</v>
      </c>
      <c r="K63" s="2">
        <v>0.0</v>
      </c>
      <c r="L63" s="2">
        <v>0.0</v>
      </c>
    </row>
    <row r="64">
      <c r="A64" s="12">
        <v>45854.0</v>
      </c>
      <c r="B64" s="6" t="s">
        <v>62</v>
      </c>
      <c r="C64" s="2">
        <v>0.0</v>
      </c>
      <c r="D64" s="16">
        <f t="shared" si="3"/>
        <v>4.13</v>
      </c>
      <c r="E64" s="17">
        <f>D64/B1</f>
        <v>0.413</v>
      </c>
      <c r="F64" s="16">
        <f t="shared" si="4"/>
        <v>4.33</v>
      </c>
      <c r="G64" s="17">
        <f>F64/B2</f>
        <v>0.433</v>
      </c>
      <c r="H64" s="15">
        <f t="shared" si="5"/>
        <v>4.29</v>
      </c>
      <c r="I64" s="14">
        <f>H64/B3</f>
        <v>0.286</v>
      </c>
      <c r="J64" s="2">
        <v>0.0</v>
      </c>
      <c r="K64" s="2">
        <v>0.0</v>
      </c>
      <c r="L64" s="2">
        <v>0.0</v>
      </c>
    </row>
    <row r="65">
      <c r="A65" s="12">
        <v>45854.0</v>
      </c>
      <c r="B65" s="6" t="s">
        <v>63</v>
      </c>
      <c r="C65" s="2">
        <v>0.0</v>
      </c>
      <c r="D65" s="16">
        <f t="shared" si="3"/>
        <v>4.13</v>
      </c>
      <c r="E65" s="17">
        <f>D65/B1</f>
        <v>0.413</v>
      </c>
      <c r="F65" s="16">
        <f t="shared" si="4"/>
        <v>4.33</v>
      </c>
      <c r="G65" s="17">
        <f>F65/B2</f>
        <v>0.433</v>
      </c>
      <c r="H65" s="15">
        <f t="shared" si="5"/>
        <v>4.29</v>
      </c>
      <c r="I65" s="14">
        <f>H65/B3</f>
        <v>0.286</v>
      </c>
      <c r="J65" s="2">
        <v>0.0</v>
      </c>
      <c r="K65" s="2">
        <v>0.0</v>
      </c>
      <c r="L65" s="2">
        <v>0.0</v>
      </c>
    </row>
    <row r="66">
      <c r="A66" s="12">
        <v>45855.0</v>
      </c>
      <c r="B66" s="6" t="s">
        <v>61</v>
      </c>
      <c r="C66" s="2">
        <v>0.0</v>
      </c>
      <c r="D66" s="16">
        <f t="shared" si="3"/>
        <v>4.13</v>
      </c>
      <c r="E66" s="17">
        <f>D66/B1</f>
        <v>0.413</v>
      </c>
      <c r="F66" s="16">
        <f t="shared" si="4"/>
        <v>4.33</v>
      </c>
      <c r="G66" s="17">
        <f>F66/B2</f>
        <v>0.433</v>
      </c>
      <c r="H66" s="15">
        <f t="shared" si="5"/>
        <v>4.29</v>
      </c>
      <c r="I66" s="14">
        <f>H66/B3</f>
        <v>0.286</v>
      </c>
      <c r="J66" s="2">
        <v>0.0</v>
      </c>
      <c r="K66" s="2">
        <v>0.0</v>
      </c>
      <c r="L66" s="2">
        <v>0.0</v>
      </c>
    </row>
    <row r="67">
      <c r="A67" s="12">
        <v>45855.0</v>
      </c>
      <c r="B67" s="6" t="s">
        <v>62</v>
      </c>
      <c r="C67" s="2">
        <v>0.0</v>
      </c>
      <c r="D67" s="16">
        <f t="shared" si="3"/>
        <v>4.13</v>
      </c>
      <c r="E67" s="17">
        <f>D67/B1</f>
        <v>0.413</v>
      </c>
      <c r="F67" s="16">
        <f t="shared" si="4"/>
        <v>4.33</v>
      </c>
      <c r="G67" s="17">
        <f>F67/B2</f>
        <v>0.433</v>
      </c>
      <c r="H67" s="15">
        <f t="shared" si="5"/>
        <v>4.29</v>
      </c>
      <c r="I67" s="14">
        <f>H67/B3</f>
        <v>0.286</v>
      </c>
      <c r="J67" s="2">
        <v>0.0</v>
      </c>
      <c r="K67" s="2">
        <v>0.0</v>
      </c>
      <c r="L67" s="2">
        <v>0.0</v>
      </c>
    </row>
    <row r="68">
      <c r="A68" s="12">
        <v>45855.0</v>
      </c>
      <c r="B68" s="6" t="s">
        <v>63</v>
      </c>
      <c r="C68" s="2">
        <v>0.0</v>
      </c>
      <c r="D68" s="16">
        <f t="shared" si="3"/>
        <v>4.13</v>
      </c>
      <c r="E68" s="17">
        <f>D68/B1</f>
        <v>0.413</v>
      </c>
      <c r="F68" s="16">
        <f t="shared" si="4"/>
        <v>4.33</v>
      </c>
      <c r="G68" s="17">
        <f>F68/B2</f>
        <v>0.433</v>
      </c>
      <c r="H68" s="15">
        <f t="shared" si="5"/>
        <v>4.29</v>
      </c>
      <c r="I68" s="14">
        <f>H68/B3</f>
        <v>0.286</v>
      </c>
      <c r="J68" s="2">
        <v>0.0</v>
      </c>
      <c r="K68" s="2">
        <v>0.0</v>
      </c>
      <c r="L68" s="2">
        <v>0.0</v>
      </c>
    </row>
    <row r="69">
      <c r="A69" s="12">
        <v>45856.0</v>
      </c>
      <c r="B69" s="6" t="s">
        <v>61</v>
      </c>
      <c r="C69" s="2">
        <v>0.0</v>
      </c>
      <c r="D69" s="16">
        <f t="shared" si="3"/>
        <v>4.13</v>
      </c>
      <c r="E69" s="17">
        <f>D69/B1</f>
        <v>0.413</v>
      </c>
      <c r="F69" s="16">
        <f t="shared" si="4"/>
        <v>4.33</v>
      </c>
      <c r="G69" s="17">
        <f>F69/B2</f>
        <v>0.433</v>
      </c>
      <c r="H69" s="15">
        <f t="shared" si="5"/>
        <v>4.29</v>
      </c>
      <c r="I69" s="14">
        <f>H69/B3</f>
        <v>0.286</v>
      </c>
      <c r="J69" s="2">
        <v>0.0</v>
      </c>
      <c r="K69" s="2">
        <v>0.0</v>
      </c>
      <c r="L69" s="2">
        <v>0.0</v>
      </c>
    </row>
    <row r="70">
      <c r="A70" s="12">
        <v>45856.0</v>
      </c>
      <c r="B70" s="6" t="s">
        <v>62</v>
      </c>
      <c r="C70" s="2">
        <v>0.65</v>
      </c>
      <c r="D70" s="16">
        <f t="shared" si="3"/>
        <v>4.13</v>
      </c>
      <c r="E70" s="17">
        <f>D70/B1</f>
        <v>0.413</v>
      </c>
      <c r="F70" s="16">
        <f t="shared" si="4"/>
        <v>3.68</v>
      </c>
      <c r="G70" s="17">
        <f>F70/B2</f>
        <v>0.368</v>
      </c>
      <c r="H70" s="15">
        <f t="shared" si="5"/>
        <v>4.29</v>
      </c>
      <c r="I70" s="14">
        <f>H70/B3</f>
        <v>0.286</v>
      </c>
      <c r="J70" s="2">
        <v>0.0</v>
      </c>
      <c r="K70" s="2">
        <v>0.0</v>
      </c>
      <c r="L70" s="2">
        <v>0.0</v>
      </c>
    </row>
    <row r="71">
      <c r="A71" s="12">
        <v>45856.0</v>
      </c>
      <c r="B71" s="6" t="s">
        <v>63</v>
      </c>
      <c r="C71" s="2">
        <v>0.65</v>
      </c>
      <c r="D71" s="16">
        <f t="shared" si="3"/>
        <v>4.13</v>
      </c>
      <c r="E71" s="17">
        <f>D71/B1</f>
        <v>0.413</v>
      </c>
      <c r="F71" s="16">
        <f t="shared" si="4"/>
        <v>3.68</v>
      </c>
      <c r="G71" s="17">
        <f>F71/B2</f>
        <v>0.368</v>
      </c>
      <c r="H71" s="15">
        <f t="shared" si="5"/>
        <v>3.64</v>
      </c>
      <c r="I71" s="14">
        <f>H71/B3</f>
        <v>0.2426666667</v>
      </c>
      <c r="J71" s="2">
        <v>0.0</v>
      </c>
      <c r="K71" s="2">
        <v>0.0</v>
      </c>
      <c r="L71" s="2">
        <v>0.0</v>
      </c>
    </row>
    <row r="72">
      <c r="A72" s="12">
        <v>45857.0</v>
      </c>
      <c r="B72" s="6" t="s">
        <v>61</v>
      </c>
      <c r="C72" s="2">
        <v>0.85</v>
      </c>
      <c r="D72" s="16">
        <f t="shared" si="3"/>
        <v>3.28</v>
      </c>
      <c r="E72" s="17">
        <f>D72/B1</f>
        <v>0.328</v>
      </c>
      <c r="F72" s="16">
        <f t="shared" si="4"/>
        <v>3.68</v>
      </c>
      <c r="G72" s="17">
        <f>F72/B2</f>
        <v>0.368</v>
      </c>
      <c r="H72" s="15">
        <f t="shared" si="5"/>
        <v>3.64</v>
      </c>
      <c r="I72" s="14">
        <f>H72/B3</f>
        <v>0.2426666667</v>
      </c>
      <c r="J72" s="2">
        <v>0.0</v>
      </c>
      <c r="K72" s="2">
        <v>0.0</v>
      </c>
      <c r="L72" s="2">
        <v>0.0</v>
      </c>
    </row>
    <row r="73">
      <c r="A73" s="12">
        <v>45857.0</v>
      </c>
      <c r="B73" s="6" t="s">
        <v>62</v>
      </c>
      <c r="C73" s="2">
        <v>0.0</v>
      </c>
      <c r="D73" s="16">
        <f t="shared" si="3"/>
        <v>3.28</v>
      </c>
      <c r="E73" s="17">
        <f>D73/B1</f>
        <v>0.328</v>
      </c>
      <c r="F73" s="16">
        <f t="shared" si="4"/>
        <v>3.68</v>
      </c>
      <c r="G73" s="17">
        <f>F73/B2</f>
        <v>0.368</v>
      </c>
      <c r="H73" s="15">
        <f t="shared" si="5"/>
        <v>3.64</v>
      </c>
      <c r="I73" s="14">
        <f>H73/B3</f>
        <v>0.2426666667</v>
      </c>
      <c r="J73" s="2">
        <v>0.0</v>
      </c>
      <c r="K73" s="2">
        <v>0.0</v>
      </c>
      <c r="L73" s="2">
        <v>0.0</v>
      </c>
    </row>
    <row r="74">
      <c r="A74" s="12">
        <v>45857.0</v>
      </c>
      <c r="B74" s="6" t="s">
        <v>63</v>
      </c>
      <c r="C74" s="2">
        <v>0.97</v>
      </c>
      <c r="D74" s="16">
        <f t="shared" si="3"/>
        <v>3.28</v>
      </c>
      <c r="E74" s="17">
        <f>D74/B1</f>
        <v>0.328</v>
      </c>
      <c r="F74" s="16">
        <f t="shared" si="4"/>
        <v>3.68</v>
      </c>
      <c r="G74" s="17">
        <f>F74/B2</f>
        <v>0.368</v>
      </c>
      <c r="H74" s="15">
        <f t="shared" si="5"/>
        <v>2.67</v>
      </c>
      <c r="I74" s="14">
        <f>H74/B3</f>
        <v>0.178</v>
      </c>
      <c r="J74" s="2">
        <v>0.0</v>
      </c>
      <c r="K74" s="2">
        <v>0.0</v>
      </c>
      <c r="L74" s="2">
        <v>0.0</v>
      </c>
    </row>
    <row r="75">
      <c r="A75" s="12">
        <v>45858.0</v>
      </c>
      <c r="B75" s="6" t="s">
        <v>61</v>
      </c>
      <c r="C75" s="2">
        <v>0.0</v>
      </c>
      <c r="D75" s="16">
        <f t="shared" si="3"/>
        <v>3.28</v>
      </c>
      <c r="E75" s="17">
        <f>D75/B1</f>
        <v>0.328</v>
      </c>
      <c r="F75" s="16">
        <f t="shared" si="4"/>
        <v>3.68</v>
      </c>
      <c r="G75" s="17">
        <f>F75/B2</f>
        <v>0.368</v>
      </c>
      <c r="H75" s="15">
        <f t="shared" si="5"/>
        <v>2.67</v>
      </c>
      <c r="I75" s="14">
        <f>H75/B3</f>
        <v>0.178</v>
      </c>
      <c r="J75" s="2">
        <v>0.0</v>
      </c>
      <c r="K75" s="2">
        <v>0.0</v>
      </c>
      <c r="L75" s="2">
        <v>0.0</v>
      </c>
    </row>
    <row r="76">
      <c r="A76" s="12">
        <v>45858.0</v>
      </c>
      <c r="B76" s="6" t="s">
        <v>62</v>
      </c>
      <c r="C76" s="2">
        <v>0.0</v>
      </c>
      <c r="D76" s="16">
        <f t="shared" si="3"/>
        <v>3.28</v>
      </c>
      <c r="E76" s="17">
        <f>D76/B1</f>
        <v>0.328</v>
      </c>
      <c r="F76" s="16">
        <f t="shared" si="4"/>
        <v>3.68</v>
      </c>
      <c r="G76" s="17">
        <f>F76/B2</f>
        <v>0.368</v>
      </c>
      <c r="H76" s="15">
        <f t="shared" si="5"/>
        <v>2.67</v>
      </c>
      <c r="I76" s="14">
        <f>H76/B3</f>
        <v>0.178</v>
      </c>
      <c r="J76" s="2">
        <v>0.0</v>
      </c>
      <c r="K76" s="2">
        <v>0.0</v>
      </c>
      <c r="L76" s="2">
        <v>0.0</v>
      </c>
    </row>
    <row r="77">
      <c r="A77" s="12">
        <v>45858.0</v>
      </c>
      <c r="B77" s="6" t="s">
        <v>63</v>
      </c>
      <c r="C77" s="2">
        <v>0.0</v>
      </c>
      <c r="D77" s="16">
        <f t="shared" si="3"/>
        <v>3.28</v>
      </c>
      <c r="E77" s="17">
        <f>D77/B1</f>
        <v>0.328</v>
      </c>
      <c r="F77" s="16">
        <f t="shared" si="4"/>
        <v>3.68</v>
      </c>
      <c r="G77" s="17">
        <f>F77/B2</f>
        <v>0.368</v>
      </c>
      <c r="H77" s="15">
        <f t="shared" si="5"/>
        <v>2.67</v>
      </c>
      <c r="I77" s="14">
        <f>H77/B3</f>
        <v>0.178</v>
      </c>
      <c r="J77" s="2">
        <v>0.0</v>
      </c>
      <c r="K77" s="2">
        <v>0.0</v>
      </c>
      <c r="L77" s="2">
        <v>0.0</v>
      </c>
    </row>
    <row r="78">
      <c r="A78" s="12">
        <v>45859.0</v>
      </c>
      <c r="B78" s="6" t="s">
        <v>61</v>
      </c>
      <c r="C78" s="2">
        <v>0.0</v>
      </c>
      <c r="D78" s="16">
        <f t="shared" si="3"/>
        <v>3.28</v>
      </c>
      <c r="E78" s="17">
        <f>D78/B1</f>
        <v>0.328</v>
      </c>
      <c r="F78" s="16">
        <f t="shared" si="4"/>
        <v>3.68</v>
      </c>
      <c r="G78" s="17">
        <f>F78/B2</f>
        <v>0.368</v>
      </c>
      <c r="H78" s="15">
        <f t="shared" si="5"/>
        <v>2.67</v>
      </c>
      <c r="I78" s="14">
        <f>H78/B3</f>
        <v>0.178</v>
      </c>
      <c r="J78" s="2">
        <v>0.0</v>
      </c>
      <c r="K78" s="2">
        <v>0.0</v>
      </c>
      <c r="L78" s="2">
        <v>0.0</v>
      </c>
    </row>
    <row r="79">
      <c r="A79" s="12">
        <v>45859.0</v>
      </c>
      <c r="B79" s="6" t="s">
        <v>62</v>
      </c>
      <c r="C79" s="2">
        <v>0.84</v>
      </c>
      <c r="D79" s="16">
        <f t="shared" si="3"/>
        <v>3.28</v>
      </c>
      <c r="E79" s="17">
        <f>D79/B1</f>
        <v>0.328</v>
      </c>
      <c r="F79" s="16">
        <f t="shared" si="4"/>
        <v>2.84</v>
      </c>
      <c r="G79" s="17">
        <f>F79/B2</f>
        <v>0.284</v>
      </c>
      <c r="H79" s="15">
        <f t="shared" si="5"/>
        <v>2.67</v>
      </c>
      <c r="I79" s="14">
        <f>H79/B3</f>
        <v>0.178</v>
      </c>
      <c r="J79" s="2">
        <v>0.0</v>
      </c>
      <c r="K79" s="2">
        <v>0.0</v>
      </c>
      <c r="L79" s="2">
        <v>0.0</v>
      </c>
    </row>
    <row r="80">
      <c r="A80" s="12">
        <v>45859.0</v>
      </c>
      <c r="B80" s="6" t="s">
        <v>63</v>
      </c>
      <c r="C80" s="2">
        <v>0.75</v>
      </c>
      <c r="D80" s="16">
        <f t="shared" si="3"/>
        <v>3.28</v>
      </c>
      <c r="E80" s="17">
        <f>D80/B1</f>
        <v>0.328</v>
      </c>
      <c r="F80" s="16">
        <f t="shared" si="4"/>
        <v>2.84</v>
      </c>
      <c r="G80" s="17">
        <f>F80/B2</f>
        <v>0.284</v>
      </c>
      <c r="H80" s="15">
        <f t="shared" si="5"/>
        <v>1.92</v>
      </c>
      <c r="I80" s="14">
        <f>H80/B3</f>
        <v>0.128</v>
      </c>
      <c r="J80" s="2">
        <v>0.0</v>
      </c>
      <c r="K80" s="2">
        <v>0.0</v>
      </c>
      <c r="L80" s="2">
        <v>0.0</v>
      </c>
    </row>
    <row r="81">
      <c r="A81" s="12">
        <v>45860.0</v>
      </c>
      <c r="B81" s="6" t="s">
        <v>61</v>
      </c>
      <c r="C81" s="2">
        <v>0.5</v>
      </c>
      <c r="D81" s="16">
        <f t="shared" si="3"/>
        <v>2.78</v>
      </c>
      <c r="E81" s="17">
        <f>D81/B1</f>
        <v>0.278</v>
      </c>
      <c r="F81" s="16">
        <f t="shared" si="4"/>
        <v>2.84</v>
      </c>
      <c r="G81" s="17">
        <f>F81/B2</f>
        <v>0.284</v>
      </c>
      <c r="H81" s="15">
        <f t="shared" si="5"/>
        <v>1.92</v>
      </c>
      <c r="I81" s="14">
        <f>H81/B3</f>
        <v>0.128</v>
      </c>
      <c r="J81" s="2">
        <v>0.0</v>
      </c>
      <c r="K81" s="2">
        <v>0.0</v>
      </c>
      <c r="L81" s="2">
        <v>0.0</v>
      </c>
    </row>
    <row r="82">
      <c r="A82" s="12">
        <v>45860.0</v>
      </c>
      <c r="B82" s="6" t="s">
        <v>62</v>
      </c>
      <c r="C82" s="2">
        <v>0.8</v>
      </c>
      <c r="D82" s="16">
        <f t="shared" si="3"/>
        <v>2.78</v>
      </c>
      <c r="E82" s="17">
        <f>D82/B1</f>
        <v>0.278</v>
      </c>
      <c r="F82" s="16">
        <f t="shared" si="4"/>
        <v>2.04</v>
      </c>
      <c r="G82" s="17">
        <f>F82/B2</f>
        <v>0.204</v>
      </c>
      <c r="H82" s="15">
        <f t="shared" si="5"/>
        <v>1.92</v>
      </c>
      <c r="I82" s="14">
        <f>H82/B3</f>
        <v>0.128</v>
      </c>
      <c r="J82" s="2">
        <v>0.0</v>
      </c>
      <c r="K82" s="2">
        <v>0.0</v>
      </c>
      <c r="L82" s="2">
        <v>0.0</v>
      </c>
    </row>
    <row r="83">
      <c r="A83" s="12">
        <v>45860.0</v>
      </c>
      <c r="B83" s="6" t="s">
        <v>63</v>
      </c>
      <c r="C83" s="2">
        <v>0.0</v>
      </c>
      <c r="D83" s="16">
        <f t="shared" si="3"/>
        <v>2.78</v>
      </c>
      <c r="E83" s="17">
        <f>D83/B1</f>
        <v>0.278</v>
      </c>
      <c r="F83" s="16">
        <f t="shared" si="4"/>
        <v>2.04</v>
      </c>
      <c r="G83" s="17">
        <f>F83/B2</f>
        <v>0.204</v>
      </c>
      <c r="H83" s="15">
        <f t="shared" si="5"/>
        <v>1.92</v>
      </c>
      <c r="I83" s="14">
        <f>H83/B3</f>
        <v>0.128</v>
      </c>
      <c r="J83" s="2">
        <v>0.0</v>
      </c>
      <c r="K83" s="2">
        <v>0.0</v>
      </c>
      <c r="L83" s="2">
        <v>0.0</v>
      </c>
    </row>
    <row r="84">
      <c r="A84" s="12">
        <v>45861.0</v>
      </c>
      <c r="B84" s="6" t="s">
        <v>61</v>
      </c>
      <c r="C84" s="2">
        <v>0.0</v>
      </c>
      <c r="D84" s="16">
        <f t="shared" si="3"/>
        <v>2.78</v>
      </c>
      <c r="E84" s="17">
        <f>D84/B1</f>
        <v>0.278</v>
      </c>
      <c r="F84" s="16">
        <f t="shared" si="4"/>
        <v>2.04</v>
      </c>
      <c r="G84" s="17">
        <f>F84/B2</f>
        <v>0.204</v>
      </c>
      <c r="H84" s="15">
        <f t="shared" si="5"/>
        <v>1.92</v>
      </c>
      <c r="I84" s="14">
        <f>H84/B3</f>
        <v>0.128</v>
      </c>
      <c r="J84" s="2">
        <v>0.0</v>
      </c>
      <c r="K84" s="2">
        <v>0.0</v>
      </c>
      <c r="L84" s="2">
        <v>0.0</v>
      </c>
    </row>
    <row r="85">
      <c r="A85" s="12">
        <v>45861.0</v>
      </c>
      <c r="B85" s="6" t="s">
        <v>62</v>
      </c>
      <c r="C85" s="2">
        <v>0.83</v>
      </c>
      <c r="D85" s="16">
        <f t="shared" si="3"/>
        <v>2.78</v>
      </c>
      <c r="E85" s="17">
        <f>D85/B1</f>
        <v>0.278</v>
      </c>
      <c r="F85" s="16">
        <f t="shared" si="4"/>
        <v>1.21</v>
      </c>
      <c r="G85" s="17">
        <f>F85/B2</f>
        <v>0.121</v>
      </c>
      <c r="H85" s="15">
        <f t="shared" si="5"/>
        <v>1.92</v>
      </c>
      <c r="I85" s="14">
        <f>H85/B3</f>
        <v>0.128</v>
      </c>
      <c r="J85" s="2">
        <v>0.0</v>
      </c>
      <c r="K85" s="2">
        <v>0.0</v>
      </c>
      <c r="L85" s="2">
        <v>0.0</v>
      </c>
    </row>
    <row r="86">
      <c r="A86" s="12">
        <v>45861.0</v>
      </c>
      <c r="B86" s="6" t="s">
        <v>63</v>
      </c>
      <c r="C86" s="2">
        <v>0.92</v>
      </c>
      <c r="D86" s="16">
        <f t="shared" si="3"/>
        <v>2.78</v>
      </c>
      <c r="E86" s="17">
        <f>D86/B1</f>
        <v>0.278</v>
      </c>
      <c r="F86" s="16">
        <f t="shared" si="4"/>
        <v>1.21</v>
      </c>
      <c r="G86" s="17">
        <f>F86/B2</f>
        <v>0.121</v>
      </c>
      <c r="H86" s="15">
        <f t="shared" si="5"/>
        <v>1</v>
      </c>
      <c r="I86" s="14">
        <f>H86/B3</f>
        <v>0.06666666667</v>
      </c>
      <c r="J86" s="2">
        <v>0.0</v>
      </c>
      <c r="K86" s="2">
        <v>0.0</v>
      </c>
      <c r="L86" s="2">
        <v>0.0</v>
      </c>
    </row>
    <row r="87">
      <c r="A87" s="12">
        <v>45862.0</v>
      </c>
      <c r="B87" s="6" t="s">
        <v>61</v>
      </c>
      <c r="C87" s="2">
        <v>1.0</v>
      </c>
      <c r="D87" s="16">
        <f t="shared" si="3"/>
        <v>1.78</v>
      </c>
      <c r="E87" s="17">
        <f>D87/B1</f>
        <v>0.178</v>
      </c>
      <c r="F87" s="16">
        <f t="shared" si="4"/>
        <v>1.21</v>
      </c>
      <c r="G87" s="17">
        <f>F87/B2</f>
        <v>0.121</v>
      </c>
      <c r="H87" s="15">
        <f t="shared" si="5"/>
        <v>1</v>
      </c>
      <c r="I87" s="14">
        <f>H87/B3</f>
        <v>0.06666666667</v>
      </c>
      <c r="J87" s="2">
        <v>0.0</v>
      </c>
      <c r="K87" s="2">
        <v>0.0</v>
      </c>
      <c r="L87" s="2">
        <v>0.0</v>
      </c>
    </row>
    <row r="88">
      <c r="A88" s="12">
        <v>45862.0</v>
      </c>
      <c r="B88" s="6" t="s">
        <v>62</v>
      </c>
      <c r="C88" s="2">
        <v>0.76</v>
      </c>
      <c r="D88" s="16">
        <f t="shared" si="3"/>
        <v>1.78</v>
      </c>
      <c r="E88" s="17">
        <f>D88/B1</f>
        <v>0.178</v>
      </c>
      <c r="F88" s="16">
        <f t="shared" si="4"/>
        <v>0.45</v>
      </c>
      <c r="G88" s="17">
        <f>F88/B2</f>
        <v>0.045</v>
      </c>
      <c r="H88" s="15">
        <f t="shared" si="5"/>
        <v>1</v>
      </c>
      <c r="I88" s="14">
        <f>H88/B3</f>
        <v>0.06666666667</v>
      </c>
      <c r="J88" s="2">
        <v>0.0</v>
      </c>
      <c r="K88" s="2">
        <v>0.0</v>
      </c>
      <c r="L88" s="2">
        <v>0.0</v>
      </c>
    </row>
    <row r="89">
      <c r="A89" s="12">
        <v>45862.0</v>
      </c>
      <c r="B89" s="6" t="s">
        <v>63</v>
      </c>
      <c r="C89" s="2">
        <v>0.0</v>
      </c>
      <c r="D89" s="16">
        <f t="shared" si="3"/>
        <v>1.78</v>
      </c>
      <c r="E89" s="17">
        <f>D89/B1</f>
        <v>0.178</v>
      </c>
      <c r="F89" s="16">
        <f t="shared" si="4"/>
        <v>0.45</v>
      </c>
      <c r="G89" s="17">
        <f>F89/B2</f>
        <v>0.045</v>
      </c>
      <c r="H89" s="15">
        <f t="shared" si="5"/>
        <v>1</v>
      </c>
      <c r="I89" s="14">
        <f>H89/B3</f>
        <v>0.06666666667</v>
      </c>
      <c r="J89" s="2">
        <v>0.0</v>
      </c>
      <c r="K89" s="2">
        <v>0.0</v>
      </c>
      <c r="L89" s="2">
        <v>0.0</v>
      </c>
    </row>
    <row r="90">
      <c r="A90" s="12">
        <v>45863.0</v>
      </c>
      <c r="B90" s="6" t="s">
        <v>61</v>
      </c>
      <c r="C90" s="2">
        <v>0.85</v>
      </c>
      <c r="D90" s="16">
        <f t="shared" si="3"/>
        <v>0.93</v>
      </c>
      <c r="E90" s="17">
        <f>D90/B1</f>
        <v>0.093</v>
      </c>
      <c r="F90" s="16">
        <f t="shared" si="4"/>
        <v>0.45</v>
      </c>
      <c r="G90" s="17">
        <f>F90/B2</f>
        <v>0.045</v>
      </c>
      <c r="H90" s="15">
        <f t="shared" si="5"/>
        <v>1</v>
      </c>
      <c r="I90" s="14">
        <f>H90/B3</f>
        <v>0.06666666667</v>
      </c>
      <c r="J90" s="2">
        <v>0.0</v>
      </c>
      <c r="K90" s="2">
        <v>0.0</v>
      </c>
      <c r="L90" s="2">
        <v>0.0</v>
      </c>
    </row>
    <row r="91">
      <c r="A91" s="12">
        <v>45863.0</v>
      </c>
      <c r="B91" s="6" t="s">
        <v>62</v>
      </c>
      <c r="C91" s="2">
        <v>0.0</v>
      </c>
      <c r="D91" s="16">
        <f t="shared" si="3"/>
        <v>0.93</v>
      </c>
      <c r="E91" s="17">
        <f>D91/B1</f>
        <v>0.093</v>
      </c>
      <c r="F91" s="16">
        <f t="shared" si="4"/>
        <v>0.45</v>
      </c>
      <c r="G91" s="17">
        <f>F91/B2</f>
        <v>0.045</v>
      </c>
      <c r="H91" s="15">
        <f t="shared" si="5"/>
        <v>1</v>
      </c>
      <c r="I91" s="14">
        <f>H91/B3</f>
        <v>0.06666666667</v>
      </c>
      <c r="J91" s="2">
        <v>0.0</v>
      </c>
      <c r="K91" s="2">
        <v>0.0</v>
      </c>
      <c r="L91" s="2">
        <v>0.0</v>
      </c>
    </row>
    <row r="92">
      <c r="A92" s="12">
        <v>45863.0</v>
      </c>
      <c r="B92" s="6" t="s">
        <v>63</v>
      </c>
      <c r="C92" s="2">
        <v>0.52</v>
      </c>
      <c r="D92" s="16">
        <f t="shared" si="3"/>
        <v>0.93</v>
      </c>
      <c r="E92" s="17">
        <f>D92/B1</f>
        <v>0.093</v>
      </c>
      <c r="F92" s="16">
        <f t="shared" si="4"/>
        <v>0.45</v>
      </c>
      <c r="G92" s="17">
        <f>F92/B2</f>
        <v>0.045</v>
      </c>
      <c r="H92" s="15">
        <f t="shared" si="5"/>
        <v>0.48</v>
      </c>
      <c r="I92" s="14">
        <f>H92/B3</f>
        <v>0.032</v>
      </c>
      <c r="J92" s="2">
        <v>0.0</v>
      </c>
      <c r="K92" s="2">
        <v>0.0</v>
      </c>
      <c r="L92" s="2">
        <v>0.0</v>
      </c>
    </row>
    <row r="93">
      <c r="A93" s="12">
        <v>45864.0</v>
      </c>
      <c r="B93" s="6" t="s">
        <v>61</v>
      </c>
      <c r="C93" s="2">
        <v>0.93</v>
      </c>
      <c r="D93" s="16">
        <f t="shared" si="3"/>
        <v>0</v>
      </c>
      <c r="E93" s="17">
        <f>D93/B1</f>
        <v>0</v>
      </c>
      <c r="F93" s="16">
        <f t="shared" si="4"/>
        <v>0.45</v>
      </c>
      <c r="G93" s="17">
        <f>F93/B2</f>
        <v>0.045</v>
      </c>
      <c r="H93" s="15">
        <f t="shared" si="5"/>
        <v>0.48</v>
      </c>
      <c r="I93" s="14">
        <f>H93/B3</f>
        <v>0.032</v>
      </c>
      <c r="J93" s="2">
        <v>0.0</v>
      </c>
      <c r="K93" s="2">
        <v>0.0</v>
      </c>
      <c r="L93" s="2">
        <v>0.0</v>
      </c>
    </row>
    <row r="94">
      <c r="A94" s="12">
        <v>45864.0</v>
      </c>
      <c r="B94" s="6" t="s">
        <v>62</v>
      </c>
      <c r="C94" s="2">
        <v>0.0</v>
      </c>
      <c r="D94" s="16">
        <f t="shared" si="3"/>
        <v>0</v>
      </c>
      <c r="E94" s="17">
        <f>D94/B1</f>
        <v>0</v>
      </c>
      <c r="F94" s="16">
        <f t="shared" si="4"/>
        <v>0.45</v>
      </c>
      <c r="G94" s="17">
        <f>F94/B2</f>
        <v>0.045</v>
      </c>
      <c r="H94" s="15">
        <f t="shared" si="5"/>
        <v>0.48</v>
      </c>
      <c r="I94" s="14">
        <f>H94/B3</f>
        <v>0.032</v>
      </c>
      <c r="J94" s="2">
        <v>0.0</v>
      </c>
      <c r="K94" s="2">
        <v>0.0</v>
      </c>
      <c r="L94" s="2">
        <v>0.0</v>
      </c>
    </row>
    <row r="95">
      <c r="A95" s="12">
        <v>45864.0</v>
      </c>
      <c r="B95" s="6" t="s">
        <v>63</v>
      </c>
      <c r="C95" s="2">
        <v>0.0</v>
      </c>
      <c r="D95" s="16">
        <f t="shared" si="3"/>
        <v>0</v>
      </c>
      <c r="E95" s="17">
        <f>D95/B1</f>
        <v>0</v>
      </c>
      <c r="F95" s="16">
        <f t="shared" si="4"/>
        <v>0.45</v>
      </c>
      <c r="G95" s="17">
        <f>F95/B2</f>
        <v>0.045</v>
      </c>
      <c r="H95" s="15">
        <f t="shared" si="5"/>
        <v>0.48</v>
      </c>
      <c r="I95" s="14">
        <f>H95/B3</f>
        <v>0.032</v>
      </c>
      <c r="J95" s="2">
        <v>0.0</v>
      </c>
      <c r="K95" s="2">
        <v>0.0</v>
      </c>
      <c r="L95" s="2">
        <v>0.0</v>
      </c>
    </row>
    <row r="96">
      <c r="A96" s="12">
        <v>45865.0</v>
      </c>
      <c r="B96" s="6" t="s">
        <v>61</v>
      </c>
      <c r="C96" s="2">
        <v>0.0</v>
      </c>
      <c r="D96" s="16">
        <f t="shared" si="3"/>
        <v>0</v>
      </c>
      <c r="E96" s="17">
        <f>D96/B1</f>
        <v>0</v>
      </c>
      <c r="F96" s="16">
        <f t="shared" si="4"/>
        <v>0.45</v>
      </c>
      <c r="G96" s="17">
        <f>F96/B2</f>
        <v>0.045</v>
      </c>
      <c r="H96" s="15">
        <f t="shared" si="5"/>
        <v>0.48</v>
      </c>
      <c r="I96" s="14">
        <f>H96/B3</f>
        <v>0.032</v>
      </c>
      <c r="J96" s="2">
        <v>0.0</v>
      </c>
      <c r="K96" s="2">
        <v>0.0</v>
      </c>
      <c r="L96" s="2">
        <v>0.0</v>
      </c>
    </row>
    <row r="97">
      <c r="A97" s="12">
        <v>45865.0</v>
      </c>
      <c r="B97" s="6" t="s">
        <v>62</v>
      </c>
      <c r="C97" s="2">
        <v>0.45</v>
      </c>
      <c r="D97" s="16">
        <f t="shared" si="3"/>
        <v>0</v>
      </c>
      <c r="E97" s="17">
        <f>D97/B1</f>
        <v>0</v>
      </c>
      <c r="F97" s="16">
        <f t="shared" si="4"/>
        <v>0</v>
      </c>
      <c r="G97" s="17">
        <f>F97/B2</f>
        <v>0</v>
      </c>
      <c r="H97" s="15">
        <f t="shared" si="5"/>
        <v>0.48</v>
      </c>
      <c r="I97" s="14">
        <f>H97/B3</f>
        <v>0.032</v>
      </c>
      <c r="J97" s="2">
        <v>0.0</v>
      </c>
      <c r="K97" s="2">
        <v>0.0</v>
      </c>
      <c r="L97" s="2">
        <v>0.0</v>
      </c>
    </row>
    <row r="98">
      <c r="A98" s="12">
        <v>45865.0</v>
      </c>
      <c r="B98" s="6" t="s">
        <v>63</v>
      </c>
      <c r="C98" s="2">
        <v>0.48</v>
      </c>
      <c r="D98" s="16">
        <f t="shared" si="3"/>
        <v>0</v>
      </c>
      <c r="E98" s="17">
        <f>D98/B1</f>
        <v>0</v>
      </c>
      <c r="F98" s="16">
        <f t="shared" si="4"/>
        <v>0</v>
      </c>
      <c r="G98" s="17">
        <f>F98/B2</f>
        <v>0</v>
      </c>
      <c r="H98" s="15">
        <f t="shared" si="5"/>
        <v>0</v>
      </c>
      <c r="I98" s="14">
        <f>H98/B3</f>
        <v>0</v>
      </c>
      <c r="J98" s="2">
        <v>0.0</v>
      </c>
      <c r="K98" s="2">
        <v>0.0</v>
      </c>
      <c r="L98" s="2">
        <v>0.0</v>
      </c>
    </row>
  </sheetData>
  <dataValidations>
    <dataValidation type="list" allowBlank="1" showErrorMessage="1" sqref="B6:B98">
      <formula1>"WW,FLA,MAC1+"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60.13"/>
    <col customWidth="1" min="2" max="2" width="22.63"/>
    <col customWidth="1" min="3" max="3" width="10.25"/>
    <col customWidth="1" min="4" max="4" width="17.0"/>
    <col customWidth="1" min="5" max="5" width="15.0"/>
    <col customWidth="1" min="6" max="6" width="17.0"/>
    <col customWidth="1" min="7" max="7" width="16.13"/>
    <col customWidth="1" min="8" max="9" width="16.38"/>
    <col customWidth="1" min="10" max="10" width="12.63"/>
    <col customWidth="1" min="11" max="11" width="14.88"/>
    <col customWidth="1" min="12" max="12" width="13.0"/>
  </cols>
  <sheetData>
    <row r="1">
      <c r="A1" s="1" t="s">
        <v>87</v>
      </c>
      <c r="B1" s="2">
        <v>10.0</v>
      </c>
      <c r="C1" s="2">
        <f>D98</f>
        <v>0</v>
      </c>
      <c r="D1" s="5">
        <f t="shared" ref="D1:D4" si="1">C1/B1</f>
        <v>0</v>
      </c>
      <c r="G1" s="1" t="s">
        <v>1</v>
      </c>
      <c r="H1" s="3">
        <f>IFERROR(__xludf.DUMMYFUNCTION("COUNTUNIQUE(A6:A95)"),30.0)</f>
        <v>30</v>
      </c>
      <c r="I1" s="3"/>
      <c r="J1" s="6"/>
      <c r="K1" s="3"/>
      <c r="L1" s="3"/>
      <c r="M1" s="7"/>
      <c r="N1" s="7"/>
    </row>
    <row r="2">
      <c r="A2" s="1" t="s">
        <v>88</v>
      </c>
      <c r="B2" s="2">
        <v>15.0</v>
      </c>
      <c r="C2" s="4">
        <f>F98</f>
        <v>0</v>
      </c>
      <c r="D2" s="5">
        <f t="shared" si="1"/>
        <v>0</v>
      </c>
      <c r="G2" s="1" t="s">
        <v>5</v>
      </c>
      <c r="H2" s="3">
        <f>(B1+B2+B3)/F4</f>
        <v>30</v>
      </c>
      <c r="I2" s="3"/>
      <c r="J2" s="3"/>
      <c r="K2" s="3"/>
      <c r="L2" s="3"/>
      <c r="M2" s="7"/>
      <c r="N2" s="7"/>
    </row>
    <row r="3">
      <c r="A3" s="1" t="s">
        <v>55</v>
      </c>
      <c r="B3" s="2">
        <v>15.0</v>
      </c>
      <c r="C3" s="4">
        <f>H98</f>
        <v>0</v>
      </c>
      <c r="D3" s="8">
        <f t="shared" si="1"/>
        <v>0</v>
      </c>
      <c r="E3" s="3"/>
      <c r="F3" s="6"/>
      <c r="G3" s="3"/>
      <c r="H3" s="3"/>
      <c r="I3" s="3"/>
      <c r="J3" s="3"/>
      <c r="K3" s="3"/>
      <c r="L3" s="3"/>
      <c r="M3" s="7"/>
      <c r="N3" s="7"/>
    </row>
    <row r="4">
      <c r="A4" s="3"/>
      <c r="B4" s="9">
        <f t="shared" ref="B4:C4" si="2">SUM(B1:B3)</f>
        <v>40</v>
      </c>
      <c r="C4" s="9">
        <f t="shared" si="2"/>
        <v>0</v>
      </c>
      <c r="D4" s="5">
        <f t="shared" si="1"/>
        <v>0</v>
      </c>
      <c r="E4" s="1" t="s">
        <v>7</v>
      </c>
      <c r="F4" s="3">
        <f>SUM(C6:C95)/H1</f>
        <v>1.333333333</v>
      </c>
      <c r="G4" s="3"/>
      <c r="H4" s="3"/>
      <c r="I4" s="3"/>
      <c r="J4" s="3"/>
      <c r="K4" s="3"/>
      <c r="L4" s="3"/>
      <c r="M4" s="7"/>
      <c r="N4" s="7"/>
    </row>
    <row r="5">
      <c r="A5" s="10" t="s">
        <v>8</v>
      </c>
      <c r="B5" s="10" t="s">
        <v>9</v>
      </c>
      <c r="C5" s="10" t="s">
        <v>10</v>
      </c>
      <c r="D5" s="10" t="s">
        <v>89</v>
      </c>
      <c r="E5" s="10" t="s">
        <v>89</v>
      </c>
      <c r="F5" s="10" t="s">
        <v>90</v>
      </c>
      <c r="G5" s="10" t="s">
        <v>90</v>
      </c>
      <c r="H5" s="10" t="s">
        <v>78</v>
      </c>
      <c r="I5" s="10" t="s">
        <v>78</v>
      </c>
      <c r="J5" s="10" t="s">
        <v>91</v>
      </c>
      <c r="K5" s="10" t="s">
        <v>92</v>
      </c>
      <c r="L5" s="10" t="s">
        <v>80</v>
      </c>
      <c r="M5" s="7"/>
      <c r="N5" s="7"/>
    </row>
    <row r="6">
      <c r="A6" s="12">
        <v>45868.0</v>
      </c>
      <c r="B6" s="6" t="s">
        <v>61</v>
      </c>
      <c r="C6" s="2">
        <v>0.0</v>
      </c>
      <c r="D6" s="4">
        <f>IF(B6="WW",B1-C6,B1)</f>
        <v>10</v>
      </c>
      <c r="E6" s="13">
        <f>D6/B1</f>
        <v>1</v>
      </c>
      <c r="F6" s="2">
        <f>IF(B6="FLA",B2-C6,B2)</f>
        <v>15</v>
      </c>
      <c r="G6" s="14">
        <f>F6/B2</f>
        <v>1</v>
      </c>
      <c r="H6" s="15">
        <f>IF(B6="MAC1+",B3-C6,B3)</f>
        <v>15</v>
      </c>
      <c r="I6" s="14">
        <f>H6/B3</f>
        <v>1</v>
      </c>
      <c r="J6" s="2">
        <v>0.0</v>
      </c>
      <c r="K6" s="2">
        <v>0.0</v>
      </c>
      <c r="L6" s="2">
        <v>0.0</v>
      </c>
      <c r="M6" s="7"/>
      <c r="N6" s="7"/>
    </row>
    <row r="7">
      <c r="A7" s="12">
        <v>45868.0</v>
      </c>
      <c r="B7" s="6" t="s">
        <v>62</v>
      </c>
      <c r="C7" s="2">
        <v>0.82</v>
      </c>
      <c r="D7" s="16">
        <f t="shared" ref="D7:D98" si="3">IF(B7="WW",D6-C7,D6)</f>
        <v>10</v>
      </c>
      <c r="E7" s="17">
        <f>D7/B1</f>
        <v>1</v>
      </c>
      <c r="F7" s="16">
        <f t="shared" ref="F7:F98" si="4">IF(B7="FLA",F6-C7,F6)</f>
        <v>14.18</v>
      </c>
      <c r="G7" s="17">
        <f>F7/B2</f>
        <v>0.9453333333</v>
      </c>
      <c r="H7" s="15">
        <f t="shared" ref="H7:H98" si="5">IF(B7="MAC1+",H6-C7,H6)</f>
        <v>15</v>
      </c>
      <c r="I7" s="14">
        <f>H7/B3</f>
        <v>1</v>
      </c>
      <c r="J7" s="2">
        <v>0.0</v>
      </c>
      <c r="K7" s="2">
        <v>0.0</v>
      </c>
      <c r="L7" s="2">
        <v>0.0</v>
      </c>
      <c r="M7" s="7"/>
      <c r="N7" s="7"/>
    </row>
    <row r="8">
      <c r="A8" s="12">
        <v>45868.0</v>
      </c>
      <c r="B8" s="6" t="s">
        <v>63</v>
      </c>
      <c r="C8" s="2">
        <v>0.7</v>
      </c>
      <c r="D8" s="16">
        <f t="shared" si="3"/>
        <v>10</v>
      </c>
      <c r="E8" s="17">
        <f>D8/B1</f>
        <v>1</v>
      </c>
      <c r="F8" s="16">
        <f t="shared" si="4"/>
        <v>14.18</v>
      </c>
      <c r="G8" s="17">
        <f>F8/B2</f>
        <v>0.9453333333</v>
      </c>
      <c r="H8" s="15">
        <f t="shared" si="5"/>
        <v>14.3</v>
      </c>
      <c r="I8" s="14">
        <f>H8/B3</f>
        <v>0.9533333333</v>
      </c>
      <c r="J8" s="2">
        <v>0.0</v>
      </c>
      <c r="K8" s="2">
        <v>0.0</v>
      </c>
      <c r="L8" s="2">
        <v>0.0</v>
      </c>
      <c r="M8" s="7"/>
      <c r="N8" s="7"/>
    </row>
    <row r="9">
      <c r="A9" s="12">
        <v>45869.0</v>
      </c>
      <c r="B9" s="6" t="s">
        <v>61</v>
      </c>
      <c r="C9" s="2">
        <v>0.6</v>
      </c>
      <c r="D9" s="16">
        <f t="shared" si="3"/>
        <v>9.4</v>
      </c>
      <c r="E9" s="17">
        <f>D9/B1</f>
        <v>0.94</v>
      </c>
      <c r="F9" s="16">
        <f t="shared" si="4"/>
        <v>14.18</v>
      </c>
      <c r="G9" s="17">
        <f>F9/B2</f>
        <v>0.9453333333</v>
      </c>
      <c r="H9" s="15">
        <f t="shared" si="5"/>
        <v>14.3</v>
      </c>
      <c r="I9" s="14">
        <f>H9/B3</f>
        <v>0.9533333333</v>
      </c>
      <c r="J9" s="2">
        <v>0.0</v>
      </c>
      <c r="K9" s="2">
        <v>0.0</v>
      </c>
      <c r="L9" s="2">
        <v>0.0</v>
      </c>
      <c r="M9" s="7"/>
      <c r="N9" s="7"/>
    </row>
    <row r="10">
      <c r="A10" s="12">
        <v>45869.0</v>
      </c>
      <c r="B10" s="6" t="s">
        <v>62</v>
      </c>
      <c r="C10" s="2">
        <v>0.72</v>
      </c>
      <c r="D10" s="16">
        <f t="shared" si="3"/>
        <v>9.4</v>
      </c>
      <c r="E10" s="17">
        <f>D10/B1</f>
        <v>0.94</v>
      </c>
      <c r="F10" s="16">
        <f t="shared" si="4"/>
        <v>13.46</v>
      </c>
      <c r="G10" s="17">
        <f>F10/B2</f>
        <v>0.8973333333</v>
      </c>
      <c r="H10" s="15">
        <f t="shared" si="5"/>
        <v>14.3</v>
      </c>
      <c r="I10" s="14">
        <f>H10/B3</f>
        <v>0.9533333333</v>
      </c>
      <c r="J10" s="2">
        <v>0.0</v>
      </c>
      <c r="K10" s="2">
        <v>0.0</v>
      </c>
      <c r="L10" s="2">
        <v>0.0</v>
      </c>
      <c r="M10" s="7"/>
      <c r="N10" s="7"/>
    </row>
    <row r="11">
      <c r="A11" s="12">
        <v>45869.0</v>
      </c>
      <c r="B11" s="6" t="s">
        <v>63</v>
      </c>
      <c r="C11" s="2">
        <v>0.0</v>
      </c>
      <c r="D11" s="16">
        <f t="shared" si="3"/>
        <v>9.4</v>
      </c>
      <c r="E11" s="17">
        <f>D11/B1</f>
        <v>0.94</v>
      </c>
      <c r="F11" s="16">
        <f t="shared" si="4"/>
        <v>13.46</v>
      </c>
      <c r="G11" s="17">
        <f>F11/B2</f>
        <v>0.8973333333</v>
      </c>
      <c r="H11" s="15">
        <f t="shared" si="5"/>
        <v>14.3</v>
      </c>
      <c r="I11" s="14">
        <f>H11/B3</f>
        <v>0.9533333333</v>
      </c>
      <c r="J11" s="2">
        <v>0.0</v>
      </c>
      <c r="K11" s="2">
        <v>0.0</v>
      </c>
      <c r="L11" s="2">
        <v>0.0</v>
      </c>
      <c r="M11" s="7"/>
      <c r="N11" s="7"/>
    </row>
    <row r="12">
      <c r="A12" s="12">
        <v>45870.0</v>
      </c>
      <c r="B12" s="6" t="s">
        <v>61</v>
      </c>
      <c r="C12" s="2">
        <v>0.8</v>
      </c>
      <c r="D12" s="16">
        <f t="shared" si="3"/>
        <v>8.6</v>
      </c>
      <c r="E12" s="17">
        <f>D12/B1</f>
        <v>0.86</v>
      </c>
      <c r="F12" s="16">
        <f t="shared" si="4"/>
        <v>13.46</v>
      </c>
      <c r="G12" s="17">
        <f>F12/B2</f>
        <v>0.8973333333</v>
      </c>
      <c r="H12" s="15">
        <f t="shared" si="5"/>
        <v>14.3</v>
      </c>
      <c r="I12" s="14">
        <f>H12/B3</f>
        <v>0.9533333333</v>
      </c>
      <c r="J12" s="2">
        <v>0.0</v>
      </c>
      <c r="K12" s="2">
        <v>0.0</v>
      </c>
      <c r="L12" s="2">
        <v>0.0</v>
      </c>
      <c r="M12" s="7"/>
      <c r="N12" s="7"/>
    </row>
    <row r="13">
      <c r="A13" s="12">
        <v>45870.0</v>
      </c>
      <c r="B13" s="6" t="s">
        <v>62</v>
      </c>
      <c r="C13" s="2">
        <v>0.0</v>
      </c>
      <c r="D13" s="16">
        <f t="shared" si="3"/>
        <v>8.6</v>
      </c>
      <c r="E13" s="17">
        <f>D13/B1</f>
        <v>0.86</v>
      </c>
      <c r="F13" s="16">
        <f t="shared" si="4"/>
        <v>13.46</v>
      </c>
      <c r="G13" s="17">
        <f>F13/B2</f>
        <v>0.8973333333</v>
      </c>
      <c r="H13" s="15">
        <f t="shared" si="5"/>
        <v>14.3</v>
      </c>
      <c r="I13" s="14">
        <f>H13/B3</f>
        <v>0.9533333333</v>
      </c>
      <c r="J13" s="2">
        <v>0.0</v>
      </c>
      <c r="K13" s="2">
        <v>0.0</v>
      </c>
      <c r="L13" s="2">
        <v>0.0</v>
      </c>
      <c r="M13" s="7"/>
      <c r="N13" s="7"/>
    </row>
    <row r="14">
      <c r="A14" s="12">
        <v>45870.0</v>
      </c>
      <c r="B14" s="6" t="s">
        <v>63</v>
      </c>
      <c r="C14" s="2">
        <v>0.87</v>
      </c>
      <c r="D14" s="16">
        <f t="shared" si="3"/>
        <v>8.6</v>
      </c>
      <c r="E14" s="17">
        <f>D14/B1</f>
        <v>0.86</v>
      </c>
      <c r="F14" s="16">
        <f t="shared" si="4"/>
        <v>13.46</v>
      </c>
      <c r="G14" s="17">
        <f>F14/B2</f>
        <v>0.8973333333</v>
      </c>
      <c r="H14" s="15">
        <f t="shared" si="5"/>
        <v>13.43</v>
      </c>
      <c r="I14" s="14">
        <f>H14/B3</f>
        <v>0.8953333333</v>
      </c>
      <c r="J14" s="2">
        <v>0.0</v>
      </c>
      <c r="K14" s="2">
        <v>0.0</v>
      </c>
      <c r="L14" s="2">
        <v>0.0</v>
      </c>
      <c r="M14" s="7"/>
      <c r="N14" s="7"/>
    </row>
    <row r="15">
      <c r="A15" s="12">
        <v>45871.0</v>
      </c>
      <c r="B15" s="6" t="s">
        <v>61</v>
      </c>
      <c r="C15" s="2">
        <v>0.0</v>
      </c>
      <c r="D15" s="16">
        <f t="shared" si="3"/>
        <v>8.6</v>
      </c>
      <c r="E15" s="17">
        <f>D15/B1</f>
        <v>0.86</v>
      </c>
      <c r="F15" s="16">
        <f t="shared" si="4"/>
        <v>13.46</v>
      </c>
      <c r="G15" s="17">
        <f>F15/B2</f>
        <v>0.8973333333</v>
      </c>
      <c r="H15" s="15">
        <f t="shared" si="5"/>
        <v>13.43</v>
      </c>
      <c r="I15" s="14">
        <f>H15/B3</f>
        <v>0.8953333333</v>
      </c>
      <c r="J15" s="2">
        <v>0.0</v>
      </c>
      <c r="K15" s="2">
        <v>0.0</v>
      </c>
      <c r="L15" s="2">
        <v>0.0</v>
      </c>
      <c r="M15" s="7"/>
      <c r="N15" s="7"/>
    </row>
    <row r="16">
      <c r="A16" s="12">
        <v>45871.0</v>
      </c>
      <c r="B16" s="6" t="s">
        <v>62</v>
      </c>
      <c r="C16" s="2">
        <v>0.92</v>
      </c>
      <c r="D16" s="16">
        <f t="shared" si="3"/>
        <v>8.6</v>
      </c>
      <c r="E16" s="17">
        <f>D16/B1</f>
        <v>0.86</v>
      </c>
      <c r="F16" s="16">
        <f t="shared" si="4"/>
        <v>12.54</v>
      </c>
      <c r="G16" s="17">
        <f>F16/B2</f>
        <v>0.836</v>
      </c>
      <c r="H16" s="15">
        <f t="shared" si="5"/>
        <v>13.43</v>
      </c>
      <c r="I16" s="14">
        <f>H16/B3</f>
        <v>0.8953333333</v>
      </c>
      <c r="J16" s="2">
        <v>0.0</v>
      </c>
      <c r="K16" s="2">
        <v>0.0</v>
      </c>
      <c r="L16" s="2">
        <v>0.0</v>
      </c>
      <c r="M16" s="7"/>
      <c r="N16" s="7"/>
    </row>
    <row r="17">
      <c r="A17" s="12">
        <v>45871.0</v>
      </c>
      <c r="B17" s="6" t="s">
        <v>63</v>
      </c>
      <c r="C17" s="2">
        <v>0.9</v>
      </c>
      <c r="D17" s="16">
        <f t="shared" si="3"/>
        <v>8.6</v>
      </c>
      <c r="E17" s="17">
        <f>D17/B1</f>
        <v>0.86</v>
      </c>
      <c r="F17" s="16">
        <f t="shared" si="4"/>
        <v>12.54</v>
      </c>
      <c r="G17" s="17">
        <f>F17/B2</f>
        <v>0.836</v>
      </c>
      <c r="H17" s="15">
        <f t="shared" si="5"/>
        <v>12.53</v>
      </c>
      <c r="I17" s="14">
        <f>H17/B3</f>
        <v>0.8353333333</v>
      </c>
      <c r="J17" s="2">
        <v>0.0</v>
      </c>
      <c r="K17" s="2">
        <v>0.0</v>
      </c>
      <c r="L17" s="2">
        <v>0.0</v>
      </c>
      <c r="M17" s="7"/>
      <c r="N17" s="7"/>
    </row>
    <row r="18">
      <c r="A18" s="12">
        <v>45872.0</v>
      </c>
      <c r="B18" s="6" t="s">
        <v>61</v>
      </c>
      <c r="C18" s="2">
        <v>0.76</v>
      </c>
      <c r="D18" s="16">
        <f t="shared" si="3"/>
        <v>7.84</v>
      </c>
      <c r="E18" s="17">
        <f>D18/B1</f>
        <v>0.784</v>
      </c>
      <c r="F18" s="16">
        <f t="shared" si="4"/>
        <v>12.54</v>
      </c>
      <c r="G18" s="17">
        <f>F18/B2</f>
        <v>0.836</v>
      </c>
      <c r="H18" s="15">
        <f t="shared" si="5"/>
        <v>12.53</v>
      </c>
      <c r="I18" s="14">
        <f>H18/B3</f>
        <v>0.8353333333</v>
      </c>
      <c r="J18" s="2">
        <v>0.0</v>
      </c>
      <c r="K18" s="2">
        <v>0.0</v>
      </c>
      <c r="L18" s="2">
        <v>0.0</v>
      </c>
      <c r="M18" s="7"/>
      <c r="N18" s="7"/>
    </row>
    <row r="19">
      <c r="A19" s="12">
        <v>45872.0</v>
      </c>
      <c r="B19" s="6" t="s">
        <v>62</v>
      </c>
      <c r="C19" s="2">
        <v>0.89</v>
      </c>
      <c r="D19" s="16">
        <f t="shared" si="3"/>
        <v>7.84</v>
      </c>
      <c r="E19" s="17">
        <f>D19/B1</f>
        <v>0.784</v>
      </c>
      <c r="F19" s="16">
        <f t="shared" si="4"/>
        <v>11.65</v>
      </c>
      <c r="G19" s="17">
        <f>F19/B2</f>
        <v>0.7766666667</v>
      </c>
      <c r="H19" s="15">
        <f t="shared" si="5"/>
        <v>12.53</v>
      </c>
      <c r="I19" s="14">
        <f>H19/B3</f>
        <v>0.8353333333</v>
      </c>
      <c r="J19" s="2">
        <v>0.0</v>
      </c>
      <c r="K19" s="2">
        <v>0.0</v>
      </c>
      <c r="L19" s="2">
        <v>0.0</v>
      </c>
      <c r="M19" s="7"/>
      <c r="N19" s="7"/>
    </row>
    <row r="20">
      <c r="A20" s="12">
        <v>45872.0</v>
      </c>
      <c r="B20" s="6" t="s">
        <v>63</v>
      </c>
      <c r="C20" s="2">
        <v>0.0</v>
      </c>
      <c r="D20" s="16">
        <f t="shared" si="3"/>
        <v>7.84</v>
      </c>
      <c r="E20" s="17">
        <f>D20/B1</f>
        <v>0.784</v>
      </c>
      <c r="F20" s="16">
        <f t="shared" si="4"/>
        <v>11.65</v>
      </c>
      <c r="G20" s="17">
        <f>F20/B2</f>
        <v>0.7766666667</v>
      </c>
      <c r="H20" s="15">
        <f t="shared" si="5"/>
        <v>12.53</v>
      </c>
      <c r="I20" s="14">
        <f>H20/B3</f>
        <v>0.8353333333</v>
      </c>
      <c r="J20" s="2">
        <v>0.0</v>
      </c>
      <c r="K20" s="2">
        <v>0.0</v>
      </c>
      <c r="L20" s="2">
        <v>0.0</v>
      </c>
      <c r="M20" s="7"/>
      <c r="N20" s="7"/>
    </row>
    <row r="21">
      <c r="A21" s="12">
        <v>45873.0</v>
      </c>
      <c r="B21" s="6" t="s">
        <v>61</v>
      </c>
      <c r="C21" s="2">
        <v>0.0</v>
      </c>
      <c r="D21" s="16">
        <f t="shared" si="3"/>
        <v>7.84</v>
      </c>
      <c r="E21" s="17">
        <f>D21/B1</f>
        <v>0.784</v>
      </c>
      <c r="F21" s="16">
        <f t="shared" si="4"/>
        <v>11.65</v>
      </c>
      <c r="G21" s="17">
        <f>F21/B2</f>
        <v>0.7766666667</v>
      </c>
      <c r="H21" s="15">
        <f t="shared" si="5"/>
        <v>12.53</v>
      </c>
      <c r="I21" s="14">
        <f>H21/B3</f>
        <v>0.8353333333</v>
      </c>
      <c r="J21" s="2">
        <v>0.0</v>
      </c>
      <c r="K21" s="2">
        <v>0.0</v>
      </c>
      <c r="L21" s="2">
        <v>0.0</v>
      </c>
      <c r="M21" s="7"/>
      <c r="N21" s="7"/>
    </row>
    <row r="22">
      <c r="A22" s="12">
        <v>45873.0</v>
      </c>
      <c r="B22" s="6" t="s">
        <v>62</v>
      </c>
      <c r="C22" s="2">
        <v>0.78</v>
      </c>
      <c r="D22" s="16">
        <f t="shared" si="3"/>
        <v>7.84</v>
      </c>
      <c r="E22" s="17">
        <f>D22/B1</f>
        <v>0.784</v>
      </c>
      <c r="F22" s="16">
        <f t="shared" si="4"/>
        <v>10.87</v>
      </c>
      <c r="G22" s="17">
        <f>F22/B2</f>
        <v>0.7246666667</v>
      </c>
      <c r="H22" s="15">
        <f t="shared" si="5"/>
        <v>12.53</v>
      </c>
      <c r="I22" s="14">
        <f>H22/B3</f>
        <v>0.8353333333</v>
      </c>
      <c r="J22" s="2">
        <v>0.0</v>
      </c>
      <c r="K22" s="2">
        <v>0.0</v>
      </c>
      <c r="L22" s="2">
        <v>0.0</v>
      </c>
      <c r="M22" s="7"/>
      <c r="N22" s="7"/>
    </row>
    <row r="23">
      <c r="A23" s="12">
        <v>45873.0</v>
      </c>
      <c r="B23" s="6" t="s">
        <v>63</v>
      </c>
      <c r="C23" s="2">
        <v>0.8</v>
      </c>
      <c r="D23" s="16">
        <f t="shared" si="3"/>
        <v>7.84</v>
      </c>
      <c r="E23" s="17">
        <f>D23/B1</f>
        <v>0.784</v>
      </c>
      <c r="F23" s="16">
        <f t="shared" si="4"/>
        <v>10.87</v>
      </c>
      <c r="G23" s="17">
        <f>F23/B2</f>
        <v>0.7246666667</v>
      </c>
      <c r="H23" s="15">
        <f t="shared" si="5"/>
        <v>11.73</v>
      </c>
      <c r="I23" s="14">
        <f>H23/B3</f>
        <v>0.782</v>
      </c>
      <c r="J23" s="2">
        <v>0.0</v>
      </c>
      <c r="K23" s="2">
        <v>0.0</v>
      </c>
      <c r="L23" s="2">
        <v>0.0</v>
      </c>
      <c r="M23" s="7"/>
      <c r="N23" s="7"/>
    </row>
    <row r="24">
      <c r="A24" s="12">
        <v>45874.0</v>
      </c>
      <c r="B24" s="6" t="s">
        <v>61</v>
      </c>
      <c r="C24" s="2">
        <v>0.83</v>
      </c>
      <c r="D24" s="16">
        <f t="shared" si="3"/>
        <v>7.01</v>
      </c>
      <c r="E24" s="17">
        <f>D24/B1</f>
        <v>0.701</v>
      </c>
      <c r="F24" s="16">
        <f t="shared" si="4"/>
        <v>10.87</v>
      </c>
      <c r="G24" s="17">
        <f>F24/B2</f>
        <v>0.7246666667</v>
      </c>
      <c r="H24" s="15">
        <f t="shared" si="5"/>
        <v>11.73</v>
      </c>
      <c r="I24" s="14">
        <f>H24/B3</f>
        <v>0.782</v>
      </c>
      <c r="J24" s="2">
        <v>0.0</v>
      </c>
      <c r="K24" s="2">
        <v>0.0</v>
      </c>
      <c r="L24" s="2">
        <v>0.0</v>
      </c>
      <c r="M24" s="7"/>
      <c r="N24" s="7"/>
    </row>
    <row r="25">
      <c r="A25" s="12">
        <v>45874.0</v>
      </c>
      <c r="B25" s="6" t="s">
        <v>62</v>
      </c>
      <c r="C25" s="2">
        <v>0.0</v>
      </c>
      <c r="D25" s="16">
        <f t="shared" si="3"/>
        <v>7.01</v>
      </c>
      <c r="E25" s="17">
        <f>D25/B1</f>
        <v>0.701</v>
      </c>
      <c r="F25" s="16">
        <f t="shared" si="4"/>
        <v>10.87</v>
      </c>
      <c r="G25" s="17">
        <f>F25/B2</f>
        <v>0.7246666667</v>
      </c>
      <c r="H25" s="15">
        <f t="shared" si="5"/>
        <v>11.73</v>
      </c>
      <c r="I25" s="14">
        <f>H25/B3</f>
        <v>0.782</v>
      </c>
      <c r="J25" s="2">
        <v>0.0</v>
      </c>
      <c r="K25" s="2">
        <v>0.0</v>
      </c>
      <c r="L25" s="2">
        <v>0.0</v>
      </c>
      <c r="M25" s="7"/>
      <c r="N25" s="7"/>
    </row>
    <row r="26">
      <c r="A26" s="12">
        <v>45874.0</v>
      </c>
      <c r="B26" s="6" t="s">
        <v>63</v>
      </c>
      <c r="C26" s="2">
        <v>0.81</v>
      </c>
      <c r="D26" s="16">
        <f t="shared" si="3"/>
        <v>7.01</v>
      </c>
      <c r="E26" s="17">
        <f>D26/B1</f>
        <v>0.701</v>
      </c>
      <c r="F26" s="16">
        <f t="shared" si="4"/>
        <v>10.87</v>
      </c>
      <c r="G26" s="17">
        <f>F26/B2</f>
        <v>0.7246666667</v>
      </c>
      <c r="H26" s="15">
        <f t="shared" si="5"/>
        <v>10.92</v>
      </c>
      <c r="I26" s="14">
        <f>H26/B3</f>
        <v>0.728</v>
      </c>
      <c r="J26" s="2">
        <v>0.0</v>
      </c>
      <c r="K26" s="2">
        <v>0.0</v>
      </c>
      <c r="L26" s="2">
        <v>0.0</v>
      </c>
      <c r="M26" s="7"/>
      <c r="N26" s="7"/>
    </row>
    <row r="27">
      <c r="A27" s="12">
        <v>45875.0</v>
      </c>
      <c r="B27" s="6" t="s">
        <v>61</v>
      </c>
      <c r="C27" s="2">
        <v>0.0</v>
      </c>
      <c r="D27" s="16">
        <f t="shared" si="3"/>
        <v>7.01</v>
      </c>
      <c r="E27" s="17">
        <f>D27/B1</f>
        <v>0.701</v>
      </c>
      <c r="F27" s="16">
        <f t="shared" si="4"/>
        <v>10.87</v>
      </c>
      <c r="G27" s="17">
        <f>F27/B2</f>
        <v>0.7246666667</v>
      </c>
      <c r="H27" s="15">
        <f t="shared" si="5"/>
        <v>10.92</v>
      </c>
      <c r="I27" s="14">
        <f>H27/B3</f>
        <v>0.728</v>
      </c>
      <c r="J27" s="2">
        <v>0.0</v>
      </c>
      <c r="K27" s="2">
        <v>0.0</v>
      </c>
      <c r="L27" s="2">
        <v>0.0</v>
      </c>
      <c r="M27" s="7"/>
      <c r="N27" s="7"/>
    </row>
    <row r="28">
      <c r="A28" s="12">
        <v>45875.0</v>
      </c>
      <c r="B28" s="6" t="s">
        <v>62</v>
      </c>
      <c r="C28" s="2">
        <v>0.87</v>
      </c>
      <c r="D28" s="16">
        <f t="shared" si="3"/>
        <v>7.01</v>
      </c>
      <c r="E28" s="17">
        <f>D28/B1</f>
        <v>0.701</v>
      </c>
      <c r="F28" s="16">
        <f t="shared" si="4"/>
        <v>10</v>
      </c>
      <c r="G28" s="17">
        <f>F28/B2</f>
        <v>0.6666666667</v>
      </c>
      <c r="H28" s="15">
        <f t="shared" si="5"/>
        <v>10.92</v>
      </c>
      <c r="I28" s="14">
        <f>H28/B3</f>
        <v>0.728</v>
      </c>
      <c r="J28" s="2">
        <v>0.0</v>
      </c>
      <c r="K28" s="2">
        <v>0.0</v>
      </c>
      <c r="L28" s="2">
        <v>0.0</v>
      </c>
      <c r="M28" s="7"/>
      <c r="N28" s="7"/>
    </row>
    <row r="29">
      <c r="A29" s="12">
        <v>45875.0</v>
      </c>
      <c r="B29" s="6" t="s">
        <v>63</v>
      </c>
      <c r="C29" s="2">
        <v>0.88</v>
      </c>
      <c r="D29" s="16">
        <f t="shared" si="3"/>
        <v>7.01</v>
      </c>
      <c r="E29" s="17">
        <f>D29/B1</f>
        <v>0.701</v>
      </c>
      <c r="F29" s="16">
        <f t="shared" si="4"/>
        <v>10</v>
      </c>
      <c r="G29" s="17">
        <f>F29/B2</f>
        <v>0.6666666667</v>
      </c>
      <c r="H29" s="15">
        <f t="shared" si="5"/>
        <v>10.04</v>
      </c>
      <c r="I29" s="14">
        <f>H29/B3</f>
        <v>0.6693333333</v>
      </c>
      <c r="J29" s="2">
        <v>0.0</v>
      </c>
      <c r="K29" s="2">
        <v>0.0</v>
      </c>
      <c r="L29" s="2">
        <v>0.0</v>
      </c>
      <c r="M29" s="7"/>
      <c r="N29" s="7"/>
    </row>
    <row r="30">
      <c r="A30" s="12">
        <v>45876.0</v>
      </c>
      <c r="B30" s="6" t="s">
        <v>61</v>
      </c>
      <c r="C30" s="2">
        <v>0.86</v>
      </c>
      <c r="D30" s="16">
        <f t="shared" si="3"/>
        <v>6.15</v>
      </c>
      <c r="E30" s="17">
        <f>D30/B1</f>
        <v>0.615</v>
      </c>
      <c r="F30" s="16">
        <f t="shared" si="4"/>
        <v>10</v>
      </c>
      <c r="G30" s="17">
        <f>F30/B2</f>
        <v>0.6666666667</v>
      </c>
      <c r="H30" s="15">
        <f t="shared" si="5"/>
        <v>10.04</v>
      </c>
      <c r="I30" s="14">
        <f>H30/B3</f>
        <v>0.6693333333</v>
      </c>
      <c r="J30" s="2">
        <v>0.0</v>
      </c>
      <c r="K30" s="2">
        <v>0.0</v>
      </c>
      <c r="L30" s="2">
        <v>0.0</v>
      </c>
      <c r="M30" s="7"/>
      <c r="N30" s="7"/>
    </row>
    <row r="31">
      <c r="A31" s="12">
        <v>45876.0</v>
      </c>
      <c r="B31" s="6" t="s">
        <v>62</v>
      </c>
      <c r="C31" s="2">
        <v>0.0</v>
      </c>
      <c r="D31" s="16">
        <f t="shared" si="3"/>
        <v>6.15</v>
      </c>
      <c r="E31" s="17">
        <f>D31/B1</f>
        <v>0.615</v>
      </c>
      <c r="F31" s="16">
        <f t="shared" si="4"/>
        <v>10</v>
      </c>
      <c r="G31" s="17">
        <f>F31/B2</f>
        <v>0.6666666667</v>
      </c>
      <c r="H31" s="15">
        <f t="shared" si="5"/>
        <v>10.04</v>
      </c>
      <c r="I31" s="14">
        <f>H31/B3</f>
        <v>0.6693333333</v>
      </c>
      <c r="J31" s="2">
        <v>0.0</v>
      </c>
      <c r="K31" s="2">
        <v>0.0</v>
      </c>
      <c r="L31" s="2">
        <v>0.0</v>
      </c>
      <c r="M31" s="7"/>
      <c r="N31" s="7"/>
    </row>
    <row r="32">
      <c r="A32" s="12">
        <v>45876.0</v>
      </c>
      <c r="B32" s="6" t="s">
        <v>63</v>
      </c>
      <c r="C32" s="2">
        <v>0.86</v>
      </c>
      <c r="D32" s="16">
        <f t="shared" si="3"/>
        <v>6.15</v>
      </c>
      <c r="E32" s="17">
        <f>D32/B1</f>
        <v>0.615</v>
      </c>
      <c r="F32" s="16">
        <f t="shared" si="4"/>
        <v>10</v>
      </c>
      <c r="G32" s="17">
        <f>F32/B2</f>
        <v>0.6666666667</v>
      </c>
      <c r="H32" s="15">
        <f t="shared" si="5"/>
        <v>9.18</v>
      </c>
      <c r="I32" s="14">
        <f>H32/B3</f>
        <v>0.612</v>
      </c>
      <c r="J32" s="2">
        <v>0.0</v>
      </c>
      <c r="K32" s="2">
        <v>0.0</v>
      </c>
      <c r="L32" s="2">
        <v>0.0</v>
      </c>
      <c r="M32" s="7"/>
      <c r="N32" s="7"/>
    </row>
    <row r="33">
      <c r="A33" s="12">
        <v>45877.0</v>
      </c>
      <c r="B33" s="6" t="s">
        <v>61</v>
      </c>
      <c r="C33" s="2">
        <v>0.0</v>
      </c>
      <c r="D33" s="16">
        <f t="shared" si="3"/>
        <v>6.15</v>
      </c>
      <c r="E33" s="17">
        <f>D33/B1</f>
        <v>0.615</v>
      </c>
      <c r="F33" s="16">
        <f t="shared" si="4"/>
        <v>10</v>
      </c>
      <c r="G33" s="17">
        <f>F33/B2</f>
        <v>0.6666666667</v>
      </c>
      <c r="H33" s="15">
        <f t="shared" si="5"/>
        <v>9.18</v>
      </c>
      <c r="I33" s="14">
        <f>H33/B3</f>
        <v>0.612</v>
      </c>
      <c r="J33" s="2">
        <v>0.0</v>
      </c>
      <c r="K33" s="2">
        <v>0.0</v>
      </c>
      <c r="L33" s="2">
        <v>0.0</v>
      </c>
      <c r="M33" s="7"/>
      <c r="N33" s="7"/>
    </row>
    <row r="34">
      <c r="A34" s="12">
        <v>45877.0</v>
      </c>
      <c r="B34" s="6" t="s">
        <v>62</v>
      </c>
      <c r="C34" s="2">
        <v>0.84</v>
      </c>
      <c r="D34" s="16">
        <f t="shared" si="3"/>
        <v>6.15</v>
      </c>
      <c r="E34" s="17">
        <f>D34/B1</f>
        <v>0.615</v>
      </c>
      <c r="F34" s="16">
        <f t="shared" si="4"/>
        <v>9.16</v>
      </c>
      <c r="G34" s="17">
        <f>F34/B2</f>
        <v>0.6106666667</v>
      </c>
      <c r="H34" s="15">
        <f t="shared" si="5"/>
        <v>9.18</v>
      </c>
      <c r="I34" s="14">
        <f>H34/B3</f>
        <v>0.612</v>
      </c>
      <c r="J34" s="2">
        <v>0.0</v>
      </c>
      <c r="K34" s="2">
        <v>0.0</v>
      </c>
      <c r="L34" s="2">
        <v>0.0</v>
      </c>
      <c r="M34" s="7"/>
      <c r="N34" s="7"/>
    </row>
    <row r="35">
      <c r="A35" s="12">
        <v>45877.0</v>
      </c>
      <c r="B35" s="6" t="s">
        <v>63</v>
      </c>
      <c r="C35" s="2">
        <v>0.94</v>
      </c>
      <c r="D35" s="16">
        <f t="shared" si="3"/>
        <v>6.15</v>
      </c>
      <c r="E35" s="17">
        <f>D35/B1</f>
        <v>0.615</v>
      </c>
      <c r="F35" s="16">
        <f t="shared" si="4"/>
        <v>9.16</v>
      </c>
      <c r="G35" s="17">
        <f>F35/B2</f>
        <v>0.6106666667</v>
      </c>
      <c r="H35" s="15">
        <f t="shared" si="5"/>
        <v>8.24</v>
      </c>
      <c r="I35" s="14">
        <f>H35/B3</f>
        <v>0.5493333333</v>
      </c>
      <c r="J35" s="2">
        <v>0.0</v>
      </c>
      <c r="K35" s="2">
        <v>0.0</v>
      </c>
      <c r="L35" s="2">
        <v>0.0</v>
      </c>
      <c r="M35" s="7"/>
      <c r="N35" s="7"/>
    </row>
    <row r="36">
      <c r="A36" s="12">
        <v>45878.0</v>
      </c>
      <c r="B36" s="6" t="s">
        <v>61</v>
      </c>
      <c r="C36" s="2">
        <v>0.92</v>
      </c>
      <c r="D36" s="16">
        <f t="shared" si="3"/>
        <v>5.23</v>
      </c>
      <c r="E36" s="17">
        <f>D36/B1</f>
        <v>0.523</v>
      </c>
      <c r="F36" s="16">
        <f t="shared" si="4"/>
        <v>9.16</v>
      </c>
      <c r="G36" s="17">
        <f>F36/B2</f>
        <v>0.6106666667</v>
      </c>
      <c r="H36" s="15">
        <f t="shared" si="5"/>
        <v>8.24</v>
      </c>
      <c r="I36" s="14">
        <f>H36/B3</f>
        <v>0.5493333333</v>
      </c>
      <c r="J36" s="2">
        <v>0.0</v>
      </c>
      <c r="K36" s="2">
        <v>0.0</v>
      </c>
      <c r="L36" s="2">
        <v>0.0</v>
      </c>
      <c r="M36" s="7"/>
      <c r="N36" s="7"/>
    </row>
    <row r="37">
      <c r="A37" s="12">
        <v>45878.0</v>
      </c>
      <c r="B37" s="6" t="s">
        <v>62</v>
      </c>
      <c r="C37" s="2">
        <v>0.86</v>
      </c>
      <c r="D37" s="16">
        <f t="shared" si="3"/>
        <v>5.23</v>
      </c>
      <c r="E37" s="17">
        <f>D37/B1</f>
        <v>0.523</v>
      </c>
      <c r="F37" s="16">
        <f t="shared" si="4"/>
        <v>8.3</v>
      </c>
      <c r="G37" s="17">
        <f>F37/B2</f>
        <v>0.5533333333</v>
      </c>
      <c r="H37" s="15">
        <f t="shared" si="5"/>
        <v>8.24</v>
      </c>
      <c r="I37" s="14">
        <f>H37/B3</f>
        <v>0.5493333333</v>
      </c>
      <c r="J37" s="2">
        <v>0.0</v>
      </c>
      <c r="K37" s="2">
        <v>0.0</v>
      </c>
      <c r="L37" s="2">
        <v>0.0</v>
      </c>
      <c r="M37" s="7"/>
      <c r="N37" s="7"/>
    </row>
    <row r="38">
      <c r="A38" s="12">
        <v>45878.0</v>
      </c>
      <c r="B38" s="6" t="s">
        <v>63</v>
      </c>
      <c r="C38" s="2">
        <v>0.0</v>
      </c>
      <c r="D38" s="16">
        <f t="shared" si="3"/>
        <v>5.23</v>
      </c>
      <c r="E38" s="17">
        <f>D38/B1</f>
        <v>0.523</v>
      </c>
      <c r="F38" s="16">
        <f t="shared" si="4"/>
        <v>8.3</v>
      </c>
      <c r="G38" s="17">
        <f>F38/B2</f>
        <v>0.5533333333</v>
      </c>
      <c r="H38" s="15">
        <f t="shared" si="5"/>
        <v>8.24</v>
      </c>
      <c r="I38" s="14">
        <f>H38/B3</f>
        <v>0.5493333333</v>
      </c>
      <c r="J38" s="2">
        <v>0.0</v>
      </c>
      <c r="K38" s="2">
        <v>0.0</v>
      </c>
      <c r="L38" s="2">
        <v>0.0</v>
      </c>
      <c r="M38" s="7"/>
      <c r="N38" s="7"/>
    </row>
    <row r="39">
      <c r="A39" s="12">
        <v>45879.0</v>
      </c>
      <c r="B39" s="6" t="s">
        <v>61</v>
      </c>
      <c r="C39" s="2">
        <v>0.0</v>
      </c>
      <c r="D39" s="16">
        <f t="shared" si="3"/>
        <v>5.23</v>
      </c>
      <c r="E39" s="17">
        <f>D39/B1</f>
        <v>0.523</v>
      </c>
      <c r="F39" s="16">
        <f t="shared" si="4"/>
        <v>8.3</v>
      </c>
      <c r="G39" s="17">
        <f>F39/B2</f>
        <v>0.5533333333</v>
      </c>
      <c r="H39" s="15">
        <f t="shared" si="5"/>
        <v>8.24</v>
      </c>
      <c r="I39" s="14">
        <f>H39/B3</f>
        <v>0.5493333333</v>
      </c>
      <c r="J39" s="2">
        <v>0.0</v>
      </c>
      <c r="K39" s="2">
        <v>0.0</v>
      </c>
      <c r="L39" s="2">
        <v>0.0</v>
      </c>
      <c r="M39" s="7"/>
      <c r="N39" s="7"/>
    </row>
    <row r="40">
      <c r="A40" s="12">
        <v>45879.0</v>
      </c>
      <c r="B40" s="6" t="s">
        <v>62</v>
      </c>
      <c r="C40" s="2">
        <v>1.03</v>
      </c>
      <c r="D40" s="16">
        <f t="shared" si="3"/>
        <v>5.23</v>
      </c>
      <c r="E40" s="17">
        <f>D40/B1</f>
        <v>0.523</v>
      </c>
      <c r="F40" s="16">
        <f t="shared" si="4"/>
        <v>7.27</v>
      </c>
      <c r="G40" s="17">
        <f>F40/B2</f>
        <v>0.4846666667</v>
      </c>
      <c r="H40" s="15">
        <f t="shared" si="5"/>
        <v>8.24</v>
      </c>
      <c r="I40" s="14">
        <f>H40/B3</f>
        <v>0.5493333333</v>
      </c>
      <c r="J40" s="2">
        <v>0.0</v>
      </c>
      <c r="K40" s="2">
        <v>0.0</v>
      </c>
      <c r="L40" s="2">
        <v>0.0</v>
      </c>
      <c r="M40" s="7"/>
      <c r="N40" s="7"/>
    </row>
    <row r="41">
      <c r="A41" s="12">
        <v>45879.0</v>
      </c>
      <c r="B41" s="6" t="s">
        <v>63</v>
      </c>
      <c r="C41" s="2">
        <v>1.09</v>
      </c>
      <c r="D41" s="16">
        <f t="shared" si="3"/>
        <v>5.23</v>
      </c>
      <c r="E41" s="17">
        <f>D41/B1</f>
        <v>0.523</v>
      </c>
      <c r="F41" s="16">
        <f t="shared" si="4"/>
        <v>7.27</v>
      </c>
      <c r="G41" s="17">
        <f>F41/B2</f>
        <v>0.4846666667</v>
      </c>
      <c r="H41" s="15">
        <f t="shared" si="5"/>
        <v>7.15</v>
      </c>
      <c r="I41" s="14">
        <f>H41/B3</f>
        <v>0.4766666667</v>
      </c>
      <c r="J41" s="2">
        <v>0.0</v>
      </c>
      <c r="K41" s="2">
        <v>0.0</v>
      </c>
      <c r="L41" s="2">
        <v>0.0</v>
      </c>
      <c r="M41" s="7"/>
      <c r="N41" s="7"/>
    </row>
    <row r="42">
      <c r="A42" s="12">
        <v>45880.0</v>
      </c>
      <c r="B42" s="6" t="s">
        <v>61</v>
      </c>
      <c r="C42" s="2">
        <v>0.89</v>
      </c>
      <c r="D42" s="16">
        <f t="shared" si="3"/>
        <v>4.34</v>
      </c>
      <c r="E42" s="17">
        <f>D42/B1</f>
        <v>0.434</v>
      </c>
      <c r="F42" s="16">
        <f t="shared" si="4"/>
        <v>7.27</v>
      </c>
      <c r="G42" s="17">
        <f>F42/B2</f>
        <v>0.4846666667</v>
      </c>
      <c r="H42" s="15">
        <f t="shared" si="5"/>
        <v>7.15</v>
      </c>
      <c r="I42" s="14">
        <f>H42/B3</f>
        <v>0.4766666667</v>
      </c>
      <c r="J42" s="2">
        <v>0.0</v>
      </c>
      <c r="K42" s="2">
        <v>0.0</v>
      </c>
      <c r="L42" s="2">
        <v>0.0</v>
      </c>
      <c r="M42" s="7"/>
      <c r="N42" s="7"/>
    </row>
    <row r="43">
      <c r="A43" s="12">
        <v>45880.0</v>
      </c>
      <c r="B43" s="6" t="s">
        <v>62</v>
      </c>
      <c r="C43" s="2">
        <v>0.92</v>
      </c>
      <c r="D43" s="16">
        <f t="shared" si="3"/>
        <v>4.34</v>
      </c>
      <c r="E43" s="17">
        <f>D43/B1</f>
        <v>0.434</v>
      </c>
      <c r="F43" s="16">
        <f t="shared" si="4"/>
        <v>6.35</v>
      </c>
      <c r="G43" s="17">
        <f>F43/B2</f>
        <v>0.4233333333</v>
      </c>
      <c r="H43" s="15">
        <f t="shared" si="5"/>
        <v>7.15</v>
      </c>
      <c r="I43" s="14">
        <f>H43/B3</f>
        <v>0.4766666667</v>
      </c>
      <c r="J43" s="2">
        <v>0.0</v>
      </c>
      <c r="K43" s="2">
        <v>0.0</v>
      </c>
      <c r="L43" s="2">
        <v>0.0</v>
      </c>
      <c r="M43" s="7"/>
      <c r="N43" s="7"/>
    </row>
    <row r="44">
      <c r="A44" s="12">
        <v>45880.0</v>
      </c>
      <c r="B44" s="6" t="s">
        <v>63</v>
      </c>
      <c r="C44" s="2">
        <v>0.0</v>
      </c>
      <c r="D44" s="16">
        <f t="shared" si="3"/>
        <v>4.34</v>
      </c>
      <c r="E44" s="17">
        <f>D44/B1</f>
        <v>0.434</v>
      </c>
      <c r="F44" s="16">
        <f t="shared" si="4"/>
        <v>6.35</v>
      </c>
      <c r="G44" s="17">
        <f>F44/B2</f>
        <v>0.4233333333</v>
      </c>
      <c r="H44" s="15">
        <f t="shared" si="5"/>
        <v>7.15</v>
      </c>
      <c r="I44" s="14">
        <f>H44/B3</f>
        <v>0.4766666667</v>
      </c>
      <c r="J44" s="2">
        <v>0.0</v>
      </c>
      <c r="K44" s="2">
        <v>0.0</v>
      </c>
      <c r="L44" s="2">
        <v>0.0</v>
      </c>
      <c r="M44" s="7"/>
      <c r="N44" s="7"/>
    </row>
    <row r="45">
      <c r="A45" s="12">
        <v>45881.0</v>
      </c>
      <c r="B45" s="6" t="s">
        <v>61</v>
      </c>
      <c r="C45" s="2">
        <v>0.89</v>
      </c>
      <c r="D45" s="16">
        <f t="shared" si="3"/>
        <v>3.45</v>
      </c>
      <c r="E45" s="17">
        <f>D45/B1</f>
        <v>0.345</v>
      </c>
      <c r="F45" s="16">
        <f t="shared" si="4"/>
        <v>6.35</v>
      </c>
      <c r="G45" s="17">
        <f>F45/B2</f>
        <v>0.4233333333</v>
      </c>
      <c r="H45" s="15">
        <f t="shared" si="5"/>
        <v>7.15</v>
      </c>
      <c r="I45" s="14">
        <f>H45/B3</f>
        <v>0.4766666667</v>
      </c>
      <c r="J45" s="2">
        <v>0.0</v>
      </c>
      <c r="K45" s="2">
        <v>0.0</v>
      </c>
      <c r="L45" s="2">
        <v>0.0</v>
      </c>
      <c r="M45" s="7"/>
      <c r="N45" s="7"/>
    </row>
    <row r="46">
      <c r="A46" s="12">
        <v>45881.0</v>
      </c>
      <c r="B46" s="6" t="s">
        <v>62</v>
      </c>
      <c r="C46" s="2">
        <v>0.75</v>
      </c>
      <c r="D46" s="16">
        <f t="shared" si="3"/>
        <v>3.45</v>
      </c>
      <c r="E46" s="17">
        <f>D46/B1</f>
        <v>0.345</v>
      </c>
      <c r="F46" s="16">
        <f t="shared" si="4"/>
        <v>5.6</v>
      </c>
      <c r="G46" s="17">
        <f>F46/B2</f>
        <v>0.3733333333</v>
      </c>
      <c r="H46" s="15">
        <f t="shared" si="5"/>
        <v>7.15</v>
      </c>
      <c r="I46" s="14">
        <f>H46/B3</f>
        <v>0.4766666667</v>
      </c>
      <c r="J46" s="2">
        <v>0.0</v>
      </c>
      <c r="K46" s="2">
        <v>0.0</v>
      </c>
      <c r="L46" s="2">
        <v>0.0</v>
      </c>
      <c r="M46" s="7"/>
      <c r="N46" s="7"/>
    </row>
    <row r="47">
      <c r="A47" s="12">
        <v>45881.0</v>
      </c>
      <c r="B47" s="6" t="s">
        <v>63</v>
      </c>
      <c r="C47" s="2">
        <v>1.77</v>
      </c>
      <c r="D47" s="16">
        <f t="shared" si="3"/>
        <v>3.45</v>
      </c>
      <c r="E47" s="17">
        <f>D47/B1</f>
        <v>0.345</v>
      </c>
      <c r="F47" s="16">
        <f t="shared" si="4"/>
        <v>5.6</v>
      </c>
      <c r="G47" s="17">
        <f>F47/B2</f>
        <v>0.3733333333</v>
      </c>
      <c r="H47" s="15">
        <f t="shared" si="5"/>
        <v>5.38</v>
      </c>
      <c r="I47" s="14">
        <f>H47/B3</f>
        <v>0.3586666667</v>
      </c>
      <c r="J47" s="2">
        <v>0.0</v>
      </c>
      <c r="K47" s="2">
        <v>0.0</v>
      </c>
      <c r="L47" s="2">
        <v>0.0</v>
      </c>
      <c r="M47" s="7"/>
      <c r="N47" s="7"/>
    </row>
    <row r="48">
      <c r="A48" s="12">
        <v>45882.0</v>
      </c>
      <c r="B48" s="6" t="s">
        <v>61</v>
      </c>
      <c r="C48" s="2">
        <v>0.0</v>
      </c>
      <c r="D48" s="16">
        <f t="shared" si="3"/>
        <v>3.45</v>
      </c>
      <c r="E48" s="17">
        <f>D48/B1</f>
        <v>0.345</v>
      </c>
      <c r="F48" s="16">
        <f t="shared" si="4"/>
        <v>5.6</v>
      </c>
      <c r="G48" s="17">
        <f>F48/B2</f>
        <v>0.3733333333</v>
      </c>
      <c r="H48" s="15">
        <f t="shared" si="5"/>
        <v>5.38</v>
      </c>
      <c r="I48" s="14">
        <f>H48/B3</f>
        <v>0.3586666667</v>
      </c>
      <c r="J48" s="2">
        <v>0.0</v>
      </c>
      <c r="K48" s="2">
        <v>0.0</v>
      </c>
      <c r="L48" s="2">
        <v>0.0</v>
      </c>
      <c r="M48" s="7"/>
      <c r="N48" s="7"/>
    </row>
    <row r="49">
      <c r="A49" s="12">
        <v>45882.0</v>
      </c>
      <c r="B49" s="6" t="s">
        <v>62</v>
      </c>
      <c r="C49" s="2">
        <v>0.0</v>
      </c>
      <c r="D49" s="16">
        <f t="shared" si="3"/>
        <v>3.45</v>
      </c>
      <c r="E49" s="17">
        <f>D49/B1</f>
        <v>0.345</v>
      </c>
      <c r="F49" s="16">
        <f t="shared" si="4"/>
        <v>5.6</v>
      </c>
      <c r="G49" s="17">
        <f>F49/B2</f>
        <v>0.3733333333</v>
      </c>
      <c r="H49" s="15">
        <f t="shared" si="5"/>
        <v>5.38</v>
      </c>
      <c r="I49" s="14">
        <f>H49/B3</f>
        <v>0.3586666667</v>
      </c>
      <c r="J49" s="2">
        <v>0.0</v>
      </c>
      <c r="K49" s="2">
        <v>0.0</v>
      </c>
      <c r="L49" s="2">
        <v>0.0</v>
      </c>
      <c r="M49" s="7"/>
      <c r="N49" s="7"/>
    </row>
    <row r="50">
      <c r="A50" s="12">
        <v>45882.0</v>
      </c>
      <c r="B50" s="6" t="s">
        <v>63</v>
      </c>
      <c r="C50" s="2">
        <v>0.0</v>
      </c>
      <c r="D50" s="16">
        <f t="shared" si="3"/>
        <v>3.45</v>
      </c>
      <c r="E50" s="17">
        <f>D50/B1</f>
        <v>0.345</v>
      </c>
      <c r="F50" s="16">
        <f t="shared" si="4"/>
        <v>5.6</v>
      </c>
      <c r="G50" s="17">
        <f>F50/B2</f>
        <v>0.3733333333</v>
      </c>
      <c r="H50" s="15">
        <f t="shared" si="5"/>
        <v>5.38</v>
      </c>
      <c r="I50" s="14">
        <f>H50/B3</f>
        <v>0.3586666667</v>
      </c>
      <c r="J50" s="2">
        <v>0.0</v>
      </c>
      <c r="K50" s="2">
        <v>0.0</v>
      </c>
      <c r="L50" s="2">
        <v>0.0</v>
      </c>
      <c r="M50" s="7"/>
      <c r="N50" s="7"/>
    </row>
    <row r="51">
      <c r="A51" s="12">
        <v>45883.0</v>
      </c>
      <c r="B51" s="6" t="s">
        <v>61</v>
      </c>
      <c r="C51" s="2">
        <v>0.0</v>
      </c>
      <c r="D51" s="16">
        <f t="shared" si="3"/>
        <v>3.45</v>
      </c>
      <c r="E51" s="17">
        <f>D51/B1</f>
        <v>0.345</v>
      </c>
      <c r="F51" s="16">
        <f t="shared" si="4"/>
        <v>5.6</v>
      </c>
      <c r="G51" s="17">
        <f>F51/B2</f>
        <v>0.3733333333</v>
      </c>
      <c r="H51" s="15">
        <f t="shared" si="5"/>
        <v>5.38</v>
      </c>
      <c r="I51" s="14">
        <f>H51/B3</f>
        <v>0.3586666667</v>
      </c>
      <c r="J51" s="2">
        <v>0.0</v>
      </c>
      <c r="K51" s="2">
        <v>0.0</v>
      </c>
      <c r="L51" s="2">
        <v>0.0</v>
      </c>
      <c r="M51" s="7"/>
      <c r="N51" s="7"/>
    </row>
    <row r="52">
      <c r="A52" s="12">
        <v>45883.0</v>
      </c>
      <c r="B52" s="6" t="s">
        <v>62</v>
      </c>
      <c r="C52" s="2">
        <v>1.0</v>
      </c>
      <c r="D52" s="16">
        <f t="shared" si="3"/>
        <v>3.45</v>
      </c>
      <c r="E52" s="17">
        <f>D52/B1</f>
        <v>0.345</v>
      </c>
      <c r="F52" s="16">
        <f t="shared" si="4"/>
        <v>4.6</v>
      </c>
      <c r="G52" s="17">
        <f>F52/B2</f>
        <v>0.3066666667</v>
      </c>
      <c r="H52" s="15">
        <f t="shared" si="5"/>
        <v>5.38</v>
      </c>
      <c r="I52" s="14">
        <f>H52/B3</f>
        <v>0.3586666667</v>
      </c>
      <c r="J52" s="2">
        <v>0.0</v>
      </c>
      <c r="K52" s="2">
        <v>0.0</v>
      </c>
      <c r="L52" s="2">
        <v>0.0</v>
      </c>
      <c r="M52" s="7"/>
      <c r="N52" s="7"/>
    </row>
    <row r="53">
      <c r="A53" s="12">
        <v>45883.0</v>
      </c>
      <c r="B53" s="6" t="s">
        <v>63</v>
      </c>
      <c r="C53" s="2">
        <v>0.97</v>
      </c>
      <c r="D53" s="16">
        <f t="shared" si="3"/>
        <v>3.45</v>
      </c>
      <c r="E53" s="17">
        <f>D53/B1</f>
        <v>0.345</v>
      </c>
      <c r="F53" s="16">
        <f t="shared" si="4"/>
        <v>4.6</v>
      </c>
      <c r="G53" s="17">
        <f>F53/B2</f>
        <v>0.3066666667</v>
      </c>
      <c r="H53" s="15">
        <f t="shared" si="5"/>
        <v>4.41</v>
      </c>
      <c r="I53" s="14">
        <f>H53/B3</f>
        <v>0.294</v>
      </c>
      <c r="J53" s="2">
        <v>0.0</v>
      </c>
      <c r="K53" s="2">
        <v>0.0</v>
      </c>
      <c r="L53" s="2">
        <v>0.0</v>
      </c>
      <c r="M53" s="7"/>
      <c r="N53" s="7"/>
    </row>
    <row r="54">
      <c r="A54" s="12">
        <v>45884.0</v>
      </c>
      <c r="B54" s="6" t="s">
        <v>61</v>
      </c>
      <c r="C54" s="2">
        <v>0.93</v>
      </c>
      <c r="D54" s="16">
        <f t="shared" si="3"/>
        <v>2.52</v>
      </c>
      <c r="E54" s="17">
        <f>D54/B1</f>
        <v>0.252</v>
      </c>
      <c r="F54" s="16">
        <f t="shared" si="4"/>
        <v>4.6</v>
      </c>
      <c r="G54" s="17">
        <f>F54/B2</f>
        <v>0.3066666667</v>
      </c>
      <c r="H54" s="15">
        <f t="shared" si="5"/>
        <v>4.41</v>
      </c>
      <c r="I54" s="14">
        <f>H54/B3</f>
        <v>0.294</v>
      </c>
      <c r="J54" s="2">
        <v>0.0</v>
      </c>
      <c r="K54" s="2">
        <v>0.0</v>
      </c>
      <c r="L54" s="2">
        <v>0.0</v>
      </c>
      <c r="M54" s="7"/>
      <c r="N54" s="7"/>
    </row>
    <row r="55">
      <c r="A55" s="12">
        <v>45884.0</v>
      </c>
      <c r="B55" s="6" t="s">
        <v>62</v>
      </c>
      <c r="C55" s="2">
        <v>0.77</v>
      </c>
      <c r="D55" s="16">
        <f t="shared" si="3"/>
        <v>2.52</v>
      </c>
      <c r="E55" s="17">
        <f>D55/B1</f>
        <v>0.252</v>
      </c>
      <c r="F55" s="16">
        <f t="shared" si="4"/>
        <v>3.83</v>
      </c>
      <c r="G55" s="17">
        <f>F55/B2</f>
        <v>0.2553333333</v>
      </c>
      <c r="H55" s="15">
        <f t="shared" si="5"/>
        <v>4.41</v>
      </c>
      <c r="I55" s="14">
        <f>H55/B3</f>
        <v>0.294</v>
      </c>
      <c r="J55" s="2">
        <v>0.0</v>
      </c>
      <c r="K55" s="2">
        <v>0.0</v>
      </c>
      <c r="L55" s="2">
        <v>0.0</v>
      </c>
      <c r="M55" s="7"/>
      <c r="N55" s="7"/>
    </row>
    <row r="56">
      <c r="A56" s="12">
        <v>45884.0</v>
      </c>
      <c r="B56" s="6" t="s">
        <v>63</v>
      </c>
      <c r="C56" s="2">
        <v>0.0</v>
      </c>
      <c r="D56" s="16">
        <f t="shared" si="3"/>
        <v>2.52</v>
      </c>
      <c r="E56" s="17">
        <f>D56/B1</f>
        <v>0.252</v>
      </c>
      <c r="F56" s="16">
        <f t="shared" si="4"/>
        <v>3.83</v>
      </c>
      <c r="G56" s="17">
        <f>F56/B2</f>
        <v>0.2553333333</v>
      </c>
      <c r="H56" s="15">
        <f t="shared" si="5"/>
        <v>4.41</v>
      </c>
      <c r="I56" s="14">
        <f>H56/B3</f>
        <v>0.294</v>
      </c>
      <c r="J56" s="2">
        <v>0.0</v>
      </c>
      <c r="K56" s="2">
        <v>0.0</v>
      </c>
      <c r="L56" s="2">
        <v>0.0</v>
      </c>
      <c r="M56" s="7"/>
      <c r="N56" s="7"/>
    </row>
    <row r="57">
      <c r="A57" s="12">
        <v>45885.0</v>
      </c>
      <c r="B57" s="6" t="s">
        <v>61</v>
      </c>
      <c r="C57" s="2">
        <v>0.0</v>
      </c>
      <c r="D57" s="16">
        <f t="shared" si="3"/>
        <v>2.52</v>
      </c>
      <c r="E57" s="17">
        <f>D57/B1</f>
        <v>0.252</v>
      </c>
      <c r="F57" s="16">
        <f t="shared" si="4"/>
        <v>3.83</v>
      </c>
      <c r="G57" s="17">
        <f>F57/B2</f>
        <v>0.2553333333</v>
      </c>
      <c r="H57" s="15">
        <f t="shared" si="5"/>
        <v>4.41</v>
      </c>
      <c r="I57" s="14">
        <f>H57/B3</f>
        <v>0.294</v>
      </c>
      <c r="J57" s="2">
        <v>0.0</v>
      </c>
      <c r="K57" s="2">
        <v>0.0</v>
      </c>
      <c r="L57" s="2">
        <v>0.0</v>
      </c>
      <c r="M57" s="7"/>
      <c r="N57" s="7"/>
    </row>
    <row r="58">
      <c r="A58" s="12">
        <v>45885.0</v>
      </c>
      <c r="B58" s="6" t="s">
        <v>62</v>
      </c>
      <c r="C58" s="2">
        <v>0.0</v>
      </c>
      <c r="D58" s="16">
        <f t="shared" si="3"/>
        <v>2.52</v>
      </c>
      <c r="E58" s="17">
        <f>D58/B1</f>
        <v>0.252</v>
      </c>
      <c r="F58" s="16">
        <f t="shared" si="4"/>
        <v>3.83</v>
      </c>
      <c r="G58" s="17">
        <f>F58/B2</f>
        <v>0.2553333333</v>
      </c>
      <c r="H58" s="15">
        <f t="shared" si="5"/>
        <v>4.41</v>
      </c>
      <c r="I58" s="14">
        <f>H58/B3</f>
        <v>0.294</v>
      </c>
      <c r="J58" s="2">
        <v>0.0</v>
      </c>
      <c r="K58" s="2">
        <v>0.0</v>
      </c>
      <c r="L58" s="2">
        <v>0.0</v>
      </c>
      <c r="M58" s="7"/>
      <c r="N58" s="7"/>
    </row>
    <row r="59">
      <c r="A59" s="12">
        <v>45885.0</v>
      </c>
      <c r="B59" s="6" t="s">
        <v>63</v>
      </c>
      <c r="C59" s="2">
        <v>0.0</v>
      </c>
      <c r="D59" s="16">
        <f t="shared" si="3"/>
        <v>2.52</v>
      </c>
      <c r="E59" s="17">
        <f>D59/B1</f>
        <v>0.252</v>
      </c>
      <c r="F59" s="16">
        <f t="shared" si="4"/>
        <v>3.83</v>
      </c>
      <c r="G59" s="17">
        <f>F59/B2</f>
        <v>0.2553333333</v>
      </c>
      <c r="H59" s="15">
        <f t="shared" si="5"/>
        <v>4.41</v>
      </c>
      <c r="I59" s="14">
        <f>H59/B3</f>
        <v>0.294</v>
      </c>
      <c r="J59" s="2">
        <v>0.0</v>
      </c>
      <c r="K59" s="2">
        <v>0.0</v>
      </c>
      <c r="L59" s="2">
        <v>0.0</v>
      </c>
    </row>
    <row r="60">
      <c r="A60" s="12">
        <v>45886.0</v>
      </c>
      <c r="B60" s="6" t="s">
        <v>61</v>
      </c>
      <c r="C60" s="2">
        <v>0.7</v>
      </c>
      <c r="D60" s="16">
        <f t="shared" si="3"/>
        <v>1.82</v>
      </c>
      <c r="E60" s="17">
        <f>D60/B1</f>
        <v>0.182</v>
      </c>
      <c r="F60" s="16">
        <f t="shared" si="4"/>
        <v>3.83</v>
      </c>
      <c r="G60" s="17">
        <f>F60/B2</f>
        <v>0.2553333333</v>
      </c>
      <c r="H60" s="15">
        <f t="shared" si="5"/>
        <v>4.41</v>
      </c>
      <c r="I60" s="14">
        <f>H60/B3</f>
        <v>0.294</v>
      </c>
      <c r="J60" s="2">
        <v>0.0</v>
      </c>
      <c r="K60" s="2">
        <v>0.0</v>
      </c>
      <c r="L60" s="2">
        <v>0.0</v>
      </c>
    </row>
    <row r="61">
      <c r="A61" s="12">
        <v>45886.0</v>
      </c>
      <c r="B61" s="6" t="s">
        <v>62</v>
      </c>
      <c r="C61" s="2">
        <v>0.0</v>
      </c>
      <c r="D61" s="16">
        <f t="shared" si="3"/>
        <v>1.82</v>
      </c>
      <c r="E61" s="17">
        <f>D61/B1</f>
        <v>0.182</v>
      </c>
      <c r="F61" s="16">
        <f t="shared" si="4"/>
        <v>3.83</v>
      </c>
      <c r="G61" s="17">
        <f>F61/B2</f>
        <v>0.2553333333</v>
      </c>
      <c r="H61" s="15">
        <f t="shared" si="5"/>
        <v>4.41</v>
      </c>
      <c r="I61" s="14">
        <f>H61/B3</f>
        <v>0.294</v>
      </c>
      <c r="J61" s="2">
        <v>0.0</v>
      </c>
      <c r="K61" s="2">
        <v>0.0</v>
      </c>
      <c r="L61" s="2">
        <v>0.0</v>
      </c>
    </row>
    <row r="62">
      <c r="A62" s="12">
        <v>45886.0</v>
      </c>
      <c r="B62" s="6" t="s">
        <v>63</v>
      </c>
      <c r="C62" s="2">
        <v>0.62</v>
      </c>
      <c r="D62" s="16">
        <f t="shared" si="3"/>
        <v>1.82</v>
      </c>
      <c r="E62" s="17">
        <f>D62/B1</f>
        <v>0.182</v>
      </c>
      <c r="F62" s="16">
        <f t="shared" si="4"/>
        <v>3.83</v>
      </c>
      <c r="G62" s="17">
        <f>F62/B2</f>
        <v>0.2553333333</v>
      </c>
      <c r="H62" s="15">
        <f t="shared" si="5"/>
        <v>3.79</v>
      </c>
      <c r="I62" s="14">
        <f>H62/B3</f>
        <v>0.2526666667</v>
      </c>
      <c r="J62" s="2">
        <v>0.0</v>
      </c>
      <c r="K62" s="2">
        <v>0.0</v>
      </c>
      <c r="L62" s="2">
        <v>0.0</v>
      </c>
    </row>
    <row r="63">
      <c r="A63" s="12">
        <v>45887.0</v>
      </c>
      <c r="B63" s="6" t="s">
        <v>61</v>
      </c>
      <c r="C63" s="2">
        <v>0.0</v>
      </c>
      <c r="D63" s="16">
        <f t="shared" si="3"/>
        <v>1.82</v>
      </c>
      <c r="E63" s="17">
        <f>D63/B1</f>
        <v>0.182</v>
      </c>
      <c r="F63" s="16">
        <f t="shared" si="4"/>
        <v>3.83</v>
      </c>
      <c r="G63" s="17">
        <f>F63/B2</f>
        <v>0.2553333333</v>
      </c>
      <c r="H63" s="15">
        <f t="shared" si="5"/>
        <v>3.79</v>
      </c>
      <c r="I63" s="14">
        <f>H63/B3</f>
        <v>0.2526666667</v>
      </c>
      <c r="J63" s="2">
        <v>0.0</v>
      </c>
      <c r="K63" s="2">
        <v>0.0</v>
      </c>
      <c r="L63" s="2">
        <v>0.0</v>
      </c>
    </row>
    <row r="64">
      <c r="A64" s="12">
        <v>45887.0</v>
      </c>
      <c r="B64" s="6" t="s">
        <v>62</v>
      </c>
      <c r="C64" s="2">
        <v>0.73</v>
      </c>
      <c r="D64" s="16">
        <f t="shared" si="3"/>
        <v>1.82</v>
      </c>
      <c r="E64" s="17">
        <f>D64/B1</f>
        <v>0.182</v>
      </c>
      <c r="F64" s="16">
        <f t="shared" si="4"/>
        <v>3.1</v>
      </c>
      <c r="G64" s="17">
        <f>F64/B2</f>
        <v>0.2066666667</v>
      </c>
      <c r="H64" s="15">
        <f t="shared" si="5"/>
        <v>3.79</v>
      </c>
      <c r="I64" s="14">
        <f>H64/B3</f>
        <v>0.2526666667</v>
      </c>
      <c r="J64" s="2">
        <v>0.0</v>
      </c>
      <c r="K64" s="2">
        <v>0.0</v>
      </c>
      <c r="L64" s="2">
        <v>0.0</v>
      </c>
    </row>
    <row r="65">
      <c r="A65" s="12">
        <v>45887.0</v>
      </c>
      <c r="B65" s="6" t="s">
        <v>63</v>
      </c>
      <c r="C65" s="2">
        <v>0.74</v>
      </c>
      <c r="D65" s="16">
        <f t="shared" si="3"/>
        <v>1.82</v>
      </c>
      <c r="E65" s="17">
        <f>D65/B1</f>
        <v>0.182</v>
      </c>
      <c r="F65" s="16">
        <f t="shared" si="4"/>
        <v>3.1</v>
      </c>
      <c r="G65" s="17">
        <f>F65/B2</f>
        <v>0.2066666667</v>
      </c>
      <c r="H65" s="15">
        <f t="shared" si="5"/>
        <v>3.05</v>
      </c>
      <c r="I65" s="14">
        <f>H65/B3</f>
        <v>0.2033333333</v>
      </c>
      <c r="J65" s="2">
        <v>0.0</v>
      </c>
      <c r="K65" s="2">
        <v>0.0</v>
      </c>
      <c r="L65" s="2">
        <v>0.0</v>
      </c>
    </row>
    <row r="66">
      <c r="A66" s="12">
        <v>45888.0</v>
      </c>
      <c r="B66" s="6" t="s">
        <v>61</v>
      </c>
      <c r="C66" s="2">
        <v>0.0</v>
      </c>
      <c r="D66" s="16">
        <f t="shared" si="3"/>
        <v>1.82</v>
      </c>
      <c r="E66" s="17">
        <f>D66/B1</f>
        <v>0.182</v>
      </c>
      <c r="F66" s="16">
        <f t="shared" si="4"/>
        <v>3.1</v>
      </c>
      <c r="G66" s="17">
        <f>F66/B2</f>
        <v>0.2066666667</v>
      </c>
      <c r="H66" s="15">
        <f t="shared" si="5"/>
        <v>3.05</v>
      </c>
      <c r="I66" s="14">
        <f>H66/B3</f>
        <v>0.2033333333</v>
      </c>
      <c r="J66" s="2">
        <v>0.0</v>
      </c>
      <c r="K66" s="2">
        <v>0.0</v>
      </c>
      <c r="L66" s="2">
        <v>0.0</v>
      </c>
    </row>
    <row r="67">
      <c r="A67" s="12">
        <v>45888.0</v>
      </c>
      <c r="B67" s="6" t="s">
        <v>62</v>
      </c>
      <c r="C67" s="2">
        <v>0.0</v>
      </c>
      <c r="D67" s="16">
        <f t="shared" si="3"/>
        <v>1.82</v>
      </c>
      <c r="E67" s="17">
        <f>D67/B1</f>
        <v>0.182</v>
      </c>
      <c r="F67" s="16">
        <f t="shared" si="4"/>
        <v>3.1</v>
      </c>
      <c r="G67" s="17">
        <f>F67/B2</f>
        <v>0.2066666667</v>
      </c>
      <c r="H67" s="15">
        <f t="shared" si="5"/>
        <v>3.05</v>
      </c>
      <c r="I67" s="14">
        <f>H67/B3</f>
        <v>0.2033333333</v>
      </c>
      <c r="J67" s="2">
        <v>0.0</v>
      </c>
      <c r="K67" s="2">
        <v>0.0</v>
      </c>
      <c r="L67" s="2">
        <v>0.0</v>
      </c>
    </row>
    <row r="68">
      <c r="A68" s="12">
        <v>45888.0</v>
      </c>
      <c r="B68" s="6" t="s">
        <v>63</v>
      </c>
      <c r="C68" s="2">
        <v>0.0</v>
      </c>
      <c r="D68" s="16">
        <f t="shared" si="3"/>
        <v>1.82</v>
      </c>
      <c r="E68" s="17">
        <f>D68/B1</f>
        <v>0.182</v>
      </c>
      <c r="F68" s="16">
        <f t="shared" si="4"/>
        <v>3.1</v>
      </c>
      <c r="G68" s="17">
        <f>F68/B2</f>
        <v>0.2066666667</v>
      </c>
      <c r="H68" s="15">
        <f t="shared" si="5"/>
        <v>3.05</v>
      </c>
      <c r="I68" s="14">
        <f>H68/B3</f>
        <v>0.2033333333</v>
      </c>
      <c r="J68" s="2">
        <v>0.0</v>
      </c>
      <c r="K68" s="2">
        <v>0.0</v>
      </c>
      <c r="L68" s="2">
        <v>0.0</v>
      </c>
    </row>
    <row r="69">
      <c r="A69" s="12">
        <v>45889.0</v>
      </c>
      <c r="B69" s="6" t="s">
        <v>61</v>
      </c>
      <c r="C69" s="2">
        <v>0.0</v>
      </c>
      <c r="D69" s="16">
        <f t="shared" si="3"/>
        <v>1.82</v>
      </c>
      <c r="E69" s="17">
        <f>D69/B1</f>
        <v>0.182</v>
      </c>
      <c r="F69" s="16">
        <f t="shared" si="4"/>
        <v>3.1</v>
      </c>
      <c r="G69" s="17">
        <f>F69/B2</f>
        <v>0.2066666667</v>
      </c>
      <c r="H69" s="15">
        <f t="shared" si="5"/>
        <v>3.05</v>
      </c>
      <c r="I69" s="14">
        <f>H69/B3</f>
        <v>0.2033333333</v>
      </c>
      <c r="J69" s="2">
        <v>0.0</v>
      </c>
      <c r="K69" s="2">
        <v>0.0</v>
      </c>
      <c r="L69" s="2">
        <v>0.0</v>
      </c>
    </row>
    <row r="70">
      <c r="A70" s="12">
        <v>45889.0</v>
      </c>
      <c r="B70" s="6" t="s">
        <v>62</v>
      </c>
      <c r="C70" s="2">
        <v>0.0</v>
      </c>
      <c r="D70" s="16">
        <f t="shared" si="3"/>
        <v>1.82</v>
      </c>
      <c r="E70" s="17">
        <f>D70/B1</f>
        <v>0.182</v>
      </c>
      <c r="F70" s="16">
        <f t="shared" si="4"/>
        <v>3.1</v>
      </c>
      <c r="G70" s="17">
        <f>F70/B2</f>
        <v>0.2066666667</v>
      </c>
      <c r="H70" s="15">
        <f t="shared" si="5"/>
        <v>3.05</v>
      </c>
      <c r="I70" s="14">
        <f>H70/B3</f>
        <v>0.2033333333</v>
      </c>
      <c r="J70" s="2">
        <v>0.0</v>
      </c>
      <c r="K70" s="2">
        <v>0.0</v>
      </c>
      <c r="L70" s="2">
        <v>0.0</v>
      </c>
    </row>
    <row r="71">
      <c r="A71" s="12">
        <v>45889.0</v>
      </c>
      <c r="B71" s="6" t="s">
        <v>63</v>
      </c>
      <c r="C71" s="2">
        <v>0.0</v>
      </c>
      <c r="D71" s="16">
        <f t="shared" si="3"/>
        <v>1.82</v>
      </c>
      <c r="E71" s="17">
        <f>D71/B1</f>
        <v>0.182</v>
      </c>
      <c r="F71" s="16">
        <f t="shared" si="4"/>
        <v>3.1</v>
      </c>
      <c r="G71" s="17">
        <f>F71/B2</f>
        <v>0.2066666667</v>
      </c>
      <c r="H71" s="15">
        <f t="shared" si="5"/>
        <v>3.05</v>
      </c>
      <c r="I71" s="14">
        <f>H71/B3</f>
        <v>0.2033333333</v>
      </c>
      <c r="J71" s="2">
        <v>0.0</v>
      </c>
      <c r="K71" s="2">
        <v>0.0</v>
      </c>
      <c r="L71" s="2">
        <v>0.0</v>
      </c>
    </row>
    <row r="72">
      <c r="A72" s="12">
        <v>45890.0</v>
      </c>
      <c r="B72" s="6" t="s">
        <v>61</v>
      </c>
      <c r="C72" s="2">
        <v>0.0</v>
      </c>
      <c r="D72" s="16">
        <f t="shared" si="3"/>
        <v>1.82</v>
      </c>
      <c r="E72" s="17">
        <f>D72/B1</f>
        <v>0.182</v>
      </c>
      <c r="F72" s="16">
        <f t="shared" si="4"/>
        <v>3.1</v>
      </c>
      <c r="G72" s="17">
        <f>F72/B2</f>
        <v>0.2066666667</v>
      </c>
      <c r="H72" s="15">
        <f t="shared" si="5"/>
        <v>3.05</v>
      </c>
      <c r="I72" s="14">
        <f>H72/B3</f>
        <v>0.2033333333</v>
      </c>
      <c r="J72" s="2">
        <v>0.0</v>
      </c>
      <c r="K72" s="2">
        <v>0.0</v>
      </c>
      <c r="L72" s="2">
        <v>0.0</v>
      </c>
    </row>
    <row r="73">
      <c r="A73" s="12">
        <v>45890.0</v>
      </c>
      <c r="B73" s="6" t="s">
        <v>62</v>
      </c>
      <c r="C73" s="2">
        <v>0.0</v>
      </c>
      <c r="D73" s="16">
        <f t="shared" si="3"/>
        <v>1.82</v>
      </c>
      <c r="E73" s="17">
        <f>D73/B1</f>
        <v>0.182</v>
      </c>
      <c r="F73" s="16">
        <f t="shared" si="4"/>
        <v>3.1</v>
      </c>
      <c r="G73" s="17">
        <f>F73/B2</f>
        <v>0.2066666667</v>
      </c>
      <c r="H73" s="15">
        <f t="shared" si="5"/>
        <v>3.05</v>
      </c>
      <c r="I73" s="14">
        <f>H73/B3</f>
        <v>0.2033333333</v>
      </c>
      <c r="J73" s="2">
        <v>0.0</v>
      </c>
      <c r="K73" s="2">
        <v>0.0</v>
      </c>
      <c r="L73" s="2">
        <v>0.0</v>
      </c>
    </row>
    <row r="74">
      <c r="A74" s="12">
        <v>45890.0</v>
      </c>
      <c r="B74" s="6" t="s">
        <v>63</v>
      </c>
      <c r="C74" s="2">
        <v>0.0</v>
      </c>
      <c r="D74" s="16">
        <f t="shared" si="3"/>
        <v>1.82</v>
      </c>
      <c r="E74" s="17">
        <f>D74/B1</f>
        <v>0.182</v>
      </c>
      <c r="F74" s="16">
        <f t="shared" si="4"/>
        <v>3.1</v>
      </c>
      <c r="G74" s="17">
        <f>F74/B2</f>
        <v>0.2066666667</v>
      </c>
      <c r="H74" s="15">
        <f t="shared" si="5"/>
        <v>3.05</v>
      </c>
      <c r="I74" s="14">
        <f>H74/B3</f>
        <v>0.2033333333</v>
      </c>
      <c r="J74" s="2">
        <v>0.0</v>
      </c>
      <c r="K74" s="2">
        <v>0.0</v>
      </c>
      <c r="L74" s="2">
        <v>0.0</v>
      </c>
    </row>
    <row r="75">
      <c r="A75" s="12">
        <v>45891.0</v>
      </c>
      <c r="B75" s="6" t="s">
        <v>61</v>
      </c>
      <c r="C75" s="2">
        <v>0.0</v>
      </c>
      <c r="D75" s="16">
        <f t="shared" si="3"/>
        <v>1.82</v>
      </c>
      <c r="E75" s="17">
        <f>D75/B1</f>
        <v>0.182</v>
      </c>
      <c r="F75" s="16">
        <f t="shared" si="4"/>
        <v>3.1</v>
      </c>
      <c r="G75" s="17">
        <f>F75/B2</f>
        <v>0.2066666667</v>
      </c>
      <c r="H75" s="15">
        <f t="shared" si="5"/>
        <v>3.05</v>
      </c>
      <c r="I75" s="14">
        <f>H75/B3</f>
        <v>0.2033333333</v>
      </c>
      <c r="J75" s="2">
        <v>0.0</v>
      </c>
      <c r="K75" s="2">
        <v>0.0</v>
      </c>
      <c r="L75" s="2">
        <v>0.0</v>
      </c>
    </row>
    <row r="76">
      <c r="A76" s="12">
        <v>45891.0</v>
      </c>
      <c r="B76" s="6" t="s">
        <v>62</v>
      </c>
      <c r="C76" s="2">
        <v>0.0</v>
      </c>
      <c r="D76" s="16">
        <f t="shared" si="3"/>
        <v>1.82</v>
      </c>
      <c r="E76" s="17">
        <f>D76/B1</f>
        <v>0.182</v>
      </c>
      <c r="F76" s="16">
        <f t="shared" si="4"/>
        <v>3.1</v>
      </c>
      <c r="G76" s="17">
        <f>F76/B2</f>
        <v>0.2066666667</v>
      </c>
      <c r="H76" s="15">
        <f t="shared" si="5"/>
        <v>3.05</v>
      </c>
      <c r="I76" s="14">
        <f>H76/B3</f>
        <v>0.2033333333</v>
      </c>
      <c r="J76" s="2">
        <v>0.0</v>
      </c>
      <c r="K76" s="2">
        <v>0.0</v>
      </c>
      <c r="L76" s="2">
        <v>0.0</v>
      </c>
    </row>
    <row r="77">
      <c r="A77" s="12">
        <v>45891.0</v>
      </c>
      <c r="B77" s="6" t="s">
        <v>63</v>
      </c>
      <c r="C77" s="2">
        <v>0.0</v>
      </c>
      <c r="D77" s="16">
        <f t="shared" si="3"/>
        <v>1.82</v>
      </c>
      <c r="E77" s="17">
        <f>D77/B1</f>
        <v>0.182</v>
      </c>
      <c r="F77" s="16">
        <f t="shared" si="4"/>
        <v>3.1</v>
      </c>
      <c r="G77" s="17">
        <f>F77/B2</f>
        <v>0.2066666667</v>
      </c>
      <c r="H77" s="15">
        <f t="shared" si="5"/>
        <v>3.05</v>
      </c>
      <c r="I77" s="14">
        <f>H77/B3</f>
        <v>0.2033333333</v>
      </c>
      <c r="J77" s="2">
        <v>0.0</v>
      </c>
      <c r="K77" s="2">
        <v>0.0</v>
      </c>
      <c r="L77" s="2">
        <v>0.0</v>
      </c>
    </row>
    <row r="78">
      <c r="A78" s="12">
        <v>45892.0</v>
      </c>
      <c r="B78" s="6" t="s">
        <v>61</v>
      </c>
      <c r="C78" s="2">
        <v>0.0</v>
      </c>
      <c r="D78" s="16">
        <f t="shared" si="3"/>
        <v>1.82</v>
      </c>
      <c r="E78" s="17">
        <f>D78/B1</f>
        <v>0.182</v>
      </c>
      <c r="F78" s="16">
        <f t="shared" si="4"/>
        <v>3.1</v>
      </c>
      <c r="G78" s="17">
        <f>F78/B2</f>
        <v>0.2066666667</v>
      </c>
      <c r="H78" s="15">
        <f t="shared" si="5"/>
        <v>3.05</v>
      </c>
      <c r="I78" s="14">
        <f>H78/B3</f>
        <v>0.2033333333</v>
      </c>
      <c r="J78" s="2">
        <v>0.0</v>
      </c>
      <c r="K78" s="2">
        <v>0.0</v>
      </c>
      <c r="L78" s="2">
        <v>0.0</v>
      </c>
    </row>
    <row r="79">
      <c r="A79" s="12">
        <v>45892.0</v>
      </c>
      <c r="B79" s="6" t="s">
        <v>62</v>
      </c>
      <c r="C79" s="2">
        <v>0.0</v>
      </c>
      <c r="D79" s="16">
        <f t="shared" si="3"/>
        <v>1.82</v>
      </c>
      <c r="E79" s="17">
        <f>D79/B1</f>
        <v>0.182</v>
      </c>
      <c r="F79" s="16">
        <f t="shared" si="4"/>
        <v>3.1</v>
      </c>
      <c r="G79" s="17">
        <f>F79/B2</f>
        <v>0.2066666667</v>
      </c>
      <c r="H79" s="15">
        <f t="shared" si="5"/>
        <v>3.05</v>
      </c>
      <c r="I79" s="14">
        <f>H79/B3</f>
        <v>0.2033333333</v>
      </c>
      <c r="J79" s="2">
        <v>0.0</v>
      </c>
      <c r="K79" s="2">
        <v>0.0</v>
      </c>
      <c r="L79" s="2">
        <v>0.0</v>
      </c>
    </row>
    <row r="80">
      <c r="A80" s="12">
        <v>45892.0</v>
      </c>
      <c r="B80" s="6" t="s">
        <v>63</v>
      </c>
      <c r="C80" s="2">
        <v>0.0</v>
      </c>
      <c r="D80" s="16">
        <f t="shared" si="3"/>
        <v>1.82</v>
      </c>
      <c r="E80" s="17">
        <f>D80/B1</f>
        <v>0.182</v>
      </c>
      <c r="F80" s="16">
        <f t="shared" si="4"/>
        <v>3.1</v>
      </c>
      <c r="G80" s="17">
        <f>F80/B2</f>
        <v>0.2066666667</v>
      </c>
      <c r="H80" s="15">
        <f t="shared" si="5"/>
        <v>3.05</v>
      </c>
      <c r="I80" s="14">
        <f>H80/B3</f>
        <v>0.2033333333</v>
      </c>
      <c r="J80" s="2">
        <v>0.0</v>
      </c>
      <c r="K80" s="2">
        <v>0.0</v>
      </c>
      <c r="L80" s="2">
        <v>0.0</v>
      </c>
    </row>
    <row r="81">
      <c r="A81" s="12">
        <v>45893.0</v>
      </c>
      <c r="B81" s="6" t="s">
        <v>61</v>
      </c>
      <c r="C81" s="2">
        <v>0.69</v>
      </c>
      <c r="D81" s="16">
        <f t="shared" si="3"/>
        <v>1.13</v>
      </c>
      <c r="E81" s="17">
        <f>D81/B1</f>
        <v>0.113</v>
      </c>
      <c r="F81" s="16">
        <f t="shared" si="4"/>
        <v>3.1</v>
      </c>
      <c r="G81" s="17">
        <f>F81/B2</f>
        <v>0.2066666667</v>
      </c>
      <c r="H81" s="15">
        <f t="shared" si="5"/>
        <v>3.05</v>
      </c>
      <c r="I81" s="14">
        <f>H81/B3</f>
        <v>0.2033333333</v>
      </c>
      <c r="J81" s="2">
        <v>0.0</v>
      </c>
      <c r="K81" s="2">
        <v>0.0</v>
      </c>
      <c r="L81" s="2">
        <v>0.0</v>
      </c>
    </row>
    <row r="82">
      <c r="A82" s="12">
        <v>45893.0</v>
      </c>
      <c r="B82" s="6" t="s">
        <v>62</v>
      </c>
      <c r="C82" s="2">
        <v>0.75</v>
      </c>
      <c r="D82" s="16">
        <f t="shared" si="3"/>
        <v>1.13</v>
      </c>
      <c r="E82" s="17">
        <f>D82/B1</f>
        <v>0.113</v>
      </c>
      <c r="F82" s="16">
        <f t="shared" si="4"/>
        <v>2.35</v>
      </c>
      <c r="G82" s="17">
        <f>F82/B2</f>
        <v>0.1566666667</v>
      </c>
      <c r="H82" s="15">
        <f t="shared" si="5"/>
        <v>3.05</v>
      </c>
      <c r="I82" s="14">
        <f>H82/B3</f>
        <v>0.2033333333</v>
      </c>
      <c r="J82" s="2">
        <v>0.0</v>
      </c>
      <c r="K82" s="2">
        <v>0.0</v>
      </c>
      <c r="L82" s="2">
        <v>0.0</v>
      </c>
    </row>
    <row r="83">
      <c r="A83" s="12">
        <v>45893.0</v>
      </c>
      <c r="B83" s="6" t="s">
        <v>63</v>
      </c>
      <c r="C83" s="2">
        <v>0.0</v>
      </c>
      <c r="D83" s="16">
        <f t="shared" si="3"/>
        <v>1.13</v>
      </c>
      <c r="E83" s="17">
        <f>D83/B1</f>
        <v>0.113</v>
      </c>
      <c r="F83" s="16">
        <f t="shared" si="4"/>
        <v>2.35</v>
      </c>
      <c r="G83" s="17">
        <f>F83/B2</f>
        <v>0.1566666667</v>
      </c>
      <c r="H83" s="15">
        <f t="shared" si="5"/>
        <v>3.05</v>
      </c>
      <c r="I83" s="14">
        <f>H83/B3</f>
        <v>0.2033333333</v>
      </c>
      <c r="J83" s="2">
        <v>0.0</v>
      </c>
      <c r="K83" s="2">
        <v>0.0</v>
      </c>
      <c r="L83" s="2">
        <v>0.0</v>
      </c>
    </row>
    <row r="84">
      <c r="A84" s="12">
        <v>45894.0</v>
      </c>
      <c r="B84" s="6" t="s">
        <v>61</v>
      </c>
      <c r="C84" s="2">
        <v>0.0</v>
      </c>
      <c r="D84" s="16">
        <f t="shared" si="3"/>
        <v>1.13</v>
      </c>
      <c r="E84" s="17">
        <f>D84/B1</f>
        <v>0.113</v>
      </c>
      <c r="F84" s="16">
        <f t="shared" si="4"/>
        <v>2.35</v>
      </c>
      <c r="G84" s="17">
        <f>F84/B2</f>
        <v>0.1566666667</v>
      </c>
      <c r="H84" s="15">
        <f t="shared" si="5"/>
        <v>3.05</v>
      </c>
      <c r="I84" s="14">
        <f>H84/B3</f>
        <v>0.2033333333</v>
      </c>
      <c r="J84" s="2">
        <v>0.0</v>
      </c>
      <c r="K84" s="2">
        <v>0.0</v>
      </c>
      <c r="L84" s="2">
        <v>0.0</v>
      </c>
    </row>
    <row r="85">
      <c r="A85" s="12">
        <v>45894.0</v>
      </c>
      <c r="B85" s="6" t="s">
        <v>62</v>
      </c>
      <c r="C85" s="2">
        <v>0.0</v>
      </c>
      <c r="D85" s="16">
        <f t="shared" si="3"/>
        <v>1.13</v>
      </c>
      <c r="E85" s="17">
        <f>D85/B1</f>
        <v>0.113</v>
      </c>
      <c r="F85" s="16">
        <f t="shared" si="4"/>
        <v>2.35</v>
      </c>
      <c r="G85" s="17">
        <f>F85/B2</f>
        <v>0.1566666667</v>
      </c>
      <c r="H85" s="15">
        <f t="shared" si="5"/>
        <v>3.05</v>
      </c>
      <c r="I85" s="14">
        <f>H85/B3</f>
        <v>0.2033333333</v>
      </c>
      <c r="J85" s="2">
        <v>0.0</v>
      </c>
      <c r="K85" s="2">
        <v>0.0</v>
      </c>
      <c r="L85" s="2">
        <v>0.0</v>
      </c>
    </row>
    <row r="86">
      <c r="A86" s="12">
        <v>45894.0</v>
      </c>
      <c r="B86" s="6" t="s">
        <v>63</v>
      </c>
      <c r="C86" s="2">
        <v>0.0</v>
      </c>
      <c r="D86" s="16">
        <f t="shared" si="3"/>
        <v>1.13</v>
      </c>
      <c r="E86" s="17">
        <f>D86/B1</f>
        <v>0.113</v>
      </c>
      <c r="F86" s="16">
        <f t="shared" si="4"/>
        <v>2.35</v>
      </c>
      <c r="G86" s="17">
        <f>F86/B2</f>
        <v>0.1566666667</v>
      </c>
      <c r="H86" s="15">
        <f t="shared" si="5"/>
        <v>3.05</v>
      </c>
      <c r="I86" s="14">
        <f>H86/B3</f>
        <v>0.2033333333</v>
      </c>
      <c r="J86" s="2">
        <v>0.0</v>
      </c>
      <c r="K86" s="2">
        <v>0.0</v>
      </c>
      <c r="L86" s="2">
        <v>0.0</v>
      </c>
    </row>
    <row r="87">
      <c r="A87" s="12">
        <v>45895.0</v>
      </c>
      <c r="B87" s="6" t="s">
        <v>61</v>
      </c>
      <c r="C87" s="2">
        <v>0.0</v>
      </c>
      <c r="D87" s="16">
        <f t="shared" si="3"/>
        <v>1.13</v>
      </c>
      <c r="E87" s="17">
        <f>D87/B1</f>
        <v>0.113</v>
      </c>
      <c r="F87" s="16">
        <f t="shared" si="4"/>
        <v>2.35</v>
      </c>
      <c r="G87" s="17">
        <f>F87/B2</f>
        <v>0.1566666667</v>
      </c>
      <c r="H87" s="15">
        <f t="shared" si="5"/>
        <v>3.05</v>
      </c>
      <c r="I87" s="14">
        <f>H87/B3</f>
        <v>0.2033333333</v>
      </c>
      <c r="J87" s="2">
        <v>0.0</v>
      </c>
      <c r="K87" s="2">
        <v>0.0</v>
      </c>
      <c r="L87" s="2">
        <v>0.0</v>
      </c>
    </row>
    <row r="88">
      <c r="A88" s="12">
        <v>45895.0</v>
      </c>
      <c r="B88" s="6" t="s">
        <v>62</v>
      </c>
      <c r="C88" s="2">
        <v>0.76</v>
      </c>
      <c r="D88" s="16">
        <f t="shared" si="3"/>
        <v>1.13</v>
      </c>
      <c r="E88" s="17">
        <f>D88/B1</f>
        <v>0.113</v>
      </c>
      <c r="F88" s="16">
        <f t="shared" si="4"/>
        <v>1.59</v>
      </c>
      <c r="G88" s="17">
        <f>F88/B2</f>
        <v>0.106</v>
      </c>
      <c r="H88" s="15">
        <f t="shared" si="5"/>
        <v>3.05</v>
      </c>
      <c r="I88" s="14">
        <f>H88/B3</f>
        <v>0.2033333333</v>
      </c>
      <c r="J88" s="2">
        <v>0.0</v>
      </c>
      <c r="K88" s="2">
        <v>0.0</v>
      </c>
      <c r="L88" s="2">
        <v>0.0</v>
      </c>
    </row>
    <row r="89">
      <c r="A89" s="12">
        <v>45895.0</v>
      </c>
      <c r="B89" s="6" t="s">
        <v>63</v>
      </c>
      <c r="C89" s="2">
        <v>0.88</v>
      </c>
      <c r="D89" s="16">
        <f t="shared" si="3"/>
        <v>1.13</v>
      </c>
      <c r="E89" s="17">
        <f>D89/B1</f>
        <v>0.113</v>
      </c>
      <c r="F89" s="16">
        <f t="shared" si="4"/>
        <v>1.59</v>
      </c>
      <c r="G89" s="17">
        <f>F89/B2</f>
        <v>0.106</v>
      </c>
      <c r="H89" s="15">
        <f t="shared" si="5"/>
        <v>2.17</v>
      </c>
      <c r="I89" s="14">
        <f>H89/B3</f>
        <v>0.1446666667</v>
      </c>
      <c r="J89" s="2">
        <v>0.0</v>
      </c>
      <c r="K89" s="2">
        <v>0.0</v>
      </c>
      <c r="L89" s="2">
        <v>0.0</v>
      </c>
    </row>
    <row r="90">
      <c r="A90" s="12">
        <v>45896.0</v>
      </c>
      <c r="B90" s="6" t="s">
        <v>61</v>
      </c>
      <c r="C90" s="2">
        <v>0.72</v>
      </c>
      <c r="D90" s="16">
        <f t="shared" si="3"/>
        <v>0.41</v>
      </c>
      <c r="E90" s="17">
        <f>D90/B1</f>
        <v>0.041</v>
      </c>
      <c r="F90" s="16">
        <f t="shared" si="4"/>
        <v>1.59</v>
      </c>
      <c r="G90" s="17">
        <f>F90/B2</f>
        <v>0.106</v>
      </c>
      <c r="H90" s="15">
        <f t="shared" si="5"/>
        <v>2.17</v>
      </c>
      <c r="I90" s="14">
        <f>H90/B3</f>
        <v>0.1446666667</v>
      </c>
      <c r="J90" s="2">
        <v>0.0</v>
      </c>
      <c r="K90" s="2">
        <v>0.0</v>
      </c>
      <c r="L90" s="2">
        <v>0.0</v>
      </c>
    </row>
    <row r="91">
      <c r="A91" s="12">
        <v>45896.0</v>
      </c>
      <c r="B91" s="6" t="s">
        <v>62</v>
      </c>
      <c r="C91" s="2">
        <v>0.0</v>
      </c>
      <c r="D91" s="16">
        <f t="shared" si="3"/>
        <v>0.41</v>
      </c>
      <c r="E91" s="17">
        <f>D91/B1</f>
        <v>0.041</v>
      </c>
      <c r="F91" s="16">
        <f t="shared" si="4"/>
        <v>1.59</v>
      </c>
      <c r="G91" s="17">
        <f>F91/B2</f>
        <v>0.106</v>
      </c>
      <c r="H91" s="15">
        <f t="shared" si="5"/>
        <v>2.17</v>
      </c>
      <c r="I91" s="14">
        <f>H91/B3</f>
        <v>0.1446666667</v>
      </c>
      <c r="J91" s="2">
        <v>0.0</v>
      </c>
      <c r="K91" s="2">
        <v>0.0</v>
      </c>
      <c r="L91" s="2">
        <v>0.0</v>
      </c>
    </row>
    <row r="92">
      <c r="A92" s="12">
        <v>45896.0</v>
      </c>
      <c r="B92" s="6" t="s">
        <v>63</v>
      </c>
      <c r="C92" s="2">
        <v>0.8</v>
      </c>
      <c r="D92" s="16">
        <f t="shared" si="3"/>
        <v>0.41</v>
      </c>
      <c r="E92" s="17">
        <f>D92/B1</f>
        <v>0.041</v>
      </c>
      <c r="F92" s="16">
        <f t="shared" si="4"/>
        <v>1.59</v>
      </c>
      <c r="G92" s="17">
        <f>F92/B2</f>
        <v>0.106</v>
      </c>
      <c r="H92" s="15">
        <f t="shared" si="5"/>
        <v>1.37</v>
      </c>
      <c r="I92" s="14">
        <f>H92/B3</f>
        <v>0.09133333333</v>
      </c>
      <c r="J92" s="2">
        <v>0.0</v>
      </c>
      <c r="K92" s="2">
        <v>0.0</v>
      </c>
      <c r="L92" s="2">
        <v>0.0</v>
      </c>
    </row>
    <row r="93">
      <c r="A93" s="12">
        <v>45897.0</v>
      </c>
      <c r="B93" s="6" t="s">
        <v>61</v>
      </c>
      <c r="C93" s="2">
        <v>0.41</v>
      </c>
      <c r="D93" s="16">
        <f t="shared" si="3"/>
        <v>0</v>
      </c>
      <c r="E93" s="17">
        <f>D93/B1</f>
        <v>0</v>
      </c>
      <c r="F93" s="16">
        <f t="shared" si="4"/>
        <v>1.59</v>
      </c>
      <c r="G93" s="17">
        <f>F93/B2</f>
        <v>0.106</v>
      </c>
      <c r="H93" s="15">
        <f t="shared" si="5"/>
        <v>1.37</v>
      </c>
      <c r="I93" s="14">
        <f>H93/B3</f>
        <v>0.09133333333</v>
      </c>
      <c r="J93" s="2">
        <v>0.0</v>
      </c>
      <c r="K93" s="2">
        <v>0.0</v>
      </c>
      <c r="L93" s="2">
        <v>0.0</v>
      </c>
    </row>
    <row r="94">
      <c r="A94" s="12">
        <v>45897.0</v>
      </c>
      <c r="B94" s="6" t="s">
        <v>62</v>
      </c>
      <c r="C94" s="2">
        <v>1.59</v>
      </c>
      <c r="D94" s="16">
        <f t="shared" si="3"/>
        <v>0</v>
      </c>
      <c r="E94" s="17">
        <f>D94/B1</f>
        <v>0</v>
      </c>
      <c r="F94" s="16">
        <f t="shared" si="4"/>
        <v>0</v>
      </c>
      <c r="G94" s="17">
        <f>F94/B2</f>
        <v>0</v>
      </c>
      <c r="H94" s="15">
        <f t="shared" si="5"/>
        <v>1.37</v>
      </c>
      <c r="I94" s="14">
        <f>H94/B3</f>
        <v>0.09133333333</v>
      </c>
      <c r="J94" s="2">
        <v>0.0</v>
      </c>
      <c r="K94" s="2">
        <v>0.0</v>
      </c>
      <c r="L94" s="2">
        <v>0.0</v>
      </c>
    </row>
    <row r="95">
      <c r="A95" s="12">
        <v>45897.0</v>
      </c>
      <c r="B95" s="6" t="s">
        <v>63</v>
      </c>
      <c r="C95" s="2">
        <v>1.37</v>
      </c>
      <c r="D95" s="16">
        <f t="shared" si="3"/>
        <v>0</v>
      </c>
      <c r="E95" s="17">
        <f>D95/B1</f>
        <v>0</v>
      </c>
      <c r="F95" s="16">
        <f t="shared" si="4"/>
        <v>0</v>
      </c>
      <c r="G95" s="17">
        <f>F95/B2</f>
        <v>0</v>
      </c>
      <c r="H95" s="15">
        <f t="shared" si="5"/>
        <v>0</v>
      </c>
      <c r="I95" s="14">
        <f>H95/B3</f>
        <v>0</v>
      </c>
      <c r="J95" s="2">
        <v>0.0</v>
      </c>
      <c r="K95" s="2">
        <v>0.0</v>
      </c>
      <c r="L95" s="2">
        <v>0.0</v>
      </c>
    </row>
    <row r="96">
      <c r="A96" s="12">
        <v>45898.0</v>
      </c>
      <c r="B96" s="6" t="s">
        <v>61</v>
      </c>
      <c r="C96" s="2">
        <v>0.0</v>
      </c>
      <c r="D96" s="16">
        <f t="shared" si="3"/>
        <v>0</v>
      </c>
      <c r="E96" s="17">
        <f>D96/B1</f>
        <v>0</v>
      </c>
      <c r="F96" s="16">
        <f t="shared" si="4"/>
        <v>0</v>
      </c>
      <c r="G96" s="17">
        <f>F96/B2</f>
        <v>0</v>
      </c>
      <c r="H96" s="15">
        <f t="shared" si="5"/>
        <v>0</v>
      </c>
      <c r="I96" s="14">
        <f>H96/B3</f>
        <v>0</v>
      </c>
      <c r="J96" s="2">
        <v>0.0</v>
      </c>
      <c r="K96" s="2">
        <v>0.0</v>
      </c>
      <c r="L96" s="2">
        <v>0.0</v>
      </c>
    </row>
    <row r="97">
      <c r="A97" s="12">
        <v>45898.0</v>
      </c>
      <c r="B97" s="6" t="s">
        <v>62</v>
      </c>
      <c r="C97" s="2">
        <v>0.0</v>
      </c>
      <c r="D97" s="16">
        <f t="shared" si="3"/>
        <v>0</v>
      </c>
      <c r="E97" s="17">
        <f>D97/B1</f>
        <v>0</v>
      </c>
      <c r="F97" s="16">
        <f t="shared" si="4"/>
        <v>0</v>
      </c>
      <c r="G97" s="17">
        <f>F97/B2</f>
        <v>0</v>
      </c>
      <c r="H97" s="15">
        <f t="shared" si="5"/>
        <v>0</v>
      </c>
      <c r="I97" s="14">
        <f>H97/B3</f>
        <v>0</v>
      </c>
      <c r="J97" s="2">
        <v>0.0</v>
      </c>
      <c r="K97" s="2">
        <v>0.0</v>
      </c>
      <c r="L97" s="2">
        <v>0.0</v>
      </c>
    </row>
    <row r="98">
      <c r="A98" s="12">
        <v>45898.0</v>
      </c>
      <c r="B98" s="6" t="s">
        <v>63</v>
      </c>
      <c r="C98" s="2">
        <v>0.0</v>
      </c>
      <c r="D98" s="16">
        <f t="shared" si="3"/>
        <v>0</v>
      </c>
      <c r="E98" s="17">
        <f>D98/B1</f>
        <v>0</v>
      </c>
      <c r="F98" s="16">
        <f t="shared" si="4"/>
        <v>0</v>
      </c>
      <c r="G98" s="17">
        <f>F98/B2</f>
        <v>0</v>
      </c>
      <c r="H98" s="15">
        <f t="shared" si="5"/>
        <v>0</v>
      </c>
      <c r="I98" s="14">
        <f>H98/B3</f>
        <v>0</v>
      </c>
      <c r="J98" s="2">
        <v>0.0</v>
      </c>
      <c r="K98" s="2">
        <v>0.0</v>
      </c>
      <c r="L98" s="2">
        <v>0.0</v>
      </c>
    </row>
  </sheetData>
  <dataValidations>
    <dataValidation type="list" allowBlank="1" showErrorMessage="1" sqref="B6:B98">
      <formula1>"WW,FLA,MAC1+"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60.13"/>
    <col customWidth="1" min="2" max="2" width="22.63"/>
    <col customWidth="1" min="3" max="3" width="10.25"/>
    <col customWidth="1" min="4" max="4" width="17.0"/>
    <col customWidth="1" min="5" max="5" width="15.0"/>
    <col customWidth="1" min="6" max="6" width="17.0"/>
    <col customWidth="1" min="7" max="7" width="16.13"/>
    <col customWidth="1" min="8" max="9" width="16.38"/>
    <col customWidth="1" min="10" max="10" width="12.63"/>
    <col customWidth="1" min="11" max="11" width="14.88"/>
    <col customWidth="1" min="12" max="12" width="13.0"/>
  </cols>
  <sheetData>
    <row r="1">
      <c r="A1" s="1" t="s">
        <v>93</v>
      </c>
      <c r="B1" s="2">
        <v>20.0</v>
      </c>
      <c r="C1" s="2">
        <f>D98</f>
        <v>0</v>
      </c>
      <c r="D1" s="5">
        <f t="shared" ref="D1:D4" si="1">C1/B1</f>
        <v>0</v>
      </c>
      <c r="G1" s="1" t="s">
        <v>1</v>
      </c>
      <c r="H1" s="3">
        <f>IFERROR(__xludf.DUMMYFUNCTION("COUNTUNIQUE(A12:A89)"),26.0)</f>
        <v>26</v>
      </c>
      <c r="I1" s="3"/>
      <c r="J1" s="6"/>
      <c r="K1" s="3"/>
      <c r="L1" s="3"/>
      <c r="M1" s="7"/>
      <c r="N1" s="7"/>
    </row>
    <row r="2">
      <c r="A2" s="1" t="s">
        <v>94</v>
      </c>
      <c r="B2" s="2">
        <v>15.0</v>
      </c>
      <c r="C2" s="4">
        <f>F98</f>
        <v>0</v>
      </c>
      <c r="D2" s="5">
        <f t="shared" si="1"/>
        <v>0</v>
      </c>
      <c r="G2" s="1" t="s">
        <v>5</v>
      </c>
      <c r="H2" s="3">
        <f>(B1+B2+B3)/F4</f>
        <v>26</v>
      </c>
      <c r="I2" s="3"/>
      <c r="J2" s="3"/>
      <c r="K2" s="3"/>
      <c r="L2" s="3"/>
      <c r="M2" s="7"/>
      <c r="N2" s="7"/>
    </row>
    <row r="3">
      <c r="A3" s="1" t="s">
        <v>95</v>
      </c>
      <c r="B3" s="2">
        <v>10.0</v>
      </c>
      <c r="C3" s="4">
        <f>H98</f>
        <v>0</v>
      </c>
      <c r="D3" s="8">
        <f t="shared" si="1"/>
        <v>0</v>
      </c>
      <c r="E3" s="3"/>
      <c r="F3" s="6"/>
      <c r="G3" s="3"/>
      <c r="H3" s="3"/>
      <c r="I3" s="3"/>
      <c r="J3" s="3"/>
      <c r="K3" s="3"/>
      <c r="L3" s="3"/>
      <c r="M3" s="7"/>
      <c r="N3" s="7"/>
    </row>
    <row r="4">
      <c r="A4" s="3"/>
      <c r="B4" s="9">
        <f t="shared" ref="B4:C4" si="2">SUM(B1:B3)</f>
        <v>45</v>
      </c>
      <c r="C4" s="9">
        <f t="shared" si="2"/>
        <v>0</v>
      </c>
      <c r="D4" s="5">
        <f t="shared" si="1"/>
        <v>0</v>
      </c>
      <c r="E4" s="1" t="s">
        <v>7</v>
      </c>
      <c r="F4" s="3">
        <f>SUM(C12:C89)/H1</f>
        <v>1.730769231</v>
      </c>
      <c r="G4" s="3"/>
      <c r="H4" s="3"/>
      <c r="I4" s="3"/>
      <c r="J4" s="3"/>
      <c r="K4" s="3"/>
      <c r="L4" s="3"/>
      <c r="M4" s="7"/>
      <c r="N4" s="7"/>
    </row>
    <row r="5">
      <c r="A5" s="10" t="s">
        <v>8</v>
      </c>
      <c r="B5" s="10" t="s">
        <v>9</v>
      </c>
      <c r="C5" s="10" t="s">
        <v>10</v>
      </c>
      <c r="D5" s="10" t="s">
        <v>96</v>
      </c>
      <c r="E5" s="10" t="s">
        <v>96</v>
      </c>
      <c r="F5" s="10" t="s">
        <v>97</v>
      </c>
      <c r="G5" s="10" t="s">
        <v>97</v>
      </c>
      <c r="H5" s="10" t="s">
        <v>98</v>
      </c>
      <c r="I5" s="10" t="s">
        <v>98</v>
      </c>
      <c r="J5" s="10" t="s">
        <v>99</v>
      </c>
      <c r="K5" s="10" t="s">
        <v>100</v>
      </c>
      <c r="L5" s="10" t="s">
        <v>101</v>
      </c>
      <c r="M5" s="7"/>
      <c r="N5" s="7"/>
    </row>
    <row r="6">
      <c r="A6" s="12">
        <v>45897.0</v>
      </c>
      <c r="B6" s="6" t="s">
        <v>61</v>
      </c>
      <c r="C6" s="2">
        <v>0.0</v>
      </c>
      <c r="D6" s="4">
        <f>IF(B6="WW",B1-C6,B1)</f>
        <v>20</v>
      </c>
      <c r="E6" s="13">
        <f>D6/B1</f>
        <v>1</v>
      </c>
      <c r="F6" s="2">
        <f>IF(B6="FLA",B2-C6,B2)</f>
        <v>15</v>
      </c>
      <c r="G6" s="14">
        <f>F6/B2</f>
        <v>1</v>
      </c>
      <c r="H6" s="15">
        <f>IF(B6="MAC1+",B3-C6,B3)</f>
        <v>10</v>
      </c>
      <c r="I6" s="14">
        <f>H6/B3</f>
        <v>1</v>
      </c>
      <c r="J6" s="2">
        <v>0.0</v>
      </c>
      <c r="K6" s="2">
        <v>0.0</v>
      </c>
      <c r="L6" s="2">
        <v>0.0</v>
      </c>
      <c r="M6" s="7"/>
      <c r="N6" s="7"/>
    </row>
    <row r="7">
      <c r="A7" s="12">
        <v>45897.0</v>
      </c>
      <c r="B7" s="6" t="s">
        <v>62</v>
      </c>
      <c r="C7" s="2">
        <v>0.0</v>
      </c>
      <c r="D7" s="16">
        <f t="shared" ref="D7:D98" si="3">IF(B7="WW",D6-C7,D6)</f>
        <v>20</v>
      </c>
      <c r="E7" s="17">
        <f>D7/B1</f>
        <v>1</v>
      </c>
      <c r="F7" s="16">
        <f t="shared" ref="F7:F98" si="4">IF(B7="FLA",F6-C7,F6)</f>
        <v>15</v>
      </c>
      <c r="G7" s="17">
        <f>F7/B2</f>
        <v>1</v>
      </c>
      <c r="H7" s="15">
        <f t="shared" ref="H7:H98" si="5">IF(B7="MAC1+",H6-C7,H6)</f>
        <v>10</v>
      </c>
      <c r="I7" s="14">
        <f>H7/B3</f>
        <v>1</v>
      </c>
      <c r="J7" s="2">
        <v>0.0</v>
      </c>
      <c r="K7" s="2">
        <v>0.0</v>
      </c>
      <c r="L7" s="2">
        <v>0.0</v>
      </c>
      <c r="M7" s="7"/>
      <c r="N7" s="7"/>
    </row>
    <row r="8">
      <c r="A8" s="12">
        <v>45897.0</v>
      </c>
      <c r="B8" s="6" t="s">
        <v>63</v>
      </c>
      <c r="C8" s="2">
        <v>0.0</v>
      </c>
      <c r="D8" s="16">
        <f t="shared" si="3"/>
        <v>20</v>
      </c>
      <c r="E8" s="17">
        <f>D8/B1</f>
        <v>1</v>
      </c>
      <c r="F8" s="16">
        <f t="shared" si="4"/>
        <v>15</v>
      </c>
      <c r="G8" s="17">
        <f>F8/B2</f>
        <v>1</v>
      </c>
      <c r="H8" s="15">
        <f t="shared" si="5"/>
        <v>10</v>
      </c>
      <c r="I8" s="14">
        <f>H8/B3</f>
        <v>1</v>
      </c>
      <c r="J8" s="2">
        <v>0.0</v>
      </c>
      <c r="K8" s="2">
        <v>0.0</v>
      </c>
      <c r="L8" s="2">
        <v>0.0</v>
      </c>
      <c r="M8" s="7"/>
      <c r="N8" s="7"/>
    </row>
    <row r="9">
      <c r="A9" s="12">
        <v>45898.0</v>
      </c>
      <c r="B9" s="6" t="s">
        <v>61</v>
      </c>
      <c r="C9" s="2">
        <v>0.0</v>
      </c>
      <c r="D9" s="16">
        <f t="shared" si="3"/>
        <v>20</v>
      </c>
      <c r="E9" s="17">
        <f>D9/B1</f>
        <v>1</v>
      </c>
      <c r="F9" s="16">
        <f t="shared" si="4"/>
        <v>15</v>
      </c>
      <c r="G9" s="17">
        <f>F9/B2</f>
        <v>1</v>
      </c>
      <c r="H9" s="15">
        <f t="shared" si="5"/>
        <v>10</v>
      </c>
      <c r="I9" s="14">
        <f>H9/B3</f>
        <v>1</v>
      </c>
      <c r="J9" s="2">
        <v>0.0</v>
      </c>
      <c r="K9" s="2">
        <v>0.0</v>
      </c>
      <c r="L9" s="2">
        <v>0.0</v>
      </c>
      <c r="M9" s="7"/>
      <c r="N9" s="7"/>
    </row>
    <row r="10">
      <c r="A10" s="12">
        <v>45898.0</v>
      </c>
      <c r="B10" s="6" t="s">
        <v>62</v>
      </c>
      <c r="C10" s="2">
        <v>0.0</v>
      </c>
      <c r="D10" s="16">
        <f t="shared" si="3"/>
        <v>20</v>
      </c>
      <c r="E10" s="17">
        <f>D10/B1</f>
        <v>1</v>
      </c>
      <c r="F10" s="16">
        <f t="shared" si="4"/>
        <v>15</v>
      </c>
      <c r="G10" s="17">
        <f>F10/B2</f>
        <v>1</v>
      </c>
      <c r="H10" s="15">
        <f t="shared" si="5"/>
        <v>10</v>
      </c>
      <c r="I10" s="14">
        <f>H10/B3</f>
        <v>1</v>
      </c>
      <c r="J10" s="2">
        <v>0.0</v>
      </c>
      <c r="K10" s="2">
        <v>0.0</v>
      </c>
      <c r="L10" s="2">
        <v>0.0</v>
      </c>
      <c r="M10" s="7"/>
      <c r="N10" s="7"/>
    </row>
    <row r="11">
      <c r="A11" s="12">
        <v>45898.0</v>
      </c>
      <c r="B11" s="6" t="s">
        <v>63</v>
      </c>
      <c r="C11" s="2">
        <v>0.0</v>
      </c>
      <c r="D11" s="16">
        <f t="shared" si="3"/>
        <v>20</v>
      </c>
      <c r="E11" s="17">
        <f>D11/B1</f>
        <v>1</v>
      </c>
      <c r="F11" s="16">
        <f t="shared" si="4"/>
        <v>15</v>
      </c>
      <c r="G11" s="17">
        <f>F11/B2</f>
        <v>1</v>
      </c>
      <c r="H11" s="15">
        <f t="shared" si="5"/>
        <v>10</v>
      </c>
      <c r="I11" s="14">
        <f>H11/B3</f>
        <v>1</v>
      </c>
      <c r="J11" s="2">
        <v>0.0</v>
      </c>
      <c r="K11" s="2">
        <v>0.0</v>
      </c>
      <c r="L11" s="2">
        <v>0.0</v>
      </c>
      <c r="M11" s="7"/>
      <c r="N11" s="7"/>
    </row>
    <row r="12">
      <c r="A12" s="12">
        <v>45899.0</v>
      </c>
      <c r="B12" s="6" t="s">
        <v>61</v>
      </c>
      <c r="C12" s="2">
        <v>0.82</v>
      </c>
      <c r="D12" s="16">
        <f t="shared" si="3"/>
        <v>19.18</v>
      </c>
      <c r="E12" s="17">
        <f>D12/B1</f>
        <v>0.959</v>
      </c>
      <c r="F12" s="16">
        <f t="shared" si="4"/>
        <v>15</v>
      </c>
      <c r="G12" s="17">
        <f>F12/B2</f>
        <v>1</v>
      </c>
      <c r="H12" s="15">
        <f t="shared" si="5"/>
        <v>10</v>
      </c>
      <c r="I12" s="14">
        <f>H12/B3</f>
        <v>1</v>
      </c>
      <c r="J12" s="2">
        <v>0.0</v>
      </c>
      <c r="K12" s="2">
        <v>0.0</v>
      </c>
      <c r="L12" s="2">
        <v>0.0</v>
      </c>
      <c r="M12" s="7"/>
      <c r="N12" s="7"/>
    </row>
    <row r="13">
      <c r="A13" s="12">
        <v>45899.0</v>
      </c>
      <c r="B13" s="6" t="s">
        <v>62</v>
      </c>
      <c r="C13" s="2">
        <v>0.87</v>
      </c>
      <c r="D13" s="16">
        <f t="shared" si="3"/>
        <v>19.18</v>
      </c>
      <c r="E13" s="17">
        <f>D13/B1</f>
        <v>0.959</v>
      </c>
      <c r="F13" s="16">
        <f t="shared" si="4"/>
        <v>14.13</v>
      </c>
      <c r="G13" s="17">
        <f>F13/B2</f>
        <v>0.942</v>
      </c>
      <c r="H13" s="15">
        <f t="shared" si="5"/>
        <v>10</v>
      </c>
      <c r="I13" s="14">
        <f>H13/B3</f>
        <v>1</v>
      </c>
      <c r="J13" s="2">
        <v>0.0</v>
      </c>
      <c r="K13" s="2">
        <v>0.0</v>
      </c>
      <c r="L13" s="2">
        <v>0.0</v>
      </c>
      <c r="M13" s="7"/>
      <c r="N13" s="7"/>
    </row>
    <row r="14">
      <c r="A14" s="12">
        <v>45899.0</v>
      </c>
      <c r="B14" s="6" t="s">
        <v>63</v>
      </c>
      <c r="C14" s="2">
        <v>0.49</v>
      </c>
      <c r="D14" s="16">
        <f t="shared" si="3"/>
        <v>19.18</v>
      </c>
      <c r="E14" s="17">
        <f>D14/B1</f>
        <v>0.959</v>
      </c>
      <c r="F14" s="16">
        <f t="shared" si="4"/>
        <v>14.13</v>
      </c>
      <c r="G14" s="17">
        <f>F14/B2</f>
        <v>0.942</v>
      </c>
      <c r="H14" s="15">
        <f t="shared" si="5"/>
        <v>9.51</v>
      </c>
      <c r="I14" s="14">
        <f>H14/B3</f>
        <v>0.951</v>
      </c>
      <c r="J14" s="2">
        <v>0.0</v>
      </c>
      <c r="K14" s="2">
        <v>0.0</v>
      </c>
      <c r="L14" s="2">
        <v>0.0</v>
      </c>
      <c r="M14" s="7"/>
      <c r="N14" s="7"/>
    </row>
    <row r="15">
      <c r="A15" s="12">
        <v>45900.0</v>
      </c>
      <c r="B15" s="6" t="s">
        <v>61</v>
      </c>
      <c r="C15" s="2">
        <v>2.0</v>
      </c>
      <c r="D15" s="16">
        <f t="shared" si="3"/>
        <v>17.18</v>
      </c>
      <c r="E15" s="17">
        <f>D15/B1</f>
        <v>0.859</v>
      </c>
      <c r="F15" s="16">
        <f t="shared" si="4"/>
        <v>14.13</v>
      </c>
      <c r="G15" s="17">
        <f>F15/B2</f>
        <v>0.942</v>
      </c>
      <c r="H15" s="15">
        <f t="shared" si="5"/>
        <v>9.51</v>
      </c>
      <c r="I15" s="14">
        <f>H15/B3</f>
        <v>0.951</v>
      </c>
      <c r="J15" s="2">
        <v>0.0</v>
      </c>
      <c r="K15" s="2">
        <v>0.0</v>
      </c>
      <c r="L15" s="2">
        <v>0.0</v>
      </c>
      <c r="M15" s="7"/>
      <c r="N15" s="7"/>
    </row>
    <row r="16">
      <c r="A16" s="12">
        <v>45900.0</v>
      </c>
      <c r="B16" s="6" t="s">
        <v>62</v>
      </c>
      <c r="C16" s="2">
        <v>0.73</v>
      </c>
      <c r="D16" s="16">
        <f t="shared" si="3"/>
        <v>17.18</v>
      </c>
      <c r="E16" s="17">
        <f>D16/B1</f>
        <v>0.859</v>
      </c>
      <c r="F16" s="16">
        <f t="shared" si="4"/>
        <v>13.4</v>
      </c>
      <c r="G16" s="17">
        <f>F16/B2</f>
        <v>0.8933333333</v>
      </c>
      <c r="H16" s="15">
        <f t="shared" si="5"/>
        <v>9.51</v>
      </c>
      <c r="I16" s="14">
        <f>H16/B3</f>
        <v>0.951</v>
      </c>
      <c r="J16" s="2">
        <v>0.0</v>
      </c>
      <c r="K16" s="2">
        <v>0.0</v>
      </c>
      <c r="L16" s="2">
        <v>0.0</v>
      </c>
      <c r="M16" s="7"/>
      <c r="N16" s="7"/>
    </row>
    <row r="17">
      <c r="A17" s="12">
        <v>45900.0</v>
      </c>
      <c r="B17" s="6" t="s">
        <v>63</v>
      </c>
      <c r="C17" s="2">
        <v>0.0</v>
      </c>
      <c r="D17" s="16">
        <f t="shared" si="3"/>
        <v>17.18</v>
      </c>
      <c r="E17" s="17">
        <f>D17/B1</f>
        <v>0.859</v>
      </c>
      <c r="F17" s="16">
        <f t="shared" si="4"/>
        <v>13.4</v>
      </c>
      <c r="G17" s="17">
        <f>F17/B2</f>
        <v>0.8933333333</v>
      </c>
      <c r="H17" s="15">
        <f t="shared" si="5"/>
        <v>9.51</v>
      </c>
      <c r="I17" s="14">
        <f>H17/B3</f>
        <v>0.951</v>
      </c>
      <c r="J17" s="2">
        <v>0.0</v>
      </c>
      <c r="K17" s="2">
        <v>0.0</v>
      </c>
      <c r="L17" s="2">
        <v>0.0</v>
      </c>
      <c r="M17" s="7"/>
      <c r="N17" s="7"/>
    </row>
    <row r="18">
      <c r="A18" s="12">
        <v>45901.0</v>
      </c>
      <c r="B18" s="6" t="s">
        <v>61</v>
      </c>
      <c r="C18" s="2">
        <v>1.11</v>
      </c>
      <c r="D18" s="16">
        <f t="shared" si="3"/>
        <v>16.07</v>
      </c>
      <c r="E18" s="17">
        <f>D18/B1</f>
        <v>0.8035</v>
      </c>
      <c r="F18" s="16">
        <f t="shared" si="4"/>
        <v>13.4</v>
      </c>
      <c r="G18" s="17">
        <f>F18/B2</f>
        <v>0.8933333333</v>
      </c>
      <c r="H18" s="15">
        <f t="shared" si="5"/>
        <v>9.51</v>
      </c>
      <c r="I18" s="14">
        <f>H18/B3</f>
        <v>0.951</v>
      </c>
      <c r="J18" s="2">
        <v>0.0</v>
      </c>
      <c r="K18" s="2">
        <v>0.0</v>
      </c>
      <c r="L18" s="2">
        <v>0.0</v>
      </c>
      <c r="M18" s="7"/>
      <c r="N18" s="7"/>
    </row>
    <row r="19">
      <c r="A19" s="12">
        <v>45901.0</v>
      </c>
      <c r="B19" s="6" t="s">
        <v>62</v>
      </c>
      <c r="C19" s="2">
        <v>0.95</v>
      </c>
      <c r="D19" s="16">
        <f t="shared" si="3"/>
        <v>16.07</v>
      </c>
      <c r="E19" s="17">
        <f>D19/B1</f>
        <v>0.8035</v>
      </c>
      <c r="F19" s="16">
        <f t="shared" si="4"/>
        <v>12.45</v>
      </c>
      <c r="G19" s="17">
        <f>F19/B2</f>
        <v>0.83</v>
      </c>
      <c r="H19" s="15">
        <f t="shared" si="5"/>
        <v>9.51</v>
      </c>
      <c r="I19" s="14">
        <f>H19/B3</f>
        <v>0.951</v>
      </c>
      <c r="J19" s="2">
        <v>0.0</v>
      </c>
      <c r="K19" s="2">
        <v>0.0</v>
      </c>
      <c r="L19" s="2">
        <v>0.0</v>
      </c>
      <c r="M19" s="7"/>
      <c r="N19" s="7"/>
    </row>
    <row r="20">
      <c r="A20" s="12">
        <v>45901.0</v>
      </c>
      <c r="B20" s="6" t="s">
        <v>63</v>
      </c>
      <c r="C20" s="2">
        <v>0.0</v>
      </c>
      <c r="D20" s="16">
        <f t="shared" si="3"/>
        <v>16.07</v>
      </c>
      <c r="E20" s="17">
        <f>D20/B1</f>
        <v>0.8035</v>
      </c>
      <c r="F20" s="16">
        <f t="shared" si="4"/>
        <v>12.45</v>
      </c>
      <c r="G20" s="17">
        <f>F20/B2</f>
        <v>0.83</v>
      </c>
      <c r="H20" s="15">
        <f t="shared" si="5"/>
        <v>9.51</v>
      </c>
      <c r="I20" s="14">
        <f>H20/B3</f>
        <v>0.951</v>
      </c>
      <c r="J20" s="2">
        <v>0.0</v>
      </c>
      <c r="K20" s="2">
        <v>0.0</v>
      </c>
      <c r="L20" s="2">
        <v>0.0</v>
      </c>
      <c r="M20" s="7"/>
      <c r="N20" s="7"/>
    </row>
    <row r="21">
      <c r="A21" s="12">
        <v>45902.0</v>
      </c>
      <c r="B21" s="6" t="s">
        <v>61</v>
      </c>
      <c r="C21" s="2">
        <v>1.04</v>
      </c>
      <c r="D21" s="16">
        <f t="shared" si="3"/>
        <v>15.03</v>
      </c>
      <c r="E21" s="17">
        <f>D21/B1</f>
        <v>0.7515</v>
      </c>
      <c r="F21" s="16">
        <f t="shared" si="4"/>
        <v>12.45</v>
      </c>
      <c r="G21" s="17">
        <f>F21/B2</f>
        <v>0.83</v>
      </c>
      <c r="H21" s="15">
        <f t="shared" si="5"/>
        <v>9.51</v>
      </c>
      <c r="I21" s="14">
        <f>H21/B3</f>
        <v>0.951</v>
      </c>
      <c r="J21" s="2">
        <v>0.0</v>
      </c>
      <c r="K21" s="2">
        <v>0.0</v>
      </c>
      <c r="L21" s="2">
        <v>0.0</v>
      </c>
      <c r="M21" s="7"/>
      <c r="N21" s="7"/>
    </row>
    <row r="22">
      <c r="A22" s="12">
        <v>45902.0</v>
      </c>
      <c r="B22" s="6" t="s">
        <v>62</v>
      </c>
      <c r="C22" s="2">
        <v>0.82</v>
      </c>
      <c r="D22" s="16">
        <f t="shared" si="3"/>
        <v>15.03</v>
      </c>
      <c r="E22" s="17">
        <f>D22/B1</f>
        <v>0.7515</v>
      </c>
      <c r="F22" s="16">
        <f t="shared" si="4"/>
        <v>11.63</v>
      </c>
      <c r="G22" s="17">
        <f>F22/B2</f>
        <v>0.7753333333</v>
      </c>
      <c r="H22" s="15">
        <f t="shared" si="5"/>
        <v>9.51</v>
      </c>
      <c r="I22" s="14">
        <f>H22/B3</f>
        <v>0.951</v>
      </c>
      <c r="J22" s="2">
        <v>0.0</v>
      </c>
      <c r="K22" s="2">
        <v>0.0</v>
      </c>
      <c r="L22" s="2">
        <v>0.0</v>
      </c>
      <c r="M22" s="7"/>
      <c r="N22" s="7"/>
    </row>
    <row r="23">
      <c r="A23" s="12">
        <v>45902.0</v>
      </c>
      <c r="B23" s="6" t="s">
        <v>63</v>
      </c>
      <c r="C23" s="2">
        <v>0.57</v>
      </c>
      <c r="D23" s="16">
        <f t="shared" si="3"/>
        <v>15.03</v>
      </c>
      <c r="E23" s="17">
        <f>D23/B1</f>
        <v>0.7515</v>
      </c>
      <c r="F23" s="16">
        <f t="shared" si="4"/>
        <v>11.63</v>
      </c>
      <c r="G23" s="17">
        <f>F23/B2</f>
        <v>0.7753333333</v>
      </c>
      <c r="H23" s="15">
        <f t="shared" si="5"/>
        <v>8.94</v>
      </c>
      <c r="I23" s="14">
        <f>H23/B3</f>
        <v>0.894</v>
      </c>
      <c r="J23" s="2">
        <v>0.0</v>
      </c>
      <c r="K23" s="2">
        <v>0.0</v>
      </c>
      <c r="L23" s="2">
        <v>0.0</v>
      </c>
      <c r="M23" s="7"/>
      <c r="N23" s="7"/>
    </row>
    <row r="24">
      <c r="A24" s="12">
        <v>45903.0</v>
      </c>
      <c r="B24" s="6" t="s">
        <v>61</v>
      </c>
      <c r="C24" s="2">
        <v>1.0</v>
      </c>
      <c r="D24" s="16">
        <f t="shared" si="3"/>
        <v>14.03</v>
      </c>
      <c r="E24" s="17">
        <f>D24/B1</f>
        <v>0.7015</v>
      </c>
      <c r="F24" s="16">
        <f t="shared" si="4"/>
        <v>11.63</v>
      </c>
      <c r="G24" s="17">
        <f>F24/B2</f>
        <v>0.7753333333</v>
      </c>
      <c r="H24" s="15">
        <f t="shared" si="5"/>
        <v>8.94</v>
      </c>
      <c r="I24" s="14">
        <f>H24/B3</f>
        <v>0.894</v>
      </c>
      <c r="J24" s="2">
        <v>0.0</v>
      </c>
      <c r="K24" s="2">
        <v>0.0</v>
      </c>
      <c r="L24" s="2">
        <v>0.0</v>
      </c>
      <c r="M24" s="7"/>
      <c r="N24" s="7"/>
    </row>
    <row r="25">
      <c r="A25" s="12">
        <v>45903.0</v>
      </c>
      <c r="B25" s="6" t="s">
        <v>62</v>
      </c>
      <c r="C25" s="2">
        <v>1.0</v>
      </c>
      <c r="D25" s="16">
        <f t="shared" si="3"/>
        <v>14.03</v>
      </c>
      <c r="E25" s="17">
        <f>D25/B1</f>
        <v>0.7015</v>
      </c>
      <c r="F25" s="16">
        <f t="shared" si="4"/>
        <v>10.63</v>
      </c>
      <c r="G25" s="17">
        <f>F25/B2</f>
        <v>0.7086666667</v>
      </c>
      <c r="H25" s="15">
        <f t="shared" si="5"/>
        <v>8.94</v>
      </c>
      <c r="I25" s="14">
        <f>H25/B3</f>
        <v>0.894</v>
      </c>
      <c r="J25" s="2">
        <v>0.0</v>
      </c>
      <c r="K25" s="2">
        <v>0.0</v>
      </c>
      <c r="L25" s="2">
        <v>0.0</v>
      </c>
      <c r="M25" s="7"/>
      <c r="N25" s="7"/>
    </row>
    <row r="26">
      <c r="A26" s="12">
        <v>45903.0</v>
      </c>
      <c r="B26" s="6" t="s">
        <v>63</v>
      </c>
      <c r="C26" s="2">
        <v>0.0</v>
      </c>
      <c r="D26" s="16">
        <f t="shared" si="3"/>
        <v>14.03</v>
      </c>
      <c r="E26" s="17">
        <f>D26/B1</f>
        <v>0.7015</v>
      </c>
      <c r="F26" s="16">
        <f t="shared" si="4"/>
        <v>10.63</v>
      </c>
      <c r="G26" s="17">
        <f>F26/B2</f>
        <v>0.7086666667</v>
      </c>
      <c r="H26" s="15">
        <f t="shared" si="5"/>
        <v>8.94</v>
      </c>
      <c r="I26" s="14">
        <f>H26/B3</f>
        <v>0.894</v>
      </c>
      <c r="J26" s="2">
        <v>0.0</v>
      </c>
      <c r="K26" s="2">
        <v>0.0</v>
      </c>
      <c r="L26" s="2">
        <v>0.0</v>
      </c>
      <c r="M26" s="7"/>
      <c r="N26" s="7"/>
    </row>
    <row r="27">
      <c r="A27" s="12">
        <v>45904.0</v>
      </c>
      <c r="B27" s="6" t="s">
        <v>61</v>
      </c>
      <c r="C27" s="2">
        <v>0.0</v>
      </c>
      <c r="D27" s="16">
        <f t="shared" si="3"/>
        <v>14.03</v>
      </c>
      <c r="E27" s="17">
        <f>D27/B1</f>
        <v>0.7015</v>
      </c>
      <c r="F27" s="16">
        <f t="shared" si="4"/>
        <v>10.63</v>
      </c>
      <c r="G27" s="17">
        <f>F27/B2</f>
        <v>0.7086666667</v>
      </c>
      <c r="H27" s="15">
        <f t="shared" si="5"/>
        <v>8.94</v>
      </c>
      <c r="I27" s="14">
        <f>H27/B3</f>
        <v>0.894</v>
      </c>
      <c r="J27" s="2">
        <v>0.0</v>
      </c>
      <c r="K27" s="2">
        <v>0.0</v>
      </c>
      <c r="L27" s="2">
        <v>0.0</v>
      </c>
      <c r="M27" s="7"/>
      <c r="N27" s="7"/>
    </row>
    <row r="28">
      <c r="A28" s="12">
        <v>45904.0</v>
      </c>
      <c r="B28" s="6" t="s">
        <v>62</v>
      </c>
      <c r="C28" s="2">
        <v>0.0</v>
      </c>
      <c r="D28" s="16">
        <f t="shared" si="3"/>
        <v>14.03</v>
      </c>
      <c r="E28" s="17">
        <f>D28/B1</f>
        <v>0.7015</v>
      </c>
      <c r="F28" s="16">
        <f t="shared" si="4"/>
        <v>10.63</v>
      </c>
      <c r="G28" s="17">
        <f>F28/B2</f>
        <v>0.7086666667</v>
      </c>
      <c r="H28" s="15">
        <f t="shared" si="5"/>
        <v>8.94</v>
      </c>
      <c r="I28" s="14">
        <f>H28/B3</f>
        <v>0.894</v>
      </c>
      <c r="J28" s="2">
        <v>0.0</v>
      </c>
      <c r="K28" s="2">
        <v>0.0</v>
      </c>
      <c r="L28" s="2">
        <v>0.0</v>
      </c>
      <c r="M28" s="7"/>
      <c r="N28" s="7"/>
    </row>
    <row r="29">
      <c r="A29" s="12">
        <v>45904.0</v>
      </c>
      <c r="B29" s="6" t="s">
        <v>63</v>
      </c>
      <c r="C29" s="2">
        <v>0.0</v>
      </c>
      <c r="D29" s="16">
        <f t="shared" si="3"/>
        <v>14.03</v>
      </c>
      <c r="E29" s="17">
        <f>D29/B1</f>
        <v>0.7015</v>
      </c>
      <c r="F29" s="16">
        <f t="shared" si="4"/>
        <v>10.63</v>
      </c>
      <c r="G29" s="17">
        <f>F29/B2</f>
        <v>0.7086666667</v>
      </c>
      <c r="H29" s="15">
        <f t="shared" si="5"/>
        <v>8.94</v>
      </c>
      <c r="I29" s="14">
        <f>H29/B3</f>
        <v>0.894</v>
      </c>
      <c r="J29" s="2">
        <v>0.0</v>
      </c>
      <c r="K29" s="2">
        <v>0.0</v>
      </c>
      <c r="L29" s="2">
        <v>0.0</v>
      </c>
      <c r="M29" s="7"/>
      <c r="N29" s="7"/>
    </row>
    <row r="30">
      <c r="A30" s="12">
        <v>45905.0</v>
      </c>
      <c r="B30" s="6" t="s">
        <v>61</v>
      </c>
      <c r="C30" s="2">
        <v>1.09</v>
      </c>
      <c r="D30" s="16">
        <f t="shared" si="3"/>
        <v>12.94</v>
      </c>
      <c r="E30" s="17">
        <f>D30/B1</f>
        <v>0.647</v>
      </c>
      <c r="F30" s="16">
        <f t="shared" si="4"/>
        <v>10.63</v>
      </c>
      <c r="G30" s="17">
        <f>F30/B2</f>
        <v>0.7086666667</v>
      </c>
      <c r="H30" s="15">
        <f t="shared" si="5"/>
        <v>8.94</v>
      </c>
      <c r="I30" s="14">
        <f>H30/B3</f>
        <v>0.894</v>
      </c>
      <c r="J30" s="2">
        <v>0.0</v>
      </c>
      <c r="K30" s="2">
        <v>0.0</v>
      </c>
      <c r="L30" s="2">
        <v>0.0</v>
      </c>
      <c r="M30" s="7"/>
      <c r="N30" s="7"/>
    </row>
    <row r="31">
      <c r="A31" s="12">
        <v>45905.0</v>
      </c>
      <c r="B31" s="6" t="s">
        <v>62</v>
      </c>
      <c r="C31" s="2">
        <v>0.94</v>
      </c>
      <c r="D31" s="16">
        <f t="shared" si="3"/>
        <v>12.94</v>
      </c>
      <c r="E31" s="17">
        <f>D31/B1</f>
        <v>0.647</v>
      </c>
      <c r="F31" s="16">
        <f t="shared" si="4"/>
        <v>9.69</v>
      </c>
      <c r="G31" s="17">
        <f>F31/B2</f>
        <v>0.646</v>
      </c>
      <c r="H31" s="15">
        <f t="shared" si="5"/>
        <v>8.94</v>
      </c>
      <c r="I31" s="14">
        <f>H31/B3</f>
        <v>0.894</v>
      </c>
      <c r="J31" s="2">
        <v>0.0</v>
      </c>
      <c r="K31" s="2">
        <v>0.0</v>
      </c>
      <c r="L31" s="2">
        <v>0.0</v>
      </c>
      <c r="M31" s="7"/>
      <c r="N31" s="7"/>
    </row>
    <row r="32">
      <c r="A32" s="12">
        <v>45905.0</v>
      </c>
      <c r="B32" s="6" t="s">
        <v>63</v>
      </c>
      <c r="C32" s="2">
        <v>0.63</v>
      </c>
      <c r="D32" s="16">
        <f t="shared" si="3"/>
        <v>12.94</v>
      </c>
      <c r="E32" s="17">
        <f>D32/B1</f>
        <v>0.647</v>
      </c>
      <c r="F32" s="16">
        <f t="shared" si="4"/>
        <v>9.69</v>
      </c>
      <c r="G32" s="17">
        <f>F32/B2</f>
        <v>0.646</v>
      </c>
      <c r="H32" s="15">
        <f t="shared" si="5"/>
        <v>8.31</v>
      </c>
      <c r="I32" s="14">
        <f>H32/B3</f>
        <v>0.831</v>
      </c>
      <c r="J32" s="2">
        <v>0.0</v>
      </c>
      <c r="K32" s="2">
        <v>0.0</v>
      </c>
      <c r="L32" s="2">
        <v>0.0</v>
      </c>
      <c r="M32" s="7"/>
      <c r="N32" s="7"/>
    </row>
    <row r="33">
      <c r="A33" s="12">
        <v>45906.0</v>
      </c>
      <c r="B33" s="6" t="s">
        <v>61</v>
      </c>
      <c r="C33" s="2">
        <v>1.07</v>
      </c>
      <c r="D33" s="16">
        <f t="shared" si="3"/>
        <v>11.87</v>
      </c>
      <c r="E33" s="17">
        <f>D33/B1</f>
        <v>0.5935</v>
      </c>
      <c r="F33" s="16">
        <f t="shared" si="4"/>
        <v>9.69</v>
      </c>
      <c r="G33" s="17">
        <f>F33/B2</f>
        <v>0.646</v>
      </c>
      <c r="H33" s="15">
        <f t="shared" si="5"/>
        <v>8.31</v>
      </c>
      <c r="I33" s="14">
        <f>H33/B3</f>
        <v>0.831</v>
      </c>
      <c r="J33" s="2">
        <v>0.0</v>
      </c>
      <c r="K33" s="2">
        <v>0.0</v>
      </c>
      <c r="L33" s="2">
        <v>0.0</v>
      </c>
      <c r="M33" s="7"/>
      <c r="N33" s="7"/>
    </row>
    <row r="34">
      <c r="A34" s="12">
        <v>45906.0</v>
      </c>
      <c r="B34" s="6" t="s">
        <v>62</v>
      </c>
      <c r="C34" s="2">
        <v>0.89</v>
      </c>
      <c r="D34" s="16">
        <f t="shared" si="3"/>
        <v>11.87</v>
      </c>
      <c r="E34" s="17">
        <f>D34/B1</f>
        <v>0.5935</v>
      </c>
      <c r="F34" s="16">
        <f t="shared" si="4"/>
        <v>8.8</v>
      </c>
      <c r="G34" s="17">
        <f>F34/B2</f>
        <v>0.5866666667</v>
      </c>
      <c r="H34" s="15">
        <f t="shared" si="5"/>
        <v>8.31</v>
      </c>
      <c r="I34" s="14">
        <f>H34/B3</f>
        <v>0.831</v>
      </c>
      <c r="J34" s="2">
        <v>0.0</v>
      </c>
      <c r="K34" s="2">
        <v>0.0</v>
      </c>
      <c r="L34" s="2">
        <v>0.0</v>
      </c>
      <c r="M34" s="7"/>
      <c r="N34" s="7"/>
    </row>
    <row r="35">
      <c r="A35" s="12">
        <v>45906.0</v>
      </c>
      <c r="B35" s="6" t="s">
        <v>63</v>
      </c>
      <c r="C35" s="2">
        <v>0.0</v>
      </c>
      <c r="D35" s="16">
        <f t="shared" si="3"/>
        <v>11.87</v>
      </c>
      <c r="E35" s="17">
        <f>D35/B1</f>
        <v>0.5935</v>
      </c>
      <c r="F35" s="16">
        <f t="shared" si="4"/>
        <v>8.8</v>
      </c>
      <c r="G35" s="17">
        <f>F35/B2</f>
        <v>0.5866666667</v>
      </c>
      <c r="H35" s="15">
        <f t="shared" si="5"/>
        <v>8.31</v>
      </c>
      <c r="I35" s="14">
        <f>H35/B3</f>
        <v>0.831</v>
      </c>
      <c r="J35" s="2">
        <v>0.0</v>
      </c>
      <c r="K35" s="2">
        <v>0.0</v>
      </c>
      <c r="L35" s="2">
        <v>0.0</v>
      </c>
      <c r="M35" s="7"/>
      <c r="N35" s="7"/>
    </row>
    <row r="36">
      <c r="A36" s="12">
        <v>45907.0</v>
      </c>
      <c r="B36" s="6" t="s">
        <v>61</v>
      </c>
      <c r="C36" s="2">
        <v>0.92</v>
      </c>
      <c r="D36" s="16">
        <f t="shared" si="3"/>
        <v>10.95</v>
      </c>
      <c r="E36" s="17">
        <f>D36/B1</f>
        <v>0.5475</v>
      </c>
      <c r="F36" s="16">
        <f t="shared" si="4"/>
        <v>8.8</v>
      </c>
      <c r="G36" s="17">
        <f>F36/B2</f>
        <v>0.5866666667</v>
      </c>
      <c r="H36" s="15">
        <f t="shared" si="5"/>
        <v>8.31</v>
      </c>
      <c r="I36" s="14">
        <f>H36/B3</f>
        <v>0.831</v>
      </c>
      <c r="J36" s="2">
        <v>0.0</v>
      </c>
      <c r="K36" s="2">
        <v>0.0</v>
      </c>
      <c r="L36" s="2">
        <v>0.0</v>
      </c>
      <c r="M36" s="7"/>
      <c r="N36" s="7"/>
    </row>
    <row r="37">
      <c r="A37" s="12">
        <v>45907.0</v>
      </c>
      <c r="B37" s="6" t="s">
        <v>62</v>
      </c>
      <c r="C37" s="2">
        <v>0.93</v>
      </c>
      <c r="D37" s="16">
        <f t="shared" si="3"/>
        <v>10.95</v>
      </c>
      <c r="E37" s="17">
        <f>D37/B1</f>
        <v>0.5475</v>
      </c>
      <c r="F37" s="16">
        <f t="shared" si="4"/>
        <v>7.87</v>
      </c>
      <c r="G37" s="17">
        <f>F37/B2</f>
        <v>0.5246666667</v>
      </c>
      <c r="H37" s="15">
        <f t="shared" si="5"/>
        <v>8.31</v>
      </c>
      <c r="I37" s="14">
        <f>H37/B3</f>
        <v>0.831</v>
      </c>
      <c r="J37" s="2">
        <v>0.0</v>
      </c>
      <c r="K37" s="2">
        <v>0.0</v>
      </c>
      <c r="L37" s="2">
        <v>0.0</v>
      </c>
      <c r="M37" s="7"/>
      <c r="N37" s="7"/>
    </row>
    <row r="38">
      <c r="A38" s="12">
        <v>45907.0</v>
      </c>
      <c r="B38" s="6" t="s">
        <v>63</v>
      </c>
      <c r="C38" s="2">
        <v>0.0</v>
      </c>
      <c r="D38" s="16">
        <f t="shared" si="3"/>
        <v>10.95</v>
      </c>
      <c r="E38" s="17">
        <f>D38/B1</f>
        <v>0.5475</v>
      </c>
      <c r="F38" s="16">
        <f t="shared" si="4"/>
        <v>7.87</v>
      </c>
      <c r="G38" s="17">
        <f>F38/B2</f>
        <v>0.5246666667</v>
      </c>
      <c r="H38" s="15">
        <f t="shared" si="5"/>
        <v>8.31</v>
      </c>
      <c r="I38" s="14">
        <f>H38/B3</f>
        <v>0.831</v>
      </c>
      <c r="J38" s="2">
        <v>0.0</v>
      </c>
      <c r="K38" s="2">
        <v>0.0</v>
      </c>
      <c r="L38" s="2">
        <v>0.0</v>
      </c>
      <c r="M38" s="7"/>
      <c r="N38" s="7"/>
    </row>
    <row r="39">
      <c r="A39" s="12">
        <v>45908.0</v>
      </c>
      <c r="B39" s="6" t="s">
        <v>61</v>
      </c>
      <c r="C39" s="2">
        <v>0.0</v>
      </c>
      <c r="D39" s="16">
        <f t="shared" si="3"/>
        <v>10.95</v>
      </c>
      <c r="E39" s="17">
        <f>D39/B1</f>
        <v>0.5475</v>
      </c>
      <c r="F39" s="16">
        <f t="shared" si="4"/>
        <v>7.87</v>
      </c>
      <c r="G39" s="17">
        <f>F39/B2</f>
        <v>0.5246666667</v>
      </c>
      <c r="H39" s="15">
        <f t="shared" si="5"/>
        <v>8.31</v>
      </c>
      <c r="I39" s="14">
        <f>H39/B3</f>
        <v>0.831</v>
      </c>
      <c r="J39" s="2">
        <v>0.0</v>
      </c>
      <c r="K39" s="2">
        <v>0.0</v>
      </c>
      <c r="L39" s="2">
        <v>0.0</v>
      </c>
      <c r="M39" s="7"/>
      <c r="N39" s="7"/>
    </row>
    <row r="40">
      <c r="A40" s="12">
        <v>45908.0</v>
      </c>
      <c r="B40" s="6" t="s">
        <v>62</v>
      </c>
      <c r="C40" s="2">
        <v>0.67</v>
      </c>
      <c r="D40" s="16">
        <f t="shared" si="3"/>
        <v>10.95</v>
      </c>
      <c r="E40" s="17">
        <f>D40/B1</f>
        <v>0.5475</v>
      </c>
      <c r="F40" s="16">
        <f t="shared" si="4"/>
        <v>7.2</v>
      </c>
      <c r="G40" s="17">
        <f>F40/B2</f>
        <v>0.48</v>
      </c>
      <c r="H40" s="15">
        <f t="shared" si="5"/>
        <v>8.31</v>
      </c>
      <c r="I40" s="14">
        <f>H40/B3</f>
        <v>0.831</v>
      </c>
      <c r="J40" s="2">
        <v>0.0</v>
      </c>
      <c r="K40" s="2">
        <v>0.0</v>
      </c>
      <c r="L40" s="2">
        <v>0.0</v>
      </c>
      <c r="M40" s="7"/>
      <c r="N40" s="7"/>
    </row>
    <row r="41">
      <c r="A41" s="12">
        <v>45908.0</v>
      </c>
      <c r="B41" s="6" t="s">
        <v>63</v>
      </c>
      <c r="C41" s="2">
        <v>0.84</v>
      </c>
      <c r="D41" s="16">
        <f t="shared" si="3"/>
        <v>10.95</v>
      </c>
      <c r="E41" s="17">
        <f>D41/B1</f>
        <v>0.5475</v>
      </c>
      <c r="F41" s="16">
        <f t="shared" si="4"/>
        <v>7.2</v>
      </c>
      <c r="G41" s="17">
        <f>F41/B2</f>
        <v>0.48</v>
      </c>
      <c r="H41" s="15">
        <f t="shared" si="5"/>
        <v>7.47</v>
      </c>
      <c r="I41" s="14">
        <f>H41/B3</f>
        <v>0.747</v>
      </c>
      <c r="J41" s="2">
        <v>0.0</v>
      </c>
      <c r="K41" s="2">
        <v>0.0</v>
      </c>
      <c r="L41" s="2">
        <v>0.0</v>
      </c>
      <c r="M41" s="7"/>
      <c r="N41" s="7"/>
    </row>
    <row r="42">
      <c r="A42" s="12">
        <v>45909.0</v>
      </c>
      <c r="B42" s="6" t="s">
        <v>61</v>
      </c>
      <c r="C42" s="2">
        <v>0.95</v>
      </c>
      <c r="D42" s="16">
        <f t="shared" si="3"/>
        <v>10</v>
      </c>
      <c r="E42" s="17">
        <f>D42/B1</f>
        <v>0.5</v>
      </c>
      <c r="F42" s="16">
        <f t="shared" si="4"/>
        <v>7.2</v>
      </c>
      <c r="G42" s="17">
        <f>F42/B2</f>
        <v>0.48</v>
      </c>
      <c r="H42" s="15">
        <f t="shared" si="5"/>
        <v>7.47</v>
      </c>
      <c r="I42" s="14">
        <f>H42/B3</f>
        <v>0.747</v>
      </c>
      <c r="J42" s="2">
        <v>0.0</v>
      </c>
      <c r="K42" s="2">
        <v>0.0</v>
      </c>
      <c r="L42" s="2">
        <v>0.0</v>
      </c>
      <c r="M42" s="7"/>
      <c r="N42" s="7"/>
    </row>
    <row r="43">
      <c r="A43" s="12">
        <v>45909.0</v>
      </c>
      <c r="B43" s="6" t="s">
        <v>62</v>
      </c>
      <c r="C43" s="2">
        <v>1.06</v>
      </c>
      <c r="D43" s="16">
        <f t="shared" si="3"/>
        <v>10</v>
      </c>
      <c r="E43" s="17">
        <f>D43/B1</f>
        <v>0.5</v>
      </c>
      <c r="F43" s="16">
        <f t="shared" si="4"/>
        <v>6.14</v>
      </c>
      <c r="G43" s="17">
        <f>F43/B2</f>
        <v>0.4093333333</v>
      </c>
      <c r="H43" s="15">
        <f t="shared" si="5"/>
        <v>7.47</v>
      </c>
      <c r="I43" s="14">
        <f>H43/B3</f>
        <v>0.747</v>
      </c>
      <c r="J43" s="2">
        <v>0.0</v>
      </c>
      <c r="K43" s="2">
        <v>0.0</v>
      </c>
      <c r="L43" s="2">
        <v>0.0</v>
      </c>
      <c r="M43" s="7"/>
      <c r="N43" s="7"/>
    </row>
    <row r="44">
      <c r="A44" s="12">
        <v>45909.0</v>
      </c>
      <c r="B44" s="6" t="s">
        <v>63</v>
      </c>
      <c r="C44" s="2">
        <v>0.82</v>
      </c>
      <c r="D44" s="16">
        <f t="shared" si="3"/>
        <v>10</v>
      </c>
      <c r="E44" s="17">
        <f>D44/B1</f>
        <v>0.5</v>
      </c>
      <c r="F44" s="16">
        <f t="shared" si="4"/>
        <v>6.14</v>
      </c>
      <c r="G44" s="17">
        <f>F44/B2</f>
        <v>0.4093333333</v>
      </c>
      <c r="H44" s="15">
        <f t="shared" si="5"/>
        <v>6.65</v>
      </c>
      <c r="I44" s="14">
        <f>H44/B3</f>
        <v>0.665</v>
      </c>
      <c r="J44" s="2">
        <v>0.0</v>
      </c>
      <c r="K44" s="2">
        <v>0.0</v>
      </c>
      <c r="L44" s="2">
        <v>0.0</v>
      </c>
      <c r="M44" s="7"/>
      <c r="N44" s="7"/>
    </row>
    <row r="45">
      <c r="A45" s="12">
        <v>45910.0</v>
      </c>
      <c r="B45" s="6" t="s">
        <v>61</v>
      </c>
      <c r="C45" s="2">
        <v>0.0</v>
      </c>
      <c r="D45" s="16">
        <f t="shared" si="3"/>
        <v>10</v>
      </c>
      <c r="E45" s="17">
        <f>D45/B1</f>
        <v>0.5</v>
      </c>
      <c r="F45" s="16">
        <f t="shared" si="4"/>
        <v>6.14</v>
      </c>
      <c r="G45" s="17">
        <f>F45/B2</f>
        <v>0.4093333333</v>
      </c>
      <c r="H45" s="15">
        <f t="shared" si="5"/>
        <v>6.65</v>
      </c>
      <c r="I45" s="14">
        <f>H45/B3</f>
        <v>0.665</v>
      </c>
      <c r="J45" s="2">
        <v>0.0</v>
      </c>
      <c r="K45" s="2">
        <v>0.0</v>
      </c>
      <c r="L45" s="2">
        <v>0.0</v>
      </c>
      <c r="M45" s="7"/>
      <c r="N45" s="7"/>
    </row>
    <row r="46">
      <c r="A46" s="12">
        <v>45910.0</v>
      </c>
      <c r="B46" s="6" t="s">
        <v>62</v>
      </c>
      <c r="C46" s="2">
        <v>0.0</v>
      </c>
      <c r="D46" s="16">
        <f t="shared" si="3"/>
        <v>10</v>
      </c>
      <c r="E46" s="17">
        <f>D46/B1</f>
        <v>0.5</v>
      </c>
      <c r="F46" s="16">
        <f t="shared" si="4"/>
        <v>6.14</v>
      </c>
      <c r="G46" s="17">
        <f>F46/B2</f>
        <v>0.4093333333</v>
      </c>
      <c r="H46" s="15">
        <f t="shared" si="5"/>
        <v>6.65</v>
      </c>
      <c r="I46" s="14">
        <f>H46/B3</f>
        <v>0.665</v>
      </c>
      <c r="J46" s="2">
        <v>0.0</v>
      </c>
      <c r="K46" s="2">
        <v>0.0</v>
      </c>
      <c r="L46" s="2">
        <v>0.0</v>
      </c>
      <c r="M46" s="7"/>
      <c r="N46" s="7"/>
    </row>
    <row r="47">
      <c r="A47" s="12">
        <v>45910.0</v>
      </c>
      <c r="B47" s="6" t="s">
        <v>63</v>
      </c>
      <c r="C47" s="2">
        <v>0.0</v>
      </c>
      <c r="D47" s="16">
        <f t="shared" si="3"/>
        <v>10</v>
      </c>
      <c r="E47" s="17">
        <f>D47/B1</f>
        <v>0.5</v>
      </c>
      <c r="F47" s="16">
        <f t="shared" si="4"/>
        <v>6.14</v>
      </c>
      <c r="G47" s="17">
        <f>F47/B2</f>
        <v>0.4093333333</v>
      </c>
      <c r="H47" s="15">
        <f t="shared" si="5"/>
        <v>6.65</v>
      </c>
      <c r="I47" s="14">
        <f>H47/B3</f>
        <v>0.665</v>
      </c>
      <c r="J47" s="2">
        <v>0.0</v>
      </c>
      <c r="K47" s="2">
        <v>0.0</v>
      </c>
      <c r="L47" s="2">
        <v>0.0</v>
      </c>
      <c r="M47" s="7"/>
      <c r="N47" s="7"/>
    </row>
    <row r="48">
      <c r="A48" s="12">
        <v>45911.0</v>
      </c>
      <c r="B48" s="6" t="s">
        <v>61</v>
      </c>
      <c r="C48" s="2">
        <v>1.01</v>
      </c>
      <c r="D48" s="16">
        <f t="shared" si="3"/>
        <v>8.99</v>
      </c>
      <c r="E48" s="17">
        <f>D48/B1</f>
        <v>0.4495</v>
      </c>
      <c r="F48" s="16">
        <f t="shared" si="4"/>
        <v>6.14</v>
      </c>
      <c r="G48" s="17">
        <f>F48/B2</f>
        <v>0.4093333333</v>
      </c>
      <c r="H48" s="15">
        <f t="shared" si="5"/>
        <v>6.65</v>
      </c>
      <c r="I48" s="14">
        <f>H48/B3</f>
        <v>0.665</v>
      </c>
      <c r="J48" s="2">
        <v>0.0</v>
      </c>
      <c r="K48" s="2">
        <v>0.0</v>
      </c>
      <c r="L48" s="2">
        <v>0.0</v>
      </c>
      <c r="M48" s="7"/>
      <c r="N48" s="7"/>
    </row>
    <row r="49">
      <c r="A49" s="12">
        <v>45911.0</v>
      </c>
      <c r="B49" s="6" t="s">
        <v>62</v>
      </c>
      <c r="C49" s="2">
        <v>0.85</v>
      </c>
      <c r="D49" s="16">
        <f t="shared" si="3"/>
        <v>8.99</v>
      </c>
      <c r="E49" s="17">
        <f>D49/B1</f>
        <v>0.4495</v>
      </c>
      <c r="F49" s="16">
        <f t="shared" si="4"/>
        <v>5.29</v>
      </c>
      <c r="G49" s="17">
        <f>F49/B2</f>
        <v>0.3526666667</v>
      </c>
      <c r="H49" s="15">
        <f t="shared" si="5"/>
        <v>6.65</v>
      </c>
      <c r="I49" s="14">
        <f>H49/B3</f>
        <v>0.665</v>
      </c>
      <c r="J49" s="2">
        <v>0.0</v>
      </c>
      <c r="K49" s="2">
        <v>0.0</v>
      </c>
      <c r="L49" s="2">
        <v>0.0</v>
      </c>
      <c r="M49" s="7"/>
      <c r="N49" s="7"/>
    </row>
    <row r="50">
      <c r="A50" s="12">
        <v>45911.0</v>
      </c>
      <c r="B50" s="6" t="s">
        <v>63</v>
      </c>
      <c r="C50" s="2">
        <v>1.0</v>
      </c>
      <c r="D50" s="16">
        <f t="shared" si="3"/>
        <v>8.99</v>
      </c>
      <c r="E50" s="17">
        <f>D50/B1</f>
        <v>0.4495</v>
      </c>
      <c r="F50" s="16">
        <f t="shared" si="4"/>
        <v>5.29</v>
      </c>
      <c r="G50" s="17">
        <f>F50/B2</f>
        <v>0.3526666667</v>
      </c>
      <c r="H50" s="15">
        <f t="shared" si="5"/>
        <v>5.65</v>
      </c>
      <c r="I50" s="14">
        <f>H50/B3</f>
        <v>0.565</v>
      </c>
      <c r="J50" s="2">
        <v>0.0</v>
      </c>
      <c r="K50" s="2">
        <v>0.0</v>
      </c>
      <c r="L50" s="2">
        <v>0.0</v>
      </c>
      <c r="M50" s="7"/>
      <c r="N50" s="7"/>
    </row>
    <row r="51">
      <c r="A51" s="12">
        <v>45912.0</v>
      </c>
      <c r="B51" s="6" t="s">
        <v>61</v>
      </c>
      <c r="C51" s="2">
        <v>0.0</v>
      </c>
      <c r="D51" s="16">
        <f t="shared" si="3"/>
        <v>8.99</v>
      </c>
      <c r="E51" s="17">
        <f>D51/B1</f>
        <v>0.4495</v>
      </c>
      <c r="F51" s="16">
        <f t="shared" si="4"/>
        <v>5.29</v>
      </c>
      <c r="G51" s="17">
        <f>F51/B2</f>
        <v>0.3526666667</v>
      </c>
      <c r="H51" s="15">
        <f t="shared" si="5"/>
        <v>5.65</v>
      </c>
      <c r="I51" s="14">
        <f>H51/B3</f>
        <v>0.565</v>
      </c>
      <c r="J51" s="2">
        <v>0.0</v>
      </c>
      <c r="K51" s="2">
        <v>0.0</v>
      </c>
      <c r="L51" s="2">
        <v>0.0</v>
      </c>
      <c r="M51" s="7"/>
      <c r="N51" s="7"/>
    </row>
    <row r="52">
      <c r="A52" s="12">
        <v>45912.0</v>
      </c>
      <c r="B52" s="6" t="s">
        <v>62</v>
      </c>
      <c r="C52" s="2">
        <v>0.0</v>
      </c>
      <c r="D52" s="16">
        <f t="shared" si="3"/>
        <v>8.99</v>
      </c>
      <c r="E52" s="17">
        <f>D52/B1</f>
        <v>0.4495</v>
      </c>
      <c r="F52" s="16">
        <f t="shared" si="4"/>
        <v>5.29</v>
      </c>
      <c r="G52" s="17">
        <f>F52/B2</f>
        <v>0.3526666667</v>
      </c>
      <c r="H52" s="15">
        <f t="shared" si="5"/>
        <v>5.65</v>
      </c>
      <c r="I52" s="14">
        <f>H52/B3</f>
        <v>0.565</v>
      </c>
      <c r="J52" s="2">
        <v>0.0</v>
      </c>
      <c r="K52" s="2">
        <v>0.0</v>
      </c>
      <c r="L52" s="2">
        <v>0.0</v>
      </c>
      <c r="M52" s="7"/>
      <c r="N52" s="7"/>
    </row>
    <row r="53">
      <c r="A53" s="12">
        <v>45912.0</v>
      </c>
      <c r="B53" s="6" t="s">
        <v>63</v>
      </c>
      <c r="C53" s="2">
        <v>0.0</v>
      </c>
      <c r="D53" s="16">
        <f t="shared" si="3"/>
        <v>8.99</v>
      </c>
      <c r="E53" s="17">
        <f>D53/B1</f>
        <v>0.4495</v>
      </c>
      <c r="F53" s="16">
        <f t="shared" si="4"/>
        <v>5.29</v>
      </c>
      <c r="G53" s="17">
        <f>F53/B2</f>
        <v>0.3526666667</v>
      </c>
      <c r="H53" s="15">
        <f t="shared" si="5"/>
        <v>5.65</v>
      </c>
      <c r="I53" s="14">
        <f>H53/B3</f>
        <v>0.565</v>
      </c>
      <c r="J53" s="2">
        <v>0.0</v>
      </c>
      <c r="K53" s="2">
        <v>0.0</v>
      </c>
      <c r="L53" s="2">
        <v>0.0</v>
      </c>
      <c r="M53" s="7"/>
      <c r="N53" s="7"/>
    </row>
    <row r="54">
      <c r="A54" s="12">
        <v>45913.0</v>
      </c>
      <c r="B54" s="6" t="s">
        <v>61</v>
      </c>
      <c r="C54" s="2">
        <v>1.03</v>
      </c>
      <c r="D54" s="16">
        <f t="shared" si="3"/>
        <v>7.96</v>
      </c>
      <c r="E54" s="17">
        <f>D54/B1</f>
        <v>0.398</v>
      </c>
      <c r="F54" s="16">
        <f t="shared" si="4"/>
        <v>5.29</v>
      </c>
      <c r="G54" s="17">
        <f>F54/B2</f>
        <v>0.3526666667</v>
      </c>
      <c r="H54" s="15">
        <f t="shared" si="5"/>
        <v>5.65</v>
      </c>
      <c r="I54" s="14">
        <f>H54/B3</f>
        <v>0.565</v>
      </c>
      <c r="J54" s="2">
        <v>0.0</v>
      </c>
      <c r="K54" s="2">
        <v>0.0</v>
      </c>
      <c r="L54" s="2">
        <v>0.0</v>
      </c>
      <c r="M54" s="7"/>
      <c r="N54" s="7"/>
    </row>
    <row r="55">
      <c r="A55" s="12">
        <v>45913.0</v>
      </c>
      <c r="B55" s="6" t="s">
        <v>62</v>
      </c>
      <c r="C55" s="2">
        <v>1.1</v>
      </c>
      <c r="D55" s="16">
        <f t="shared" si="3"/>
        <v>7.96</v>
      </c>
      <c r="E55" s="17">
        <f>D55/B1</f>
        <v>0.398</v>
      </c>
      <c r="F55" s="16">
        <f t="shared" si="4"/>
        <v>4.19</v>
      </c>
      <c r="G55" s="17">
        <f>F55/B2</f>
        <v>0.2793333333</v>
      </c>
      <c r="H55" s="15">
        <f t="shared" si="5"/>
        <v>5.65</v>
      </c>
      <c r="I55" s="14">
        <f>H55/B3</f>
        <v>0.565</v>
      </c>
      <c r="J55" s="2">
        <v>0.0</v>
      </c>
      <c r="K55" s="2">
        <v>0.0</v>
      </c>
      <c r="L55" s="2">
        <v>0.0</v>
      </c>
      <c r="M55" s="7"/>
      <c r="N55" s="7"/>
    </row>
    <row r="56">
      <c r="A56" s="12">
        <v>45913.0</v>
      </c>
      <c r="B56" s="6" t="s">
        <v>63</v>
      </c>
      <c r="C56" s="2">
        <v>1.11</v>
      </c>
      <c r="D56" s="16">
        <f t="shared" si="3"/>
        <v>7.96</v>
      </c>
      <c r="E56" s="17">
        <f>D56/B1</f>
        <v>0.398</v>
      </c>
      <c r="F56" s="16">
        <f t="shared" si="4"/>
        <v>4.19</v>
      </c>
      <c r="G56" s="17">
        <f>F56/B2</f>
        <v>0.2793333333</v>
      </c>
      <c r="H56" s="15">
        <f t="shared" si="5"/>
        <v>4.54</v>
      </c>
      <c r="I56" s="14">
        <f>H56/B3</f>
        <v>0.454</v>
      </c>
      <c r="J56" s="2">
        <v>0.0</v>
      </c>
      <c r="K56" s="2">
        <v>0.0</v>
      </c>
      <c r="L56" s="2">
        <v>0.0</v>
      </c>
      <c r="M56" s="7"/>
      <c r="N56" s="7"/>
    </row>
    <row r="57">
      <c r="A57" s="12">
        <v>45914.0</v>
      </c>
      <c r="B57" s="6" t="s">
        <v>61</v>
      </c>
      <c r="C57" s="2">
        <v>1.02</v>
      </c>
      <c r="D57" s="16">
        <f t="shared" si="3"/>
        <v>6.94</v>
      </c>
      <c r="E57" s="17">
        <f>D57/B1</f>
        <v>0.347</v>
      </c>
      <c r="F57" s="16">
        <f t="shared" si="4"/>
        <v>4.19</v>
      </c>
      <c r="G57" s="17">
        <f>F57/B2</f>
        <v>0.2793333333</v>
      </c>
      <c r="H57" s="15">
        <f t="shared" si="5"/>
        <v>4.54</v>
      </c>
      <c r="I57" s="14">
        <f>H57/B3</f>
        <v>0.454</v>
      </c>
      <c r="J57" s="2">
        <v>0.0</v>
      </c>
      <c r="K57" s="2">
        <v>0.0</v>
      </c>
      <c r="L57" s="2">
        <v>0.0</v>
      </c>
      <c r="M57" s="7"/>
      <c r="N57" s="7"/>
    </row>
    <row r="58">
      <c r="A58" s="12">
        <v>45914.0</v>
      </c>
      <c r="B58" s="6" t="s">
        <v>62</v>
      </c>
      <c r="C58" s="2">
        <v>1.03</v>
      </c>
      <c r="D58" s="16">
        <f t="shared" si="3"/>
        <v>6.94</v>
      </c>
      <c r="E58" s="17">
        <f>D58/B1</f>
        <v>0.347</v>
      </c>
      <c r="F58" s="16">
        <f t="shared" si="4"/>
        <v>3.16</v>
      </c>
      <c r="G58" s="17">
        <f>F58/B2</f>
        <v>0.2106666667</v>
      </c>
      <c r="H58" s="15">
        <f t="shared" si="5"/>
        <v>4.54</v>
      </c>
      <c r="I58" s="14">
        <f>H58/B3</f>
        <v>0.454</v>
      </c>
      <c r="J58" s="2">
        <v>0.0</v>
      </c>
      <c r="K58" s="2">
        <v>0.0</v>
      </c>
      <c r="L58" s="2">
        <v>0.0</v>
      </c>
      <c r="M58" s="7"/>
      <c r="N58" s="7"/>
    </row>
    <row r="59">
      <c r="A59" s="12">
        <v>45914.0</v>
      </c>
      <c r="B59" s="6" t="s">
        <v>63</v>
      </c>
      <c r="C59" s="2">
        <v>1.19</v>
      </c>
      <c r="D59" s="16">
        <f t="shared" si="3"/>
        <v>6.94</v>
      </c>
      <c r="E59" s="17">
        <f>D59/B1</f>
        <v>0.347</v>
      </c>
      <c r="F59" s="16">
        <f t="shared" si="4"/>
        <v>3.16</v>
      </c>
      <c r="G59" s="17">
        <f>F59/B2</f>
        <v>0.2106666667</v>
      </c>
      <c r="H59" s="15">
        <f t="shared" si="5"/>
        <v>3.35</v>
      </c>
      <c r="I59" s="14">
        <f>H59/B3</f>
        <v>0.335</v>
      </c>
      <c r="J59" s="2">
        <v>0.0</v>
      </c>
      <c r="K59" s="2">
        <v>0.0</v>
      </c>
      <c r="L59" s="2">
        <v>0.0</v>
      </c>
    </row>
    <row r="60">
      <c r="A60" s="12">
        <v>45915.0</v>
      </c>
      <c r="B60" s="6" t="s">
        <v>61</v>
      </c>
      <c r="C60" s="2">
        <v>0.0</v>
      </c>
      <c r="D60" s="16">
        <f t="shared" si="3"/>
        <v>6.94</v>
      </c>
      <c r="E60" s="17">
        <f>D60/B1</f>
        <v>0.347</v>
      </c>
      <c r="F60" s="16">
        <f t="shared" si="4"/>
        <v>3.16</v>
      </c>
      <c r="G60" s="17">
        <f>F60/B2</f>
        <v>0.2106666667</v>
      </c>
      <c r="H60" s="15">
        <f t="shared" si="5"/>
        <v>3.35</v>
      </c>
      <c r="I60" s="14">
        <f>H60/B3</f>
        <v>0.335</v>
      </c>
      <c r="J60" s="2">
        <v>0.0</v>
      </c>
      <c r="K60" s="2">
        <v>0.0</v>
      </c>
      <c r="L60" s="2">
        <v>0.0</v>
      </c>
    </row>
    <row r="61">
      <c r="A61" s="12">
        <v>45915.0</v>
      </c>
      <c r="B61" s="6" t="s">
        <v>62</v>
      </c>
      <c r="C61" s="2">
        <v>0.0</v>
      </c>
      <c r="D61" s="16">
        <f t="shared" si="3"/>
        <v>6.94</v>
      </c>
      <c r="E61" s="17">
        <f>D61/B1</f>
        <v>0.347</v>
      </c>
      <c r="F61" s="16">
        <f t="shared" si="4"/>
        <v>3.16</v>
      </c>
      <c r="G61" s="17">
        <f>F61/B2</f>
        <v>0.2106666667</v>
      </c>
      <c r="H61" s="15">
        <f t="shared" si="5"/>
        <v>3.35</v>
      </c>
      <c r="I61" s="14">
        <f>H61/B3</f>
        <v>0.335</v>
      </c>
      <c r="J61" s="2">
        <v>0.0</v>
      </c>
      <c r="K61" s="2">
        <v>0.0</v>
      </c>
      <c r="L61" s="2">
        <v>0.0</v>
      </c>
    </row>
    <row r="62">
      <c r="A62" s="12">
        <v>45915.0</v>
      </c>
      <c r="B62" s="6" t="s">
        <v>63</v>
      </c>
      <c r="C62" s="2">
        <v>0.0</v>
      </c>
      <c r="D62" s="16">
        <f t="shared" si="3"/>
        <v>6.94</v>
      </c>
      <c r="E62" s="17">
        <f>D62/B1</f>
        <v>0.347</v>
      </c>
      <c r="F62" s="16">
        <f t="shared" si="4"/>
        <v>3.16</v>
      </c>
      <c r="G62" s="17">
        <f>F62/B2</f>
        <v>0.2106666667</v>
      </c>
      <c r="H62" s="15">
        <f t="shared" si="5"/>
        <v>3.35</v>
      </c>
      <c r="I62" s="14">
        <f>H62/B3</f>
        <v>0.335</v>
      </c>
      <c r="J62" s="2">
        <v>0.0</v>
      </c>
      <c r="K62" s="2">
        <v>0.0</v>
      </c>
      <c r="L62" s="2">
        <v>0.0</v>
      </c>
    </row>
    <row r="63">
      <c r="A63" s="12">
        <v>45916.0</v>
      </c>
      <c r="B63" s="6" t="s">
        <v>61</v>
      </c>
      <c r="C63" s="2">
        <v>1.06</v>
      </c>
      <c r="D63" s="16">
        <f t="shared" si="3"/>
        <v>5.88</v>
      </c>
      <c r="E63" s="17">
        <f>D63/B1</f>
        <v>0.294</v>
      </c>
      <c r="F63" s="16">
        <f t="shared" si="4"/>
        <v>3.16</v>
      </c>
      <c r="G63" s="17">
        <f>F63/B2</f>
        <v>0.2106666667</v>
      </c>
      <c r="H63" s="15">
        <f t="shared" si="5"/>
        <v>3.35</v>
      </c>
      <c r="I63" s="14">
        <f>H63/B3</f>
        <v>0.335</v>
      </c>
      <c r="J63" s="2">
        <v>0.0</v>
      </c>
      <c r="K63" s="2">
        <v>0.0</v>
      </c>
      <c r="L63" s="2">
        <v>0.0</v>
      </c>
    </row>
    <row r="64">
      <c r="A64" s="12">
        <v>45916.0</v>
      </c>
      <c r="B64" s="6" t="s">
        <v>62</v>
      </c>
      <c r="C64" s="2">
        <v>1.06</v>
      </c>
      <c r="D64" s="16">
        <f t="shared" si="3"/>
        <v>5.88</v>
      </c>
      <c r="E64" s="17">
        <f>D64/B1</f>
        <v>0.294</v>
      </c>
      <c r="F64" s="16">
        <f t="shared" si="4"/>
        <v>2.1</v>
      </c>
      <c r="G64" s="17">
        <f>F64/B2</f>
        <v>0.14</v>
      </c>
      <c r="H64" s="15">
        <f t="shared" si="5"/>
        <v>3.35</v>
      </c>
      <c r="I64" s="14">
        <f>H64/B3</f>
        <v>0.335</v>
      </c>
      <c r="J64" s="2">
        <v>0.0</v>
      </c>
      <c r="K64" s="2">
        <v>0.0</v>
      </c>
      <c r="L64" s="2">
        <v>0.0</v>
      </c>
    </row>
    <row r="65">
      <c r="A65" s="12">
        <v>45916.0</v>
      </c>
      <c r="B65" s="6" t="s">
        <v>63</v>
      </c>
      <c r="C65" s="2">
        <v>0.94</v>
      </c>
      <c r="D65" s="16">
        <f t="shared" si="3"/>
        <v>5.88</v>
      </c>
      <c r="E65" s="17">
        <f>D65/B1</f>
        <v>0.294</v>
      </c>
      <c r="F65" s="16">
        <f t="shared" si="4"/>
        <v>2.1</v>
      </c>
      <c r="G65" s="17">
        <f>F65/B2</f>
        <v>0.14</v>
      </c>
      <c r="H65" s="15">
        <f t="shared" si="5"/>
        <v>2.41</v>
      </c>
      <c r="I65" s="14">
        <f>H65/B3</f>
        <v>0.241</v>
      </c>
      <c r="J65" s="2">
        <v>0.0</v>
      </c>
      <c r="K65" s="2">
        <v>0.0</v>
      </c>
      <c r="L65" s="2">
        <v>0.0</v>
      </c>
    </row>
    <row r="66">
      <c r="A66" s="12">
        <v>45917.0</v>
      </c>
      <c r="B66" s="6" t="s">
        <v>61</v>
      </c>
      <c r="C66" s="2">
        <v>0.0</v>
      </c>
      <c r="D66" s="16">
        <f t="shared" si="3"/>
        <v>5.88</v>
      </c>
      <c r="E66" s="17">
        <f>D66/B1</f>
        <v>0.294</v>
      </c>
      <c r="F66" s="16">
        <f t="shared" si="4"/>
        <v>2.1</v>
      </c>
      <c r="G66" s="17">
        <f>F66/B2</f>
        <v>0.14</v>
      </c>
      <c r="H66" s="15">
        <f t="shared" si="5"/>
        <v>2.41</v>
      </c>
      <c r="I66" s="14">
        <f>H66/B3</f>
        <v>0.241</v>
      </c>
      <c r="J66" s="2">
        <v>0.0</v>
      </c>
      <c r="K66" s="2">
        <v>0.0</v>
      </c>
      <c r="L66" s="2">
        <v>0.0</v>
      </c>
    </row>
    <row r="67">
      <c r="A67" s="12">
        <v>45917.0</v>
      </c>
      <c r="B67" s="6" t="s">
        <v>62</v>
      </c>
      <c r="C67" s="2">
        <v>0.0</v>
      </c>
      <c r="D67" s="16">
        <f t="shared" si="3"/>
        <v>5.88</v>
      </c>
      <c r="E67" s="17">
        <f>D67/B1</f>
        <v>0.294</v>
      </c>
      <c r="F67" s="16">
        <f t="shared" si="4"/>
        <v>2.1</v>
      </c>
      <c r="G67" s="17">
        <f>F67/B2</f>
        <v>0.14</v>
      </c>
      <c r="H67" s="15">
        <f t="shared" si="5"/>
        <v>2.41</v>
      </c>
      <c r="I67" s="14">
        <f>H67/B3</f>
        <v>0.241</v>
      </c>
      <c r="J67" s="2">
        <v>0.0</v>
      </c>
      <c r="K67" s="2">
        <v>0.0</v>
      </c>
      <c r="L67" s="2">
        <v>0.0</v>
      </c>
    </row>
    <row r="68">
      <c r="A68" s="12">
        <v>45917.0</v>
      </c>
      <c r="B68" s="6" t="s">
        <v>63</v>
      </c>
      <c r="C68" s="2">
        <v>0.0</v>
      </c>
      <c r="D68" s="16">
        <f t="shared" si="3"/>
        <v>5.88</v>
      </c>
      <c r="E68" s="17">
        <f>D68/B1</f>
        <v>0.294</v>
      </c>
      <c r="F68" s="16">
        <f t="shared" si="4"/>
        <v>2.1</v>
      </c>
      <c r="G68" s="17">
        <f>F68/B2</f>
        <v>0.14</v>
      </c>
      <c r="H68" s="15">
        <f t="shared" si="5"/>
        <v>2.41</v>
      </c>
      <c r="I68" s="14">
        <f>H68/B3</f>
        <v>0.241</v>
      </c>
      <c r="J68" s="2">
        <v>0.0</v>
      </c>
      <c r="K68" s="2">
        <v>0.0</v>
      </c>
      <c r="L68" s="2">
        <v>0.0</v>
      </c>
    </row>
    <row r="69">
      <c r="A69" s="12">
        <v>45918.0</v>
      </c>
      <c r="B69" s="6" t="s">
        <v>61</v>
      </c>
      <c r="C69" s="2">
        <v>0.86</v>
      </c>
      <c r="D69" s="16">
        <f t="shared" si="3"/>
        <v>5.02</v>
      </c>
      <c r="E69" s="17">
        <f>D69/B1</f>
        <v>0.251</v>
      </c>
      <c r="F69" s="16">
        <f t="shared" si="4"/>
        <v>2.1</v>
      </c>
      <c r="G69" s="17">
        <f>F69/B2</f>
        <v>0.14</v>
      </c>
      <c r="H69" s="15">
        <f t="shared" si="5"/>
        <v>2.41</v>
      </c>
      <c r="I69" s="14">
        <f>H69/B3</f>
        <v>0.241</v>
      </c>
      <c r="J69" s="2">
        <v>0.0</v>
      </c>
      <c r="K69" s="2">
        <v>0.0</v>
      </c>
      <c r="L69" s="2">
        <v>0.0</v>
      </c>
    </row>
    <row r="70">
      <c r="A70" s="12">
        <v>45918.0</v>
      </c>
      <c r="B70" s="6" t="s">
        <v>62</v>
      </c>
      <c r="C70" s="2">
        <v>0.58</v>
      </c>
      <c r="D70" s="16">
        <f t="shared" si="3"/>
        <v>5.02</v>
      </c>
      <c r="E70" s="17">
        <f>D70/B1</f>
        <v>0.251</v>
      </c>
      <c r="F70" s="16">
        <f t="shared" si="4"/>
        <v>1.52</v>
      </c>
      <c r="G70" s="17">
        <f>F70/B2</f>
        <v>0.1013333333</v>
      </c>
      <c r="H70" s="15">
        <f t="shared" si="5"/>
        <v>2.41</v>
      </c>
      <c r="I70" s="14">
        <f>H70/B3</f>
        <v>0.241</v>
      </c>
      <c r="J70" s="2">
        <v>0.0</v>
      </c>
      <c r="K70" s="2">
        <v>0.0</v>
      </c>
      <c r="L70" s="2">
        <v>0.0</v>
      </c>
    </row>
    <row r="71">
      <c r="A71" s="12">
        <v>45918.0</v>
      </c>
      <c r="B71" s="6" t="s">
        <v>63</v>
      </c>
      <c r="C71" s="2">
        <v>0.85</v>
      </c>
      <c r="D71" s="16">
        <f t="shared" si="3"/>
        <v>5.02</v>
      </c>
      <c r="E71" s="17">
        <f>D71/B1</f>
        <v>0.251</v>
      </c>
      <c r="F71" s="16">
        <f t="shared" si="4"/>
        <v>1.52</v>
      </c>
      <c r="G71" s="17">
        <f>F71/B2</f>
        <v>0.1013333333</v>
      </c>
      <c r="H71" s="15">
        <f t="shared" si="5"/>
        <v>1.56</v>
      </c>
      <c r="I71" s="14">
        <f>H71/B3</f>
        <v>0.156</v>
      </c>
      <c r="J71" s="2">
        <v>0.0</v>
      </c>
      <c r="K71" s="2">
        <v>0.0</v>
      </c>
      <c r="L71" s="2">
        <v>0.0</v>
      </c>
    </row>
    <row r="72">
      <c r="A72" s="12">
        <v>45919.0</v>
      </c>
      <c r="B72" s="6" t="s">
        <v>61</v>
      </c>
      <c r="C72" s="2">
        <v>0.0</v>
      </c>
      <c r="D72" s="16">
        <f t="shared" si="3"/>
        <v>5.02</v>
      </c>
      <c r="E72" s="17">
        <f>D72/B1</f>
        <v>0.251</v>
      </c>
      <c r="F72" s="16">
        <f t="shared" si="4"/>
        <v>1.52</v>
      </c>
      <c r="G72" s="17">
        <f>F72/B2</f>
        <v>0.1013333333</v>
      </c>
      <c r="H72" s="15">
        <f t="shared" si="5"/>
        <v>1.56</v>
      </c>
      <c r="I72" s="14">
        <f>H72/B3</f>
        <v>0.156</v>
      </c>
      <c r="J72" s="2">
        <v>0.0</v>
      </c>
      <c r="K72" s="2">
        <v>0.0</v>
      </c>
      <c r="L72" s="2">
        <v>0.0</v>
      </c>
    </row>
    <row r="73">
      <c r="A73" s="12">
        <v>45919.0</v>
      </c>
      <c r="B73" s="6" t="s">
        <v>62</v>
      </c>
      <c r="C73" s="2">
        <v>0.0</v>
      </c>
      <c r="D73" s="16">
        <f t="shared" si="3"/>
        <v>5.02</v>
      </c>
      <c r="E73" s="17">
        <f>D73/B1</f>
        <v>0.251</v>
      </c>
      <c r="F73" s="16">
        <f t="shared" si="4"/>
        <v>1.52</v>
      </c>
      <c r="G73" s="17">
        <f>F73/B2</f>
        <v>0.1013333333</v>
      </c>
      <c r="H73" s="15">
        <f t="shared" si="5"/>
        <v>1.56</v>
      </c>
      <c r="I73" s="14">
        <f>H73/B3</f>
        <v>0.156</v>
      </c>
      <c r="J73" s="2">
        <v>0.0</v>
      </c>
      <c r="K73" s="2">
        <v>0.0</v>
      </c>
      <c r="L73" s="2">
        <v>0.0</v>
      </c>
    </row>
    <row r="74">
      <c r="A74" s="12">
        <v>45919.0</v>
      </c>
      <c r="B74" s="6" t="s">
        <v>63</v>
      </c>
      <c r="C74" s="2">
        <v>0.0</v>
      </c>
      <c r="D74" s="16">
        <f t="shared" si="3"/>
        <v>5.02</v>
      </c>
      <c r="E74" s="17">
        <f>D74/B1</f>
        <v>0.251</v>
      </c>
      <c r="F74" s="16">
        <f t="shared" si="4"/>
        <v>1.52</v>
      </c>
      <c r="G74" s="17">
        <f>F74/B2</f>
        <v>0.1013333333</v>
      </c>
      <c r="H74" s="15">
        <f t="shared" si="5"/>
        <v>1.56</v>
      </c>
      <c r="I74" s="14">
        <f>H74/B3</f>
        <v>0.156</v>
      </c>
      <c r="J74" s="2">
        <v>0.0</v>
      </c>
      <c r="K74" s="2">
        <v>0.0</v>
      </c>
      <c r="L74" s="2">
        <v>0.0</v>
      </c>
    </row>
    <row r="75">
      <c r="A75" s="12">
        <v>45920.0</v>
      </c>
      <c r="B75" s="6" t="s">
        <v>61</v>
      </c>
      <c r="C75" s="2">
        <v>1.06</v>
      </c>
      <c r="D75" s="16">
        <f t="shared" si="3"/>
        <v>3.96</v>
      </c>
      <c r="E75" s="17">
        <f>D75/B1</f>
        <v>0.198</v>
      </c>
      <c r="F75" s="16">
        <f t="shared" si="4"/>
        <v>1.52</v>
      </c>
      <c r="G75" s="17">
        <f>F75/B2</f>
        <v>0.1013333333</v>
      </c>
      <c r="H75" s="15">
        <f t="shared" si="5"/>
        <v>1.56</v>
      </c>
      <c r="I75" s="14">
        <f>H75/B3</f>
        <v>0.156</v>
      </c>
      <c r="J75" s="2">
        <v>0.0</v>
      </c>
      <c r="K75" s="2">
        <v>0.0</v>
      </c>
      <c r="L75" s="2">
        <v>0.0</v>
      </c>
    </row>
    <row r="76">
      <c r="A76" s="12">
        <v>45920.0</v>
      </c>
      <c r="B76" s="6" t="s">
        <v>62</v>
      </c>
      <c r="C76" s="2">
        <v>0.91</v>
      </c>
      <c r="D76" s="16">
        <f t="shared" si="3"/>
        <v>3.96</v>
      </c>
      <c r="E76" s="17">
        <f>D76/B1</f>
        <v>0.198</v>
      </c>
      <c r="F76" s="16">
        <f t="shared" si="4"/>
        <v>0.61</v>
      </c>
      <c r="G76" s="17">
        <f>F76/B2</f>
        <v>0.04066666667</v>
      </c>
      <c r="H76" s="15">
        <f t="shared" si="5"/>
        <v>1.56</v>
      </c>
      <c r="I76" s="14">
        <f>H76/B3</f>
        <v>0.156</v>
      </c>
      <c r="J76" s="2">
        <v>0.0</v>
      </c>
      <c r="K76" s="2">
        <v>0.0</v>
      </c>
      <c r="L76" s="2">
        <v>0.0</v>
      </c>
    </row>
    <row r="77">
      <c r="A77" s="12">
        <v>45920.0</v>
      </c>
      <c r="B77" s="6" t="s">
        <v>63</v>
      </c>
      <c r="C77" s="2">
        <v>0.83</v>
      </c>
      <c r="D77" s="16">
        <f t="shared" si="3"/>
        <v>3.96</v>
      </c>
      <c r="E77" s="17">
        <f>D77/B1</f>
        <v>0.198</v>
      </c>
      <c r="F77" s="16">
        <f t="shared" si="4"/>
        <v>0.61</v>
      </c>
      <c r="G77" s="17">
        <f>F77/B2</f>
        <v>0.04066666667</v>
      </c>
      <c r="H77" s="15">
        <f t="shared" si="5"/>
        <v>0.73</v>
      </c>
      <c r="I77" s="14">
        <f>H77/B3</f>
        <v>0.073</v>
      </c>
      <c r="J77" s="2">
        <v>0.0</v>
      </c>
      <c r="K77" s="2">
        <v>0.0</v>
      </c>
      <c r="L77" s="2">
        <v>0.0</v>
      </c>
    </row>
    <row r="78">
      <c r="A78" s="12">
        <v>45921.0</v>
      </c>
      <c r="B78" s="6" t="s">
        <v>61</v>
      </c>
      <c r="C78" s="2">
        <v>1.11</v>
      </c>
      <c r="D78" s="16">
        <f t="shared" si="3"/>
        <v>2.85</v>
      </c>
      <c r="E78" s="17">
        <f>D78/B1</f>
        <v>0.1425</v>
      </c>
      <c r="F78" s="16">
        <f t="shared" si="4"/>
        <v>0.61</v>
      </c>
      <c r="G78" s="17">
        <f>F78/B2</f>
        <v>0.04066666667</v>
      </c>
      <c r="H78" s="15">
        <f t="shared" si="5"/>
        <v>0.73</v>
      </c>
      <c r="I78" s="14">
        <f>H78/B3</f>
        <v>0.073</v>
      </c>
      <c r="J78" s="2">
        <v>0.0</v>
      </c>
      <c r="K78" s="2">
        <v>0.0</v>
      </c>
      <c r="L78" s="2">
        <v>0.0</v>
      </c>
    </row>
    <row r="79">
      <c r="A79" s="12">
        <v>45921.0</v>
      </c>
      <c r="B79" s="6" t="s">
        <v>62</v>
      </c>
      <c r="C79" s="2">
        <v>0.61</v>
      </c>
      <c r="D79" s="16">
        <f t="shared" si="3"/>
        <v>2.85</v>
      </c>
      <c r="E79" s="17">
        <f>D79/B1</f>
        <v>0.1425</v>
      </c>
      <c r="F79" s="16">
        <f t="shared" si="4"/>
        <v>0</v>
      </c>
      <c r="G79" s="17">
        <f>F79/B2</f>
        <v>0</v>
      </c>
      <c r="H79" s="15">
        <f t="shared" si="5"/>
        <v>0.73</v>
      </c>
      <c r="I79" s="14">
        <f>H79/B3</f>
        <v>0.073</v>
      </c>
      <c r="J79" s="2">
        <v>0.0</v>
      </c>
      <c r="K79" s="2">
        <v>0.0</v>
      </c>
      <c r="L79" s="2">
        <v>0.0</v>
      </c>
    </row>
    <row r="80">
      <c r="A80" s="12">
        <v>45921.0</v>
      </c>
      <c r="B80" s="6" t="s">
        <v>63</v>
      </c>
      <c r="C80" s="2">
        <v>0.73</v>
      </c>
      <c r="D80" s="16">
        <f t="shared" si="3"/>
        <v>2.85</v>
      </c>
      <c r="E80" s="17">
        <f>D80/B1</f>
        <v>0.1425</v>
      </c>
      <c r="F80" s="16">
        <f t="shared" si="4"/>
        <v>0</v>
      </c>
      <c r="G80" s="17">
        <f>F80/B2</f>
        <v>0</v>
      </c>
      <c r="H80" s="15">
        <f t="shared" si="5"/>
        <v>0</v>
      </c>
      <c r="I80" s="14">
        <f>H80/B3</f>
        <v>0</v>
      </c>
      <c r="J80" s="2">
        <v>0.0</v>
      </c>
      <c r="K80" s="2">
        <v>0.0</v>
      </c>
      <c r="L80" s="2">
        <v>0.0</v>
      </c>
    </row>
    <row r="81">
      <c r="A81" s="12">
        <v>45922.0</v>
      </c>
      <c r="B81" s="6" t="s">
        <v>61</v>
      </c>
      <c r="C81" s="2">
        <v>1.6</v>
      </c>
      <c r="D81" s="16">
        <f t="shared" si="3"/>
        <v>1.25</v>
      </c>
      <c r="E81" s="17">
        <f>D81/B1</f>
        <v>0.0625</v>
      </c>
      <c r="F81" s="16">
        <f t="shared" si="4"/>
        <v>0</v>
      </c>
      <c r="G81" s="17">
        <f>F81/B2</f>
        <v>0</v>
      </c>
      <c r="H81" s="15">
        <f t="shared" si="5"/>
        <v>0</v>
      </c>
      <c r="I81" s="14">
        <f>H81/B3</f>
        <v>0</v>
      </c>
      <c r="J81" s="2">
        <v>0.0</v>
      </c>
      <c r="K81" s="2">
        <v>0.0</v>
      </c>
      <c r="L81" s="2">
        <v>0.0</v>
      </c>
    </row>
    <row r="82">
      <c r="A82" s="12">
        <v>45922.0</v>
      </c>
      <c r="B82" s="6" t="s">
        <v>62</v>
      </c>
      <c r="C82" s="2">
        <v>0.0</v>
      </c>
      <c r="D82" s="16">
        <f t="shared" si="3"/>
        <v>1.25</v>
      </c>
      <c r="E82" s="17">
        <f>D82/B1</f>
        <v>0.0625</v>
      </c>
      <c r="F82" s="16">
        <f t="shared" si="4"/>
        <v>0</v>
      </c>
      <c r="G82" s="17">
        <f>F82/B2</f>
        <v>0</v>
      </c>
      <c r="H82" s="15">
        <f t="shared" si="5"/>
        <v>0</v>
      </c>
      <c r="I82" s="14">
        <f>H82/B3</f>
        <v>0</v>
      </c>
      <c r="J82" s="2">
        <v>0.0</v>
      </c>
      <c r="K82" s="2">
        <v>0.0</v>
      </c>
      <c r="L82" s="2">
        <v>0.0</v>
      </c>
    </row>
    <row r="83">
      <c r="A83" s="12">
        <v>45922.0</v>
      </c>
      <c r="B83" s="6" t="s">
        <v>63</v>
      </c>
      <c r="C83" s="2">
        <v>0.0</v>
      </c>
      <c r="D83" s="16">
        <f t="shared" si="3"/>
        <v>1.25</v>
      </c>
      <c r="E83" s="17">
        <f>D83/B1</f>
        <v>0.0625</v>
      </c>
      <c r="F83" s="16">
        <f t="shared" si="4"/>
        <v>0</v>
      </c>
      <c r="G83" s="17">
        <f>F83/B2</f>
        <v>0</v>
      </c>
      <c r="H83" s="15">
        <f t="shared" si="5"/>
        <v>0</v>
      </c>
      <c r="I83" s="14">
        <f>H83/B3</f>
        <v>0</v>
      </c>
      <c r="J83" s="2">
        <v>0.0</v>
      </c>
      <c r="K83" s="2">
        <v>0.0</v>
      </c>
      <c r="L83" s="2">
        <v>0.0</v>
      </c>
    </row>
    <row r="84">
      <c r="A84" s="12">
        <v>45923.0</v>
      </c>
      <c r="B84" s="6" t="s">
        <v>61</v>
      </c>
      <c r="C84" s="2">
        <v>0.0</v>
      </c>
      <c r="D84" s="16">
        <f t="shared" si="3"/>
        <v>1.25</v>
      </c>
      <c r="E84" s="17">
        <f>D84/B1</f>
        <v>0.0625</v>
      </c>
      <c r="F84" s="16">
        <f t="shared" si="4"/>
        <v>0</v>
      </c>
      <c r="G84" s="17">
        <f>F84/B2</f>
        <v>0</v>
      </c>
      <c r="H84" s="15">
        <f t="shared" si="5"/>
        <v>0</v>
      </c>
      <c r="I84" s="14">
        <f>H84/B3</f>
        <v>0</v>
      </c>
      <c r="J84" s="2">
        <v>0.0</v>
      </c>
      <c r="K84" s="2">
        <v>0.0</v>
      </c>
      <c r="L84" s="2">
        <v>0.0</v>
      </c>
    </row>
    <row r="85">
      <c r="A85" s="12">
        <v>45923.0</v>
      </c>
      <c r="B85" s="6" t="s">
        <v>62</v>
      </c>
      <c r="C85" s="2">
        <v>0.0</v>
      </c>
      <c r="D85" s="16">
        <f t="shared" si="3"/>
        <v>1.25</v>
      </c>
      <c r="E85" s="17">
        <f>D85/B1</f>
        <v>0.0625</v>
      </c>
      <c r="F85" s="16">
        <f t="shared" si="4"/>
        <v>0</v>
      </c>
      <c r="G85" s="17">
        <f>F85/B2</f>
        <v>0</v>
      </c>
      <c r="H85" s="15">
        <f t="shared" si="5"/>
        <v>0</v>
      </c>
      <c r="I85" s="14">
        <f>H85/B3</f>
        <v>0</v>
      </c>
      <c r="J85" s="2">
        <v>0.0</v>
      </c>
      <c r="K85" s="2">
        <v>0.0</v>
      </c>
      <c r="L85" s="2">
        <v>0.0</v>
      </c>
    </row>
    <row r="86">
      <c r="A86" s="12">
        <v>45923.0</v>
      </c>
      <c r="B86" s="6" t="s">
        <v>63</v>
      </c>
      <c r="C86" s="2">
        <v>0.0</v>
      </c>
      <c r="D86" s="16">
        <f t="shared" si="3"/>
        <v>1.25</v>
      </c>
      <c r="E86" s="17">
        <f>D86/B1</f>
        <v>0.0625</v>
      </c>
      <c r="F86" s="16">
        <f t="shared" si="4"/>
        <v>0</v>
      </c>
      <c r="G86" s="17">
        <f>F86/B2</f>
        <v>0</v>
      </c>
      <c r="H86" s="15">
        <f t="shared" si="5"/>
        <v>0</v>
      </c>
      <c r="I86" s="14">
        <f>H86/B3</f>
        <v>0</v>
      </c>
      <c r="J86" s="2">
        <v>0.0</v>
      </c>
      <c r="K86" s="2">
        <v>0.0</v>
      </c>
      <c r="L86" s="2">
        <v>0.0</v>
      </c>
    </row>
    <row r="87">
      <c r="A87" s="12">
        <v>45924.0</v>
      </c>
      <c r="B87" s="6" t="s">
        <v>61</v>
      </c>
      <c r="C87" s="2">
        <v>1.25</v>
      </c>
      <c r="D87" s="16">
        <f t="shared" si="3"/>
        <v>0</v>
      </c>
      <c r="E87" s="17">
        <f>D87/B1</f>
        <v>0</v>
      </c>
      <c r="F87" s="16">
        <f t="shared" si="4"/>
        <v>0</v>
      </c>
      <c r="G87" s="17">
        <f>F87/B2</f>
        <v>0</v>
      </c>
      <c r="H87" s="15">
        <f t="shared" si="5"/>
        <v>0</v>
      </c>
      <c r="I87" s="14">
        <f>H87/B3</f>
        <v>0</v>
      </c>
      <c r="J87" s="2">
        <v>0.0</v>
      </c>
      <c r="K87" s="2">
        <v>0.0</v>
      </c>
      <c r="L87" s="2">
        <v>0.0</v>
      </c>
    </row>
    <row r="88">
      <c r="A88" s="12">
        <v>45924.0</v>
      </c>
      <c r="B88" s="6" t="s">
        <v>62</v>
      </c>
      <c r="C88" s="2">
        <v>0.0</v>
      </c>
      <c r="D88" s="16">
        <f t="shared" si="3"/>
        <v>0</v>
      </c>
      <c r="E88" s="17">
        <f>D88/B1</f>
        <v>0</v>
      </c>
      <c r="F88" s="16">
        <f t="shared" si="4"/>
        <v>0</v>
      </c>
      <c r="G88" s="17">
        <f>F88/B2</f>
        <v>0</v>
      </c>
      <c r="H88" s="15">
        <f t="shared" si="5"/>
        <v>0</v>
      </c>
      <c r="I88" s="14">
        <f>H88/B3</f>
        <v>0</v>
      </c>
      <c r="J88" s="2">
        <v>0.0</v>
      </c>
      <c r="K88" s="2">
        <v>0.0</v>
      </c>
      <c r="L88" s="2">
        <v>0.0</v>
      </c>
    </row>
    <row r="89">
      <c r="A89" s="12">
        <v>45924.0</v>
      </c>
      <c r="B89" s="6" t="s">
        <v>63</v>
      </c>
      <c r="C89" s="2">
        <v>0.0</v>
      </c>
      <c r="D89" s="16">
        <f t="shared" si="3"/>
        <v>0</v>
      </c>
      <c r="E89" s="17">
        <f>D89/B1</f>
        <v>0</v>
      </c>
      <c r="F89" s="16">
        <f t="shared" si="4"/>
        <v>0</v>
      </c>
      <c r="G89" s="17">
        <f>F89/B2</f>
        <v>0</v>
      </c>
      <c r="H89" s="15">
        <f t="shared" si="5"/>
        <v>0</v>
      </c>
      <c r="I89" s="14">
        <f>H89/B3</f>
        <v>0</v>
      </c>
      <c r="J89" s="2">
        <v>0.0</v>
      </c>
      <c r="K89" s="2">
        <v>0.0</v>
      </c>
      <c r="L89" s="2">
        <v>0.0</v>
      </c>
    </row>
    <row r="90">
      <c r="A90" s="12">
        <v>45925.0</v>
      </c>
      <c r="B90" s="6" t="s">
        <v>61</v>
      </c>
      <c r="C90" s="2">
        <v>0.0</v>
      </c>
      <c r="D90" s="16">
        <f t="shared" si="3"/>
        <v>0</v>
      </c>
      <c r="E90" s="17">
        <f>D90/B1</f>
        <v>0</v>
      </c>
      <c r="F90" s="16">
        <f t="shared" si="4"/>
        <v>0</v>
      </c>
      <c r="G90" s="17">
        <f>F90/B2</f>
        <v>0</v>
      </c>
      <c r="H90" s="15">
        <f t="shared" si="5"/>
        <v>0</v>
      </c>
      <c r="I90" s="14">
        <f>H90/B3</f>
        <v>0</v>
      </c>
      <c r="J90" s="2">
        <v>0.0</v>
      </c>
      <c r="K90" s="2">
        <v>0.0</v>
      </c>
      <c r="L90" s="2">
        <v>0.0</v>
      </c>
    </row>
    <row r="91">
      <c r="A91" s="12">
        <v>45925.0</v>
      </c>
      <c r="B91" s="6" t="s">
        <v>62</v>
      </c>
      <c r="C91" s="2">
        <v>0.0</v>
      </c>
      <c r="D91" s="16">
        <f t="shared" si="3"/>
        <v>0</v>
      </c>
      <c r="E91" s="17">
        <f>D91/B1</f>
        <v>0</v>
      </c>
      <c r="F91" s="16">
        <f t="shared" si="4"/>
        <v>0</v>
      </c>
      <c r="G91" s="17">
        <f>F91/B2</f>
        <v>0</v>
      </c>
      <c r="H91" s="15">
        <f t="shared" si="5"/>
        <v>0</v>
      </c>
      <c r="I91" s="14">
        <f>H91/B3</f>
        <v>0</v>
      </c>
      <c r="J91" s="2">
        <v>0.0</v>
      </c>
      <c r="K91" s="2">
        <v>0.0</v>
      </c>
      <c r="L91" s="2">
        <v>0.0</v>
      </c>
    </row>
    <row r="92">
      <c r="A92" s="12">
        <v>45925.0</v>
      </c>
      <c r="B92" s="6" t="s">
        <v>63</v>
      </c>
      <c r="C92" s="2">
        <v>0.0</v>
      </c>
      <c r="D92" s="16">
        <f t="shared" si="3"/>
        <v>0</v>
      </c>
      <c r="E92" s="17">
        <f>D92/B1</f>
        <v>0</v>
      </c>
      <c r="F92" s="16">
        <f t="shared" si="4"/>
        <v>0</v>
      </c>
      <c r="G92" s="17">
        <f>F92/B2</f>
        <v>0</v>
      </c>
      <c r="H92" s="15">
        <f t="shared" si="5"/>
        <v>0</v>
      </c>
      <c r="I92" s="14">
        <f>H92/B3</f>
        <v>0</v>
      </c>
      <c r="J92" s="2">
        <v>0.0</v>
      </c>
      <c r="K92" s="2">
        <v>0.0</v>
      </c>
      <c r="L92" s="2">
        <v>0.0</v>
      </c>
    </row>
    <row r="93">
      <c r="A93" s="12">
        <v>45926.0</v>
      </c>
      <c r="B93" s="6" t="s">
        <v>61</v>
      </c>
      <c r="C93" s="2">
        <v>0.0</v>
      </c>
      <c r="D93" s="16">
        <f t="shared" si="3"/>
        <v>0</v>
      </c>
      <c r="E93" s="17">
        <f>D93/B1</f>
        <v>0</v>
      </c>
      <c r="F93" s="16">
        <f t="shared" si="4"/>
        <v>0</v>
      </c>
      <c r="G93" s="17">
        <f>F93/B2</f>
        <v>0</v>
      </c>
      <c r="H93" s="15">
        <f t="shared" si="5"/>
        <v>0</v>
      </c>
      <c r="I93" s="14">
        <f>H93/B3</f>
        <v>0</v>
      </c>
      <c r="J93" s="2">
        <v>0.0</v>
      </c>
      <c r="K93" s="2">
        <v>0.0</v>
      </c>
      <c r="L93" s="2">
        <v>0.0</v>
      </c>
    </row>
    <row r="94">
      <c r="A94" s="12">
        <v>45926.0</v>
      </c>
      <c r="B94" s="6" t="s">
        <v>62</v>
      </c>
      <c r="C94" s="2">
        <v>0.0</v>
      </c>
      <c r="D94" s="16">
        <f t="shared" si="3"/>
        <v>0</v>
      </c>
      <c r="E94" s="17">
        <f>D94/B1</f>
        <v>0</v>
      </c>
      <c r="F94" s="16">
        <f t="shared" si="4"/>
        <v>0</v>
      </c>
      <c r="G94" s="17">
        <f>F94/B2</f>
        <v>0</v>
      </c>
      <c r="H94" s="15">
        <f t="shared" si="5"/>
        <v>0</v>
      </c>
      <c r="I94" s="14">
        <f>H94/B3</f>
        <v>0</v>
      </c>
      <c r="J94" s="2">
        <v>0.0</v>
      </c>
      <c r="K94" s="2">
        <v>0.0</v>
      </c>
      <c r="L94" s="2">
        <v>0.0</v>
      </c>
    </row>
    <row r="95">
      <c r="A95" s="12">
        <v>45926.0</v>
      </c>
      <c r="B95" s="6" t="s">
        <v>63</v>
      </c>
      <c r="C95" s="2">
        <v>0.0</v>
      </c>
      <c r="D95" s="16">
        <f t="shared" si="3"/>
        <v>0</v>
      </c>
      <c r="E95" s="17">
        <f>D95/B1</f>
        <v>0</v>
      </c>
      <c r="F95" s="16">
        <f t="shared" si="4"/>
        <v>0</v>
      </c>
      <c r="G95" s="17">
        <f>F95/B2</f>
        <v>0</v>
      </c>
      <c r="H95" s="15">
        <f t="shared" si="5"/>
        <v>0</v>
      </c>
      <c r="I95" s="14">
        <f>H95/B3</f>
        <v>0</v>
      </c>
      <c r="J95" s="2">
        <v>0.0</v>
      </c>
      <c r="K95" s="2">
        <v>0.0</v>
      </c>
      <c r="L95" s="2">
        <v>0.0</v>
      </c>
    </row>
    <row r="96">
      <c r="A96" s="12">
        <v>45927.0</v>
      </c>
      <c r="B96" s="6" t="s">
        <v>61</v>
      </c>
      <c r="C96" s="2">
        <v>0.0</v>
      </c>
      <c r="D96" s="16">
        <f t="shared" si="3"/>
        <v>0</v>
      </c>
      <c r="E96" s="17">
        <f>D96/B1</f>
        <v>0</v>
      </c>
      <c r="F96" s="16">
        <f t="shared" si="4"/>
        <v>0</v>
      </c>
      <c r="G96" s="17">
        <f>F96/B2</f>
        <v>0</v>
      </c>
      <c r="H96" s="15">
        <f t="shared" si="5"/>
        <v>0</v>
      </c>
      <c r="I96" s="14">
        <f>H96/B3</f>
        <v>0</v>
      </c>
      <c r="J96" s="2">
        <v>0.0</v>
      </c>
      <c r="K96" s="2">
        <v>0.0</v>
      </c>
      <c r="L96" s="2">
        <v>0.0</v>
      </c>
    </row>
    <row r="97">
      <c r="A97" s="12">
        <v>45927.0</v>
      </c>
      <c r="B97" s="6" t="s">
        <v>62</v>
      </c>
      <c r="C97" s="2">
        <v>0.0</v>
      </c>
      <c r="D97" s="16">
        <f t="shared" si="3"/>
        <v>0</v>
      </c>
      <c r="E97" s="17">
        <f>D97/B1</f>
        <v>0</v>
      </c>
      <c r="F97" s="16">
        <f t="shared" si="4"/>
        <v>0</v>
      </c>
      <c r="G97" s="17">
        <f>F97/B2</f>
        <v>0</v>
      </c>
      <c r="H97" s="15">
        <f t="shared" si="5"/>
        <v>0</v>
      </c>
      <c r="I97" s="14">
        <f>H97/B3</f>
        <v>0</v>
      </c>
      <c r="J97" s="2">
        <v>0.0</v>
      </c>
      <c r="K97" s="2">
        <v>0.0</v>
      </c>
      <c r="L97" s="2">
        <v>0.0</v>
      </c>
    </row>
    <row r="98">
      <c r="A98" s="12">
        <v>45927.0</v>
      </c>
      <c r="B98" s="6" t="s">
        <v>63</v>
      </c>
      <c r="C98" s="2">
        <v>0.0</v>
      </c>
      <c r="D98" s="16">
        <f t="shared" si="3"/>
        <v>0</v>
      </c>
      <c r="E98" s="17">
        <f>D98/B1</f>
        <v>0</v>
      </c>
      <c r="F98" s="16">
        <f t="shared" si="4"/>
        <v>0</v>
      </c>
      <c r="G98" s="17">
        <f>F98/B2</f>
        <v>0</v>
      </c>
      <c r="H98" s="15">
        <f t="shared" si="5"/>
        <v>0</v>
      </c>
      <c r="I98" s="14">
        <f>H98/B3</f>
        <v>0</v>
      </c>
      <c r="J98" s="2">
        <v>0.0</v>
      </c>
      <c r="K98" s="2">
        <v>0.0</v>
      </c>
      <c r="L98" s="2">
        <v>0.0</v>
      </c>
    </row>
  </sheetData>
  <dataValidations>
    <dataValidation type="list" allowBlank="1" showErrorMessage="1" sqref="B6:B98">
      <formula1>"WW,FLA,MAC1+"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60.13"/>
    <col customWidth="1" min="2" max="2" width="22.63"/>
    <col customWidth="1" min="3" max="3" width="10.25"/>
    <col customWidth="1" min="4" max="4" width="17.0"/>
    <col customWidth="1" min="5" max="5" width="15.0"/>
    <col customWidth="1" min="6" max="6" width="17.0"/>
    <col customWidth="1" min="7" max="7" width="16.13"/>
    <col customWidth="1" min="8" max="9" width="16.38"/>
    <col customWidth="1" min="10" max="10" width="12.63"/>
    <col customWidth="1" min="11" max="11" width="14.88"/>
    <col customWidth="1" min="12" max="12" width="13.0"/>
  </cols>
  <sheetData>
    <row r="1">
      <c r="A1" s="1" t="s">
        <v>102</v>
      </c>
      <c r="B1" s="2">
        <v>25.0</v>
      </c>
      <c r="C1" s="2">
        <f>D110</f>
        <v>0</v>
      </c>
      <c r="D1" s="5">
        <f t="shared" ref="D1:D4" si="1">C1/B1</f>
        <v>0</v>
      </c>
      <c r="G1" s="1" t="s">
        <v>1</v>
      </c>
      <c r="H1" s="3">
        <f>IFERROR(__xludf.DUMMYFUNCTION("COUNTUNIQUE(A6:A110)"),35.0)</f>
        <v>35</v>
      </c>
      <c r="I1" s="3"/>
      <c r="J1" s="6"/>
      <c r="K1" s="3"/>
      <c r="L1" s="3"/>
      <c r="M1" s="7"/>
      <c r="N1" s="7"/>
    </row>
    <row r="2">
      <c r="A2" s="1" t="s">
        <v>103</v>
      </c>
      <c r="B2" s="2">
        <v>15.0</v>
      </c>
      <c r="C2" s="4">
        <f>F110</f>
        <v>0</v>
      </c>
      <c r="D2" s="5">
        <f t="shared" si="1"/>
        <v>0</v>
      </c>
      <c r="G2" s="1" t="s">
        <v>5</v>
      </c>
      <c r="H2" s="3">
        <f>(B1+B2+B3)/F4</f>
        <v>35</v>
      </c>
      <c r="I2" s="3"/>
      <c r="J2" s="3"/>
      <c r="K2" s="3"/>
      <c r="L2" s="3"/>
      <c r="M2" s="7"/>
      <c r="N2" s="7"/>
    </row>
    <row r="3">
      <c r="A3" s="1" t="s">
        <v>104</v>
      </c>
      <c r="B3" s="2">
        <v>15.0</v>
      </c>
      <c r="C3" s="4">
        <f>H110</f>
        <v>0</v>
      </c>
      <c r="D3" s="8">
        <f t="shared" si="1"/>
        <v>0</v>
      </c>
      <c r="E3" s="3"/>
      <c r="F3" s="6"/>
      <c r="G3" s="3"/>
      <c r="H3" s="3"/>
      <c r="I3" s="3"/>
      <c r="J3" s="3"/>
      <c r="K3" s="3"/>
      <c r="L3" s="3"/>
      <c r="M3" s="7"/>
      <c r="N3" s="7"/>
    </row>
    <row r="4">
      <c r="A4" s="3"/>
      <c r="B4" s="9">
        <f t="shared" ref="B4:C4" si="2">SUM(B1:B3)</f>
        <v>55</v>
      </c>
      <c r="C4" s="9">
        <f t="shared" si="2"/>
        <v>0</v>
      </c>
      <c r="D4" s="5">
        <f t="shared" si="1"/>
        <v>0</v>
      </c>
      <c r="E4" s="1" t="s">
        <v>7</v>
      </c>
      <c r="F4" s="3">
        <f>SUM(C6:C110)/H1</f>
        <v>1.571428571</v>
      </c>
      <c r="G4" s="3"/>
      <c r="H4" s="3"/>
      <c r="I4" s="3"/>
      <c r="J4" s="3"/>
      <c r="K4" s="3"/>
      <c r="L4" s="3"/>
      <c r="M4" s="7"/>
      <c r="N4" s="7"/>
    </row>
    <row r="5">
      <c r="A5" s="10" t="s">
        <v>8</v>
      </c>
      <c r="B5" s="10" t="s">
        <v>9</v>
      </c>
      <c r="C5" s="10" t="s">
        <v>10</v>
      </c>
      <c r="D5" s="10" t="s">
        <v>11</v>
      </c>
      <c r="E5" s="10" t="s">
        <v>11</v>
      </c>
      <c r="F5" s="10" t="s">
        <v>67</v>
      </c>
      <c r="G5" s="10" t="s">
        <v>67</v>
      </c>
      <c r="H5" s="10" t="s">
        <v>39</v>
      </c>
      <c r="I5" s="10" t="s">
        <v>39</v>
      </c>
      <c r="J5" s="10" t="s">
        <v>14</v>
      </c>
      <c r="K5" s="10" t="s">
        <v>70</v>
      </c>
      <c r="L5" s="10" t="s">
        <v>41</v>
      </c>
      <c r="M5" s="7"/>
      <c r="N5" s="7"/>
    </row>
    <row r="6">
      <c r="A6" s="12">
        <v>45930.0</v>
      </c>
      <c r="B6" s="6" t="s">
        <v>61</v>
      </c>
      <c r="C6" s="2">
        <v>4.23</v>
      </c>
      <c r="D6" s="4">
        <f>IF(B6="WW",B1-C6,B1)</f>
        <v>20.77</v>
      </c>
      <c r="E6" s="13">
        <f>D6/B1</f>
        <v>0.8308</v>
      </c>
      <c r="F6" s="2">
        <f>IF(B6="FLA",B2-C6,B2)</f>
        <v>15</v>
      </c>
      <c r="G6" s="14">
        <f>F6/B2</f>
        <v>1</v>
      </c>
      <c r="H6" s="15">
        <f>IF(B6="MAC1+",B3-C6,B3)</f>
        <v>15</v>
      </c>
      <c r="I6" s="14">
        <f>H6/B3</f>
        <v>1</v>
      </c>
      <c r="J6" s="2">
        <v>0.0</v>
      </c>
      <c r="K6" s="2">
        <v>0.0</v>
      </c>
      <c r="L6" s="2">
        <v>0.0</v>
      </c>
      <c r="M6" s="7"/>
      <c r="N6" s="7"/>
    </row>
    <row r="7">
      <c r="A7" s="12">
        <v>45930.0</v>
      </c>
      <c r="B7" s="6" t="s">
        <v>62</v>
      </c>
      <c r="C7" s="2">
        <v>0.81</v>
      </c>
      <c r="D7" s="16">
        <f t="shared" ref="D7:D110" si="3">IF(B7="WW",D6-C7,D6)</f>
        <v>20.77</v>
      </c>
      <c r="E7" s="17">
        <f>D7/B1</f>
        <v>0.8308</v>
      </c>
      <c r="F7" s="16">
        <f t="shared" ref="F7:F110" si="4">IF(B7="FLA",F6-C7,F6)</f>
        <v>14.19</v>
      </c>
      <c r="G7" s="17">
        <f>F7/B2</f>
        <v>0.946</v>
      </c>
      <c r="H7" s="15">
        <f t="shared" ref="H7:H110" si="5">IF(B7="MAC1+",H6-C7,H6)</f>
        <v>15</v>
      </c>
      <c r="I7" s="14">
        <f>H7/B3</f>
        <v>1</v>
      </c>
      <c r="J7" s="2">
        <v>0.0</v>
      </c>
      <c r="K7" s="2">
        <v>0.0</v>
      </c>
      <c r="L7" s="2">
        <v>0.0</v>
      </c>
      <c r="M7" s="7"/>
      <c r="N7" s="7"/>
    </row>
    <row r="8">
      <c r="A8" s="12">
        <v>45930.0</v>
      </c>
      <c r="B8" s="6" t="s">
        <v>63</v>
      </c>
      <c r="C8" s="2">
        <v>0.0</v>
      </c>
      <c r="D8" s="16">
        <f t="shared" si="3"/>
        <v>20.77</v>
      </c>
      <c r="E8" s="17">
        <f>D8/B1</f>
        <v>0.8308</v>
      </c>
      <c r="F8" s="16">
        <f t="shared" si="4"/>
        <v>14.19</v>
      </c>
      <c r="G8" s="17">
        <f>F8/B2</f>
        <v>0.946</v>
      </c>
      <c r="H8" s="15">
        <f t="shared" si="5"/>
        <v>15</v>
      </c>
      <c r="I8" s="14">
        <f>H8/B3</f>
        <v>1</v>
      </c>
      <c r="J8" s="2">
        <v>0.0</v>
      </c>
      <c r="K8" s="2">
        <v>0.0</v>
      </c>
      <c r="L8" s="2">
        <v>0.0</v>
      </c>
      <c r="M8" s="7"/>
      <c r="N8" s="7"/>
    </row>
    <row r="9">
      <c r="A9" s="12">
        <v>45931.0</v>
      </c>
      <c r="B9" s="6" t="s">
        <v>61</v>
      </c>
      <c r="C9" s="2">
        <v>0.0</v>
      </c>
      <c r="D9" s="16">
        <f t="shared" si="3"/>
        <v>20.77</v>
      </c>
      <c r="E9" s="17">
        <f>D9/B1</f>
        <v>0.8308</v>
      </c>
      <c r="F9" s="16">
        <f t="shared" si="4"/>
        <v>14.19</v>
      </c>
      <c r="G9" s="17">
        <f>F9/B2</f>
        <v>0.946</v>
      </c>
      <c r="H9" s="15">
        <f t="shared" si="5"/>
        <v>15</v>
      </c>
      <c r="I9" s="14">
        <f>H9/B3</f>
        <v>1</v>
      </c>
      <c r="J9" s="2">
        <v>0.0</v>
      </c>
      <c r="K9" s="2">
        <v>0.0</v>
      </c>
      <c r="L9" s="2">
        <v>0.0</v>
      </c>
      <c r="M9" s="7"/>
      <c r="N9" s="7"/>
    </row>
    <row r="10">
      <c r="A10" s="12">
        <v>45931.0</v>
      </c>
      <c r="B10" s="6" t="s">
        <v>62</v>
      </c>
      <c r="C10" s="2">
        <v>0.0</v>
      </c>
      <c r="D10" s="16">
        <f t="shared" si="3"/>
        <v>20.77</v>
      </c>
      <c r="E10" s="17">
        <f>D10/B1</f>
        <v>0.8308</v>
      </c>
      <c r="F10" s="16">
        <f t="shared" si="4"/>
        <v>14.19</v>
      </c>
      <c r="G10" s="17">
        <f>F10/B2</f>
        <v>0.946</v>
      </c>
      <c r="H10" s="15">
        <f t="shared" si="5"/>
        <v>15</v>
      </c>
      <c r="I10" s="14">
        <f>H10/B3</f>
        <v>1</v>
      </c>
      <c r="J10" s="2">
        <v>0.0</v>
      </c>
      <c r="K10" s="2">
        <v>0.0</v>
      </c>
      <c r="L10" s="2">
        <v>0.0</v>
      </c>
      <c r="M10" s="7"/>
      <c r="N10" s="7"/>
    </row>
    <row r="11">
      <c r="A11" s="12">
        <v>45931.0</v>
      </c>
      <c r="B11" s="6" t="s">
        <v>63</v>
      </c>
      <c r="C11" s="2">
        <v>0.0</v>
      </c>
      <c r="D11" s="16">
        <f t="shared" si="3"/>
        <v>20.77</v>
      </c>
      <c r="E11" s="17">
        <f>D11/B1</f>
        <v>0.8308</v>
      </c>
      <c r="F11" s="16">
        <f t="shared" si="4"/>
        <v>14.19</v>
      </c>
      <c r="G11" s="17">
        <f>F11/B2</f>
        <v>0.946</v>
      </c>
      <c r="H11" s="15">
        <f t="shared" si="5"/>
        <v>15</v>
      </c>
      <c r="I11" s="14">
        <f>H11/B3</f>
        <v>1</v>
      </c>
      <c r="J11" s="2">
        <v>0.0</v>
      </c>
      <c r="K11" s="2">
        <v>0.0</v>
      </c>
      <c r="L11" s="2">
        <v>0.0</v>
      </c>
      <c r="M11" s="7"/>
      <c r="N11" s="7"/>
    </row>
    <row r="12">
      <c r="A12" s="12">
        <v>45932.0</v>
      </c>
      <c r="B12" s="6" t="s">
        <v>61</v>
      </c>
      <c r="C12" s="2">
        <v>0.92</v>
      </c>
      <c r="D12" s="16">
        <f t="shared" si="3"/>
        <v>19.85</v>
      </c>
      <c r="E12" s="17">
        <f>D12/B1</f>
        <v>0.794</v>
      </c>
      <c r="F12" s="16">
        <f t="shared" si="4"/>
        <v>14.19</v>
      </c>
      <c r="G12" s="17">
        <f>F12/B2</f>
        <v>0.946</v>
      </c>
      <c r="H12" s="15">
        <f t="shared" si="5"/>
        <v>15</v>
      </c>
      <c r="I12" s="14">
        <f>H12/B3</f>
        <v>1</v>
      </c>
      <c r="J12" s="2">
        <v>0.0</v>
      </c>
      <c r="K12" s="2">
        <v>0.0</v>
      </c>
      <c r="L12" s="2">
        <v>0.0</v>
      </c>
      <c r="M12" s="7"/>
      <c r="N12" s="7"/>
    </row>
    <row r="13">
      <c r="A13" s="12">
        <v>45932.0</v>
      </c>
      <c r="B13" s="6" t="s">
        <v>62</v>
      </c>
      <c r="C13" s="2">
        <v>0.0</v>
      </c>
      <c r="D13" s="16">
        <f t="shared" si="3"/>
        <v>19.85</v>
      </c>
      <c r="E13" s="17">
        <f>D13/B1</f>
        <v>0.794</v>
      </c>
      <c r="F13" s="16">
        <f t="shared" si="4"/>
        <v>14.19</v>
      </c>
      <c r="G13" s="17">
        <f>F13/B2</f>
        <v>0.946</v>
      </c>
      <c r="H13" s="15">
        <f t="shared" si="5"/>
        <v>15</v>
      </c>
      <c r="I13" s="14">
        <f>H13/B3</f>
        <v>1</v>
      </c>
      <c r="J13" s="2">
        <v>0.0</v>
      </c>
      <c r="K13" s="2">
        <v>0.0</v>
      </c>
      <c r="L13" s="2">
        <v>0.0</v>
      </c>
      <c r="M13" s="7"/>
      <c r="N13" s="7"/>
    </row>
    <row r="14">
      <c r="A14" s="12">
        <v>45932.0</v>
      </c>
      <c r="B14" s="6" t="s">
        <v>63</v>
      </c>
      <c r="C14" s="2">
        <v>0.97</v>
      </c>
      <c r="D14" s="16">
        <f t="shared" si="3"/>
        <v>19.85</v>
      </c>
      <c r="E14" s="17">
        <f>D14/B1</f>
        <v>0.794</v>
      </c>
      <c r="F14" s="16">
        <f t="shared" si="4"/>
        <v>14.19</v>
      </c>
      <c r="G14" s="17">
        <f>F14/B2</f>
        <v>0.946</v>
      </c>
      <c r="H14" s="15">
        <f t="shared" si="5"/>
        <v>14.03</v>
      </c>
      <c r="I14" s="14">
        <f>H14/B3</f>
        <v>0.9353333333</v>
      </c>
      <c r="J14" s="2">
        <v>0.0</v>
      </c>
      <c r="K14" s="2">
        <v>0.0</v>
      </c>
      <c r="L14" s="2">
        <v>0.0</v>
      </c>
      <c r="M14" s="7"/>
      <c r="N14" s="7"/>
    </row>
    <row r="15">
      <c r="A15" s="12">
        <v>45933.0</v>
      </c>
      <c r="B15" s="6" t="s">
        <v>61</v>
      </c>
      <c r="C15" s="2">
        <v>1.07</v>
      </c>
      <c r="D15" s="16">
        <f t="shared" si="3"/>
        <v>18.78</v>
      </c>
      <c r="E15" s="17">
        <f>D15/B1</f>
        <v>0.7512</v>
      </c>
      <c r="F15" s="16">
        <f t="shared" si="4"/>
        <v>14.19</v>
      </c>
      <c r="G15" s="17">
        <f>F15/B2</f>
        <v>0.946</v>
      </c>
      <c r="H15" s="15">
        <f t="shared" si="5"/>
        <v>14.03</v>
      </c>
      <c r="I15" s="14">
        <f>H15/B3</f>
        <v>0.9353333333</v>
      </c>
      <c r="J15" s="2">
        <v>0.0</v>
      </c>
      <c r="K15" s="2">
        <v>0.0</v>
      </c>
      <c r="L15" s="2">
        <v>0.0</v>
      </c>
      <c r="M15" s="7"/>
      <c r="N15" s="7"/>
    </row>
    <row r="16">
      <c r="A16" s="12">
        <v>45933.0</v>
      </c>
      <c r="B16" s="6" t="s">
        <v>62</v>
      </c>
      <c r="C16" s="2">
        <v>1.03</v>
      </c>
      <c r="D16" s="16">
        <f t="shared" si="3"/>
        <v>18.78</v>
      </c>
      <c r="E16" s="17">
        <f>D16/B1</f>
        <v>0.7512</v>
      </c>
      <c r="F16" s="16">
        <f t="shared" si="4"/>
        <v>13.16</v>
      </c>
      <c r="G16" s="17">
        <f>F16/B2</f>
        <v>0.8773333333</v>
      </c>
      <c r="H16" s="15">
        <f t="shared" si="5"/>
        <v>14.03</v>
      </c>
      <c r="I16" s="14">
        <f>H16/B3</f>
        <v>0.9353333333</v>
      </c>
      <c r="J16" s="2">
        <v>0.0</v>
      </c>
      <c r="K16" s="2">
        <v>0.0</v>
      </c>
      <c r="L16" s="2">
        <v>0.0</v>
      </c>
      <c r="M16" s="7"/>
      <c r="N16" s="7"/>
    </row>
    <row r="17">
      <c r="A17" s="12">
        <v>45933.0</v>
      </c>
      <c r="B17" s="6" t="s">
        <v>63</v>
      </c>
      <c r="C17" s="2">
        <v>0.0</v>
      </c>
      <c r="D17" s="16">
        <f t="shared" si="3"/>
        <v>18.78</v>
      </c>
      <c r="E17" s="17">
        <f>D17/B1</f>
        <v>0.7512</v>
      </c>
      <c r="F17" s="16">
        <f t="shared" si="4"/>
        <v>13.16</v>
      </c>
      <c r="G17" s="17">
        <f>F17/B2</f>
        <v>0.8773333333</v>
      </c>
      <c r="H17" s="15">
        <f t="shared" si="5"/>
        <v>14.03</v>
      </c>
      <c r="I17" s="14">
        <f>H17/B3</f>
        <v>0.9353333333</v>
      </c>
      <c r="J17" s="2">
        <v>0.0</v>
      </c>
      <c r="K17" s="2">
        <v>0.0</v>
      </c>
      <c r="L17" s="2">
        <v>0.0</v>
      </c>
      <c r="M17" s="7"/>
      <c r="N17" s="7"/>
    </row>
    <row r="18">
      <c r="A18" s="12">
        <v>45934.0</v>
      </c>
      <c r="B18" s="6" t="s">
        <v>61</v>
      </c>
      <c r="C18" s="2">
        <v>0.0</v>
      </c>
      <c r="D18" s="16">
        <f t="shared" si="3"/>
        <v>18.78</v>
      </c>
      <c r="E18" s="17">
        <f>D18/B1</f>
        <v>0.7512</v>
      </c>
      <c r="F18" s="16">
        <f t="shared" si="4"/>
        <v>13.16</v>
      </c>
      <c r="G18" s="17">
        <f>F18/B2</f>
        <v>0.8773333333</v>
      </c>
      <c r="H18" s="15">
        <f t="shared" si="5"/>
        <v>14.03</v>
      </c>
      <c r="I18" s="14">
        <f>H18/B3</f>
        <v>0.9353333333</v>
      </c>
      <c r="J18" s="2">
        <v>0.0</v>
      </c>
      <c r="K18" s="2">
        <v>0.0</v>
      </c>
      <c r="L18" s="2">
        <v>0.0</v>
      </c>
      <c r="M18" s="7"/>
      <c r="N18" s="7"/>
    </row>
    <row r="19">
      <c r="A19" s="12">
        <v>45934.0</v>
      </c>
      <c r="B19" s="6" t="s">
        <v>62</v>
      </c>
      <c r="C19" s="2">
        <v>0.0</v>
      </c>
      <c r="D19" s="16">
        <f t="shared" si="3"/>
        <v>18.78</v>
      </c>
      <c r="E19" s="17">
        <f>D19/B1</f>
        <v>0.7512</v>
      </c>
      <c r="F19" s="16">
        <f t="shared" si="4"/>
        <v>13.16</v>
      </c>
      <c r="G19" s="17">
        <f>F19/B2</f>
        <v>0.8773333333</v>
      </c>
      <c r="H19" s="15">
        <f t="shared" si="5"/>
        <v>14.03</v>
      </c>
      <c r="I19" s="14">
        <f>H19/B3</f>
        <v>0.9353333333</v>
      </c>
      <c r="J19" s="2">
        <v>0.0</v>
      </c>
      <c r="K19" s="2">
        <v>0.0</v>
      </c>
      <c r="L19" s="2">
        <v>0.0</v>
      </c>
      <c r="M19" s="7"/>
      <c r="N19" s="7"/>
    </row>
    <row r="20">
      <c r="A20" s="12">
        <v>45934.0</v>
      </c>
      <c r="B20" s="6" t="s">
        <v>63</v>
      </c>
      <c r="C20" s="2">
        <v>0.0</v>
      </c>
      <c r="D20" s="16">
        <f t="shared" si="3"/>
        <v>18.78</v>
      </c>
      <c r="E20" s="17">
        <f>D20/B1</f>
        <v>0.7512</v>
      </c>
      <c r="F20" s="16">
        <f t="shared" si="4"/>
        <v>13.16</v>
      </c>
      <c r="G20" s="17">
        <f>F20/B2</f>
        <v>0.8773333333</v>
      </c>
      <c r="H20" s="15">
        <f t="shared" si="5"/>
        <v>14.03</v>
      </c>
      <c r="I20" s="14">
        <f>H20/B3</f>
        <v>0.9353333333</v>
      </c>
      <c r="J20" s="2">
        <v>0.0</v>
      </c>
      <c r="K20" s="2">
        <v>0.0</v>
      </c>
      <c r="L20" s="2">
        <v>0.0</v>
      </c>
      <c r="M20" s="7"/>
      <c r="N20" s="7"/>
    </row>
    <row r="21">
      <c r="A21" s="12">
        <v>45935.0</v>
      </c>
      <c r="B21" s="6" t="s">
        <v>61</v>
      </c>
      <c r="C21" s="2">
        <v>0.97</v>
      </c>
      <c r="D21" s="16">
        <f t="shared" si="3"/>
        <v>17.81</v>
      </c>
      <c r="E21" s="17">
        <f>D21/B1</f>
        <v>0.7124</v>
      </c>
      <c r="F21" s="16">
        <f t="shared" si="4"/>
        <v>13.16</v>
      </c>
      <c r="G21" s="17">
        <f>F21/B2</f>
        <v>0.8773333333</v>
      </c>
      <c r="H21" s="15">
        <f t="shared" si="5"/>
        <v>14.03</v>
      </c>
      <c r="I21" s="14">
        <f>H21/B3</f>
        <v>0.9353333333</v>
      </c>
      <c r="J21" s="2">
        <v>0.0</v>
      </c>
      <c r="K21" s="2">
        <v>0.0</v>
      </c>
      <c r="L21" s="2">
        <v>0.0</v>
      </c>
      <c r="M21" s="7"/>
      <c r="N21" s="7"/>
    </row>
    <row r="22">
      <c r="A22" s="12">
        <v>45935.0</v>
      </c>
      <c r="B22" s="6" t="s">
        <v>62</v>
      </c>
      <c r="C22" s="2">
        <v>0.0</v>
      </c>
      <c r="D22" s="16">
        <f t="shared" si="3"/>
        <v>17.81</v>
      </c>
      <c r="E22" s="17">
        <f>D22/B1</f>
        <v>0.7124</v>
      </c>
      <c r="F22" s="16">
        <f t="shared" si="4"/>
        <v>13.16</v>
      </c>
      <c r="G22" s="17">
        <f>F22/B2</f>
        <v>0.8773333333</v>
      </c>
      <c r="H22" s="15">
        <f t="shared" si="5"/>
        <v>14.03</v>
      </c>
      <c r="I22" s="14">
        <f>H22/B3</f>
        <v>0.9353333333</v>
      </c>
      <c r="J22" s="2">
        <v>0.0</v>
      </c>
      <c r="K22" s="2">
        <v>0.0</v>
      </c>
      <c r="L22" s="2">
        <v>0.0</v>
      </c>
      <c r="M22" s="7"/>
      <c r="N22" s="7"/>
    </row>
    <row r="23">
      <c r="A23" s="12">
        <v>45935.0</v>
      </c>
      <c r="B23" s="6" t="s">
        <v>63</v>
      </c>
      <c r="C23" s="2">
        <v>1.03</v>
      </c>
      <c r="D23" s="16">
        <f t="shared" si="3"/>
        <v>17.81</v>
      </c>
      <c r="E23" s="17">
        <f>D23/B1</f>
        <v>0.7124</v>
      </c>
      <c r="F23" s="16">
        <f t="shared" si="4"/>
        <v>13.16</v>
      </c>
      <c r="G23" s="17">
        <f>F23/B2</f>
        <v>0.8773333333</v>
      </c>
      <c r="H23" s="15">
        <f t="shared" si="5"/>
        <v>13</v>
      </c>
      <c r="I23" s="14">
        <f>H23/B3</f>
        <v>0.8666666667</v>
      </c>
      <c r="J23" s="2">
        <v>0.0</v>
      </c>
      <c r="K23" s="2">
        <v>0.0</v>
      </c>
      <c r="L23" s="2">
        <v>0.0</v>
      </c>
      <c r="M23" s="7"/>
      <c r="N23" s="7"/>
    </row>
    <row r="24">
      <c r="A24" s="12">
        <v>45936.0</v>
      </c>
      <c r="B24" s="6" t="s">
        <v>61</v>
      </c>
      <c r="C24" s="2">
        <v>1.01</v>
      </c>
      <c r="D24" s="16">
        <f t="shared" si="3"/>
        <v>16.8</v>
      </c>
      <c r="E24" s="17">
        <f>D24/B1</f>
        <v>0.672</v>
      </c>
      <c r="F24" s="16">
        <f t="shared" si="4"/>
        <v>13.16</v>
      </c>
      <c r="G24" s="17">
        <f>F24/B2</f>
        <v>0.8773333333</v>
      </c>
      <c r="H24" s="15">
        <f t="shared" si="5"/>
        <v>13</v>
      </c>
      <c r="I24" s="14">
        <f>H24/B3</f>
        <v>0.8666666667</v>
      </c>
      <c r="J24" s="2">
        <v>0.0</v>
      </c>
      <c r="K24" s="2">
        <v>0.0</v>
      </c>
      <c r="L24" s="2">
        <v>0.0</v>
      </c>
      <c r="M24" s="7"/>
      <c r="N24" s="7"/>
    </row>
    <row r="25">
      <c r="A25" s="12">
        <v>45936.0</v>
      </c>
      <c r="B25" s="6" t="s">
        <v>62</v>
      </c>
      <c r="C25" s="2">
        <v>0.93</v>
      </c>
      <c r="D25" s="16">
        <f t="shared" si="3"/>
        <v>16.8</v>
      </c>
      <c r="E25" s="17">
        <f>D25/B1</f>
        <v>0.672</v>
      </c>
      <c r="F25" s="16">
        <f t="shared" si="4"/>
        <v>12.23</v>
      </c>
      <c r="G25" s="17">
        <f>F25/B2</f>
        <v>0.8153333333</v>
      </c>
      <c r="H25" s="15">
        <f t="shared" si="5"/>
        <v>13</v>
      </c>
      <c r="I25" s="14">
        <f>H25/B3</f>
        <v>0.8666666667</v>
      </c>
      <c r="J25" s="2">
        <v>0.0</v>
      </c>
      <c r="K25" s="2">
        <v>0.0</v>
      </c>
      <c r="L25" s="2">
        <v>0.0</v>
      </c>
      <c r="M25" s="7"/>
      <c r="N25" s="7"/>
    </row>
    <row r="26">
      <c r="A26" s="12">
        <v>45936.0</v>
      </c>
      <c r="B26" s="6" t="s">
        <v>63</v>
      </c>
      <c r="C26" s="2">
        <v>0.0</v>
      </c>
      <c r="D26" s="16">
        <f t="shared" si="3"/>
        <v>16.8</v>
      </c>
      <c r="E26" s="17">
        <f>D26/B1</f>
        <v>0.672</v>
      </c>
      <c r="F26" s="16">
        <f t="shared" si="4"/>
        <v>12.23</v>
      </c>
      <c r="G26" s="17">
        <f>F26/B2</f>
        <v>0.8153333333</v>
      </c>
      <c r="H26" s="15">
        <f t="shared" si="5"/>
        <v>13</v>
      </c>
      <c r="I26" s="14">
        <f>H26/B3</f>
        <v>0.8666666667</v>
      </c>
      <c r="J26" s="2">
        <v>0.0</v>
      </c>
      <c r="K26" s="2">
        <v>0.0</v>
      </c>
      <c r="L26" s="2">
        <v>0.0</v>
      </c>
      <c r="M26" s="7"/>
      <c r="N26" s="7"/>
    </row>
    <row r="27">
      <c r="A27" s="12">
        <v>45937.0</v>
      </c>
      <c r="B27" s="6" t="s">
        <v>61</v>
      </c>
      <c r="C27" s="2">
        <v>1.06</v>
      </c>
      <c r="D27" s="16">
        <f t="shared" si="3"/>
        <v>15.74</v>
      </c>
      <c r="E27" s="17">
        <f>D27/B1</f>
        <v>0.6296</v>
      </c>
      <c r="F27" s="16">
        <f t="shared" si="4"/>
        <v>12.23</v>
      </c>
      <c r="G27" s="17">
        <f>F27/B2</f>
        <v>0.8153333333</v>
      </c>
      <c r="H27" s="15">
        <f t="shared" si="5"/>
        <v>13</v>
      </c>
      <c r="I27" s="14">
        <f>H27/B3</f>
        <v>0.8666666667</v>
      </c>
      <c r="J27" s="2">
        <v>0.0</v>
      </c>
      <c r="K27" s="2">
        <v>0.0</v>
      </c>
      <c r="L27" s="2">
        <v>0.0</v>
      </c>
      <c r="M27" s="7"/>
      <c r="N27" s="7"/>
    </row>
    <row r="28">
      <c r="A28" s="12">
        <v>45937.0</v>
      </c>
      <c r="B28" s="6" t="s">
        <v>62</v>
      </c>
      <c r="C28" s="2">
        <v>0.0</v>
      </c>
      <c r="D28" s="16">
        <f t="shared" si="3"/>
        <v>15.74</v>
      </c>
      <c r="E28" s="17">
        <f>D28/B1</f>
        <v>0.6296</v>
      </c>
      <c r="F28" s="16">
        <f t="shared" si="4"/>
        <v>12.23</v>
      </c>
      <c r="G28" s="17">
        <f>F28/B2</f>
        <v>0.8153333333</v>
      </c>
      <c r="H28" s="15">
        <f t="shared" si="5"/>
        <v>13</v>
      </c>
      <c r="I28" s="14">
        <f>H28/B3</f>
        <v>0.8666666667</v>
      </c>
      <c r="J28" s="2">
        <v>0.0</v>
      </c>
      <c r="K28" s="2">
        <v>0.0</v>
      </c>
      <c r="L28" s="2">
        <v>0.0</v>
      </c>
      <c r="M28" s="7"/>
      <c r="N28" s="7"/>
    </row>
    <row r="29">
      <c r="A29" s="12">
        <v>45937.0</v>
      </c>
      <c r="B29" s="6" t="s">
        <v>63</v>
      </c>
      <c r="C29" s="2">
        <v>0.92</v>
      </c>
      <c r="D29" s="16">
        <f t="shared" si="3"/>
        <v>15.74</v>
      </c>
      <c r="E29" s="17">
        <f>D29/B1</f>
        <v>0.6296</v>
      </c>
      <c r="F29" s="16">
        <f t="shared" si="4"/>
        <v>12.23</v>
      </c>
      <c r="G29" s="17">
        <f>F29/B2</f>
        <v>0.8153333333</v>
      </c>
      <c r="H29" s="15">
        <f t="shared" si="5"/>
        <v>12.08</v>
      </c>
      <c r="I29" s="14">
        <f>H29/B3</f>
        <v>0.8053333333</v>
      </c>
      <c r="J29" s="2">
        <v>0.0</v>
      </c>
      <c r="K29" s="2">
        <v>0.0</v>
      </c>
      <c r="L29" s="2">
        <v>0.0</v>
      </c>
      <c r="M29" s="7"/>
      <c r="N29" s="7"/>
    </row>
    <row r="30">
      <c r="A30" s="12">
        <v>45938.0</v>
      </c>
      <c r="B30" s="6" t="s">
        <v>61</v>
      </c>
      <c r="C30" s="2">
        <v>0.99</v>
      </c>
      <c r="D30" s="16">
        <f t="shared" si="3"/>
        <v>14.75</v>
      </c>
      <c r="E30" s="17">
        <f>D30/B1</f>
        <v>0.59</v>
      </c>
      <c r="F30" s="16">
        <f t="shared" si="4"/>
        <v>12.23</v>
      </c>
      <c r="G30" s="17">
        <f>F30/B2</f>
        <v>0.8153333333</v>
      </c>
      <c r="H30" s="15">
        <f t="shared" si="5"/>
        <v>12.08</v>
      </c>
      <c r="I30" s="14">
        <f>H30/B3</f>
        <v>0.8053333333</v>
      </c>
      <c r="J30" s="2">
        <v>0.0</v>
      </c>
      <c r="K30" s="2">
        <v>0.0</v>
      </c>
      <c r="L30" s="2">
        <v>0.0</v>
      </c>
      <c r="M30" s="7"/>
      <c r="N30" s="7"/>
    </row>
    <row r="31">
      <c r="A31" s="12">
        <v>45938.0</v>
      </c>
      <c r="B31" s="6" t="s">
        <v>62</v>
      </c>
      <c r="C31" s="2">
        <v>0.96</v>
      </c>
      <c r="D31" s="16">
        <f t="shared" si="3"/>
        <v>14.75</v>
      </c>
      <c r="E31" s="17">
        <f>D31/B1</f>
        <v>0.59</v>
      </c>
      <c r="F31" s="16">
        <f t="shared" si="4"/>
        <v>11.27</v>
      </c>
      <c r="G31" s="17">
        <f>F31/B2</f>
        <v>0.7513333333</v>
      </c>
      <c r="H31" s="15">
        <f t="shared" si="5"/>
        <v>12.08</v>
      </c>
      <c r="I31" s="14">
        <f>H31/B3</f>
        <v>0.8053333333</v>
      </c>
      <c r="J31" s="2">
        <v>0.0</v>
      </c>
      <c r="K31" s="2">
        <v>0.0</v>
      </c>
      <c r="L31" s="2">
        <v>0.0</v>
      </c>
      <c r="M31" s="7"/>
      <c r="N31" s="7"/>
    </row>
    <row r="32">
      <c r="A32" s="12">
        <v>45938.0</v>
      </c>
      <c r="B32" s="6" t="s">
        <v>63</v>
      </c>
      <c r="C32" s="2">
        <v>0.0</v>
      </c>
      <c r="D32" s="16">
        <f t="shared" si="3"/>
        <v>14.75</v>
      </c>
      <c r="E32" s="17">
        <f>D32/B1</f>
        <v>0.59</v>
      </c>
      <c r="F32" s="16">
        <f t="shared" si="4"/>
        <v>11.27</v>
      </c>
      <c r="G32" s="17">
        <f>F32/B2</f>
        <v>0.7513333333</v>
      </c>
      <c r="H32" s="15">
        <f t="shared" si="5"/>
        <v>12.08</v>
      </c>
      <c r="I32" s="14">
        <f>H32/B3</f>
        <v>0.8053333333</v>
      </c>
      <c r="J32" s="2">
        <v>0.0</v>
      </c>
      <c r="K32" s="2">
        <v>0.0</v>
      </c>
      <c r="L32" s="2">
        <v>0.0</v>
      </c>
      <c r="M32" s="7"/>
      <c r="N32" s="7"/>
    </row>
    <row r="33">
      <c r="A33" s="12">
        <v>45939.0</v>
      </c>
      <c r="B33" s="6" t="s">
        <v>61</v>
      </c>
      <c r="C33" s="2">
        <v>1.18</v>
      </c>
      <c r="D33" s="16">
        <f t="shared" si="3"/>
        <v>13.57</v>
      </c>
      <c r="E33" s="17">
        <f>D33/B1</f>
        <v>0.5428</v>
      </c>
      <c r="F33" s="16">
        <f t="shared" si="4"/>
        <v>11.27</v>
      </c>
      <c r="G33" s="17">
        <f>F33/B2</f>
        <v>0.7513333333</v>
      </c>
      <c r="H33" s="15">
        <f t="shared" si="5"/>
        <v>12.08</v>
      </c>
      <c r="I33" s="14">
        <f>H33/B3</f>
        <v>0.8053333333</v>
      </c>
      <c r="J33" s="2">
        <v>0.0</v>
      </c>
      <c r="K33" s="2">
        <v>0.0</v>
      </c>
      <c r="L33" s="2">
        <v>0.0</v>
      </c>
      <c r="M33" s="7"/>
      <c r="N33" s="7"/>
    </row>
    <row r="34">
      <c r="A34" s="12">
        <v>45939.0</v>
      </c>
      <c r="B34" s="6" t="s">
        <v>62</v>
      </c>
      <c r="C34" s="2">
        <v>0.0</v>
      </c>
      <c r="D34" s="16">
        <f t="shared" si="3"/>
        <v>13.57</v>
      </c>
      <c r="E34" s="17">
        <f>D34/B1</f>
        <v>0.5428</v>
      </c>
      <c r="F34" s="16">
        <f t="shared" si="4"/>
        <v>11.27</v>
      </c>
      <c r="G34" s="17">
        <f>F34/B2</f>
        <v>0.7513333333</v>
      </c>
      <c r="H34" s="15">
        <f t="shared" si="5"/>
        <v>12.08</v>
      </c>
      <c r="I34" s="14">
        <f>H34/B3</f>
        <v>0.8053333333</v>
      </c>
      <c r="J34" s="2">
        <v>0.0</v>
      </c>
      <c r="K34" s="2">
        <v>0.0</v>
      </c>
      <c r="L34" s="2">
        <v>0.0</v>
      </c>
      <c r="M34" s="7"/>
      <c r="N34" s="7"/>
    </row>
    <row r="35">
      <c r="A35" s="12">
        <v>45939.0</v>
      </c>
      <c r="B35" s="6" t="s">
        <v>63</v>
      </c>
      <c r="C35" s="2">
        <v>1.15</v>
      </c>
      <c r="D35" s="16">
        <f t="shared" si="3"/>
        <v>13.57</v>
      </c>
      <c r="E35" s="17">
        <f>D35/B1</f>
        <v>0.5428</v>
      </c>
      <c r="F35" s="16">
        <f t="shared" si="4"/>
        <v>11.27</v>
      </c>
      <c r="G35" s="17">
        <f>F35/B2</f>
        <v>0.7513333333</v>
      </c>
      <c r="H35" s="15">
        <f t="shared" si="5"/>
        <v>10.93</v>
      </c>
      <c r="I35" s="14">
        <f>H35/B3</f>
        <v>0.7286666667</v>
      </c>
      <c r="J35" s="2">
        <v>0.0</v>
      </c>
      <c r="K35" s="2">
        <v>0.0</v>
      </c>
      <c r="L35" s="2">
        <v>0.0</v>
      </c>
      <c r="M35" s="7"/>
      <c r="N35" s="7"/>
    </row>
    <row r="36">
      <c r="A36" s="12">
        <v>45940.0</v>
      </c>
      <c r="B36" s="6" t="s">
        <v>61</v>
      </c>
      <c r="C36" s="2">
        <v>0.0</v>
      </c>
      <c r="D36" s="16">
        <f t="shared" si="3"/>
        <v>13.57</v>
      </c>
      <c r="E36" s="17">
        <f>D36/B1</f>
        <v>0.5428</v>
      </c>
      <c r="F36" s="16">
        <f t="shared" si="4"/>
        <v>11.27</v>
      </c>
      <c r="G36" s="17">
        <f>F36/B2</f>
        <v>0.7513333333</v>
      </c>
      <c r="H36" s="15">
        <f t="shared" si="5"/>
        <v>10.93</v>
      </c>
      <c r="I36" s="14">
        <f>H36/B3</f>
        <v>0.7286666667</v>
      </c>
      <c r="J36" s="2">
        <v>0.0</v>
      </c>
      <c r="K36" s="2">
        <v>0.0</v>
      </c>
      <c r="L36" s="2">
        <v>0.0</v>
      </c>
      <c r="M36" s="7"/>
      <c r="N36" s="7"/>
    </row>
    <row r="37">
      <c r="A37" s="12">
        <v>45940.0</v>
      </c>
      <c r="B37" s="6" t="s">
        <v>62</v>
      </c>
      <c r="C37" s="2">
        <v>1.13</v>
      </c>
      <c r="D37" s="16">
        <f t="shared" si="3"/>
        <v>13.57</v>
      </c>
      <c r="E37" s="17">
        <f>D37/B1</f>
        <v>0.5428</v>
      </c>
      <c r="F37" s="16">
        <f t="shared" si="4"/>
        <v>10.14</v>
      </c>
      <c r="G37" s="17">
        <f>F37/B2</f>
        <v>0.676</v>
      </c>
      <c r="H37" s="15">
        <f t="shared" si="5"/>
        <v>10.93</v>
      </c>
      <c r="I37" s="14">
        <f>H37/B3</f>
        <v>0.7286666667</v>
      </c>
      <c r="J37" s="2">
        <v>0.0</v>
      </c>
      <c r="K37" s="2">
        <v>0.0</v>
      </c>
      <c r="L37" s="2">
        <v>0.0</v>
      </c>
      <c r="M37" s="7"/>
      <c r="N37" s="7"/>
    </row>
    <row r="38">
      <c r="A38" s="12">
        <v>45940.0</v>
      </c>
      <c r="B38" s="6" t="s">
        <v>63</v>
      </c>
      <c r="C38" s="2">
        <v>1.2</v>
      </c>
      <c r="D38" s="16">
        <f t="shared" si="3"/>
        <v>13.57</v>
      </c>
      <c r="E38" s="17">
        <f>D38/B1</f>
        <v>0.5428</v>
      </c>
      <c r="F38" s="16">
        <f t="shared" si="4"/>
        <v>10.14</v>
      </c>
      <c r="G38" s="17">
        <f>F38/B2</f>
        <v>0.676</v>
      </c>
      <c r="H38" s="15">
        <f t="shared" si="5"/>
        <v>9.73</v>
      </c>
      <c r="I38" s="14">
        <f>H38/B3</f>
        <v>0.6486666667</v>
      </c>
      <c r="J38" s="2">
        <v>0.0</v>
      </c>
      <c r="K38" s="2">
        <v>0.0</v>
      </c>
      <c r="L38" s="2">
        <v>0.0</v>
      </c>
      <c r="M38" s="7"/>
      <c r="N38" s="7"/>
    </row>
    <row r="39">
      <c r="A39" s="12">
        <v>45941.0</v>
      </c>
      <c r="B39" s="6" t="s">
        <v>61</v>
      </c>
      <c r="C39" s="2">
        <v>1.4</v>
      </c>
      <c r="D39" s="16">
        <f t="shared" si="3"/>
        <v>12.17</v>
      </c>
      <c r="E39" s="17">
        <f>D39/B1</f>
        <v>0.4868</v>
      </c>
      <c r="F39" s="16">
        <f t="shared" si="4"/>
        <v>10.14</v>
      </c>
      <c r="G39" s="17">
        <f>F39/B2</f>
        <v>0.676</v>
      </c>
      <c r="H39" s="15">
        <f t="shared" si="5"/>
        <v>9.73</v>
      </c>
      <c r="I39" s="14">
        <f>H39/B3</f>
        <v>0.6486666667</v>
      </c>
      <c r="J39" s="2">
        <v>0.0</v>
      </c>
      <c r="K39" s="2">
        <v>0.0</v>
      </c>
      <c r="L39" s="2">
        <v>0.0</v>
      </c>
      <c r="M39" s="7"/>
      <c r="N39" s="7"/>
    </row>
    <row r="40">
      <c r="A40" s="12">
        <v>45941.0</v>
      </c>
      <c r="B40" s="6" t="s">
        <v>62</v>
      </c>
      <c r="C40" s="2">
        <v>1.34</v>
      </c>
      <c r="D40" s="16">
        <f t="shared" si="3"/>
        <v>12.17</v>
      </c>
      <c r="E40" s="17">
        <f>D40/B1</f>
        <v>0.4868</v>
      </c>
      <c r="F40" s="16">
        <f t="shared" si="4"/>
        <v>8.8</v>
      </c>
      <c r="G40" s="17">
        <f>F40/B2</f>
        <v>0.5866666667</v>
      </c>
      <c r="H40" s="15">
        <f t="shared" si="5"/>
        <v>9.73</v>
      </c>
      <c r="I40" s="14">
        <f>H40/B3</f>
        <v>0.6486666667</v>
      </c>
      <c r="J40" s="2">
        <v>0.0</v>
      </c>
      <c r="K40" s="2">
        <v>0.0</v>
      </c>
      <c r="L40" s="2">
        <v>0.0</v>
      </c>
      <c r="M40" s="7"/>
      <c r="N40" s="7"/>
    </row>
    <row r="41">
      <c r="A41" s="12">
        <v>45941.0</v>
      </c>
      <c r="B41" s="6" t="s">
        <v>63</v>
      </c>
      <c r="C41" s="2">
        <v>1.35</v>
      </c>
      <c r="D41" s="16">
        <f t="shared" si="3"/>
        <v>12.17</v>
      </c>
      <c r="E41" s="17">
        <f>D41/B1</f>
        <v>0.4868</v>
      </c>
      <c r="F41" s="16">
        <f t="shared" si="4"/>
        <v>8.8</v>
      </c>
      <c r="G41" s="17">
        <f>F41/B2</f>
        <v>0.5866666667</v>
      </c>
      <c r="H41" s="15">
        <f t="shared" si="5"/>
        <v>8.38</v>
      </c>
      <c r="I41" s="14">
        <f>H41/B3</f>
        <v>0.5586666667</v>
      </c>
      <c r="J41" s="2">
        <v>0.0</v>
      </c>
      <c r="K41" s="2">
        <v>0.0</v>
      </c>
      <c r="L41" s="2">
        <v>0.0</v>
      </c>
      <c r="M41" s="7"/>
      <c r="N41" s="7"/>
    </row>
    <row r="42">
      <c r="A42" s="12">
        <v>45942.0</v>
      </c>
      <c r="B42" s="6" t="s">
        <v>61</v>
      </c>
      <c r="C42" s="2">
        <v>0.0</v>
      </c>
      <c r="D42" s="16">
        <f t="shared" si="3"/>
        <v>12.17</v>
      </c>
      <c r="E42" s="17">
        <f>D42/B1</f>
        <v>0.4868</v>
      </c>
      <c r="F42" s="16">
        <f t="shared" si="4"/>
        <v>8.8</v>
      </c>
      <c r="G42" s="17">
        <f>F42/B2</f>
        <v>0.5866666667</v>
      </c>
      <c r="H42" s="15">
        <f t="shared" si="5"/>
        <v>8.38</v>
      </c>
      <c r="I42" s="14">
        <f>H42/B3</f>
        <v>0.5586666667</v>
      </c>
      <c r="J42" s="2">
        <v>0.0</v>
      </c>
      <c r="K42" s="2">
        <v>0.0</v>
      </c>
      <c r="L42" s="2">
        <v>0.0</v>
      </c>
      <c r="M42" s="7"/>
      <c r="N42" s="7"/>
    </row>
    <row r="43">
      <c r="A43" s="12">
        <v>45942.0</v>
      </c>
      <c r="B43" s="6" t="s">
        <v>62</v>
      </c>
      <c r="C43" s="2">
        <v>0.0</v>
      </c>
      <c r="D43" s="16">
        <f t="shared" si="3"/>
        <v>12.17</v>
      </c>
      <c r="E43" s="17">
        <f>D43/B1</f>
        <v>0.4868</v>
      </c>
      <c r="F43" s="16">
        <f t="shared" si="4"/>
        <v>8.8</v>
      </c>
      <c r="G43" s="17">
        <f>F43/B2</f>
        <v>0.5866666667</v>
      </c>
      <c r="H43" s="15">
        <f t="shared" si="5"/>
        <v>8.38</v>
      </c>
      <c r="I43" s="14">
        <f>H43/B3</f>
        <v>0.5586666667</v>
      </c>
      <c r="J43" s="2">
        <v>0.0</v>
      </c>
      <c r="K43" s="2">
        <v>0.0</v>
      </c>
      <c r="L43" s="2">
        <v>0.0</v>
      </c>
      <c r="M43" s="7"/>
      <c r="N43" s="7"/>
    </row>
    <row r="44">
      <c r="A44" s="12">
        <v>45942.0</v>
      </c>
      <c r="B44" s="6" t="s">
        <v>63</v>
      </c>
      <c r="C44" s="2">
        <v>0.0</v>
      </c>
      <c r="D44" s="16">
        <f t="shared" si="3"/>
        <v>12.17</v>
      </c>
      <c r="E44" s="17">
        <f>D44/B1</f>
        <v>0.4868</v>
      </c>
      <c r="F44" s="16">
        <f t="shared" si="4"/>
        <v>8.8</v>
      </c>
      <c r="G44" s="17">
        <f>F44/B2</f>
        <v>0.5866666667</v>
      </c>
      <c r="H44" s="15">
        <f t="shared" si="5"/>
        <v>8.38</v>
      </c>
      <c r="I44" s="14">
        <f>H44/B3</f>
        <v>0.5586666667</v>
      </c>
      <c r="J44" s="2">
        <v>0.0</v>
      </c>
      <c r="K44" s="2">
        <v>0.0</v>
      </c>
      <c r="L44" s="2">
        <v>0.0</v>
      </c>
      <c r="M44" s="7"/>
      <c r="N44" s="7"/>
    </row>
    <row r="45">
      <c r="A45" s="12">
        <v>45943.0</v>
      </c>
      <c r="B45" s="6" t="s">
        <v>61</v>
      </c>
      <c r="C45" s="2">
        <v>0.0</v>
      </c>
      <c r="D45" s="16">
        <f t="shared" si="3"/>
        <v>12.17</v>
      </c>
      <c r="E45" s="17">
        <f>D45/B1</f>
        <v>0.4868</v>
      </c>
      <c r="F45" s="16">
        <f t="shared" si="4"/>
        <v>8.8</v>
      </c>
      <c r="G45" s="17">
        <f>F45/B2</f>
        <v>0.5866666667</v>
      </c>
      <c r="H45" s="15">
        <f t="shared" si="5"/>
        <v>8.38</v>
      </c>
      <c r="I45" s="14">
        <f>H45/B3</f>
        <v>0.5586666667</v>
      </c>
      <c r="J45" s="2">
        <v>0.0</v>
      </c>
      <c r="K45" s="2">
        <v>0.0</v>
      </c>
      <c r="L45" s="2">
        <v>0.0</v>
      </c>
      <c r="M45" s="7"/>
      <c r="N45" s="7"/>
    </row>
    <row r="46">
      <c r="A46" s="12">
        <v>45943.0</v>
      </c>
      <c r="B46" s="6" t="s">
        <v>62</v>
      </c>
      <c r="C46" s="2">
        <v>0.0</v>
      </c>
      <c r="D46" s="16">
        <f t="shared" si="3"/>
        <v>12.17</v>
      </c>
      <c r="E46" s="17">
        <f>D46/B1</f>
        <v>0.4868</v>
      </c>
      <c r="F46" s="16">
        <f t="shared" si="4"/>
        <v>8.8</v>
      </c>
      <c r="G46" s="17">
        <f>F46/B2</f>
        <v>0.5866666667</v>
      </c>
      <c r="H46" s="15">
        <f t="shared" si="5"/>
        <v>8.38</v>
      </c>
      <c r="I46" s="14">
        <f>H46/B3</f>
        <v>0.5586666667</v>
      </c>
      <c r="J46" s="2">
        <v>0.0</v>
      </c>
      <c r="K46" s="2">
        <v>0.0</v>
      </c>
      <c r="L46" s="2">
        <v>0.0</v>
      </c>
      <c r="M46" s="7"/>
      <c r="N46" s="7"/>
    </row>
    <row r="47">
      <c r="A47" s="12">
        <v>45943.0</v>
      </c>
      <c r="B47" s="6" t="s">
        <v>63</v>
      </c>
      <c r="C47" s="2">
        <v>0.0</v>
      </c>
      <c r="D47" s="16">
        <f t="shared" si="3"/>
        <v>12.17</v>
      </c>
      <c r="E47" s="17">
        <f>D47/B1</f>
        <v>0.4868</v>
      </c>
      <c r="F47" s="16">
        <f t="shared" si="4"/>
        <v>8.8</v>
      </c>
      <c r="G47" s="17">
        <f>F47/B2</f>
        <v>0.5866666667</v>
      </c>
      <c r="H47" s="15">
        <f t="shared" si="5"/>
        <v>8.38</v>
      </c>
      <c r="I47" s="14">
        <f>H47/B3</f>
        <v>0.5586666667</v>
      </c>
      <c r="J47" s="2">
        <v>0.0</v>
      </c>
      <c r="K47" s="2">
        <v>0.0</v>
      </c>
      <c r="L47" s="2">
        <v>0.0</v>
      </c>
      <c r="M47" s="7"/>
      <c r="N47" s="7"/>
    </row>
    <row r="48">
      <c r="A48" s="12">
        <v>45944.0</v>
      </c>
      <c r="B48" s="6" t="s">
        <v>61</v>
      </c>
      <c r="C48" s="2">
        <v>1.35</v>
      </c>
      <c r="D48" s="16">
        <f t="shared" si="3"/>
        <v>10.82</v>
      </c>
      <c r="E48" s="17">
        <f>D48/B1</f>
        <v>0.4328</v>
      </c>
      <c r="F48" s="16">
        <f t="shared" si="4"/>
        <v>8.8</v>
      </c>
      <c r="G48" s="17">
        <f>F48/B2</f>
        <v>0.5866666667</v>
      </c>
      <c r="H48" s="15">
        <f t="shared" si="5"/>
        <v>8.38</v>
      </c>
      <c r="I48" s="14">
        <f>H48/B3</f>
        <v>0.5586666667</v>
      </c>
      <c r="J48" s="2">
        <v>0.0</v>
      </c>
      <c r="K48" s="2">
        <v>0.0</v>
      </c>
      <c r="L48" s="2">
        <v>0.0</v>
      </c>
      <c r="M48" s="7"/>
      <c r="N48" s="7"/>
    </row>
    <row r="49">
      <c r="A49" s="12">
        <v>45944.0</v>
      </c>
      <c r="B49" s="6" t="s">
        <v>62</v>
      </c>
      <c r="C49" s="2">
        <v>1.31</v>
      </c>
      <c r="D49" s="16">
        <f t="shared" si="3"/>
        <v>10.82</v>
      </c>
      <c r="E49" s="17">
        <f>D49/B1</f>
        <v>0.4328</v>
      </c>
      <c r="F49" s="16">
        <f t="shared" si="4"/>
        <v>7.49</v>
      </c>
      <c r="G49" s="17">
        <f>F49/B2</f>
        <v>0.4993333333</v>
      </c>
      <c r="H49" s="15">
        <f t="shared" si="5"/>
        <v>8.38</v>
      </c>
      <c r="I49" s="14">
        <f>H49/B3</f>
        <v>0.5586666667</v>
      </c>
      <c r="J49" s="2">
        <v>0.0</v>
      </c>
      <c r="K49" s="2">
        <v>0.0</v>
      </c>
      <c r="L49" s="2">
        <v>0.0</v>
      </c>
      <c r="M49" s="7"/>
      <c r="N49" s="7"/>
    </row>
    <row r="50">
      <c r="A50" s="12">
        <v>45944.0</v>
      </c>
      <c r="B50" s="6" t="s">
        <v>63</v>
      </c>
      <c r="C50" s="2">
        <v>1.32</v>
      </c>
      <c r="D50" s="16">
        <f t="shared" si="3"/>
        <v>10.82</v>
      </c>
      <c r="E50" s="17">
        <f>D50/B1</f>
        <v>0.4328</v>
      </c>
      <c r="F50" s="16">
        <f t="shared" si="4"/>
        <v>7.49</v>
      </c>
      <c r="G50" s="17">
        <f>F50/B2</f>
        <v>0.4993333333</v>
      </c>
      <c r="H50" s="15">
        <f t="shared" si="5"/>
        <v>7.06</v>
      </c>
      <c r="I50" s="14">
        <f>H50/B3</f>
        <v>0.4706666667</v>
      </c>
      <c r="J50" s="2">
        <v>0.0</v>
      </c>
      <c r="K50" s="2">
        <v>0.0</v>
      </c>
      <c r="L50" s="2">
        <v>0.0</v>
      </c>
      <c r="M50" s="7"/>
      <c r="N50" s="7"/>
    </row>
    <row r="51">
      <c r="A51" s="12">
        <v>45945.0</v>
      </c>
      <c r="B51" s="6" t="s">
        <v>61</v>
      </c>
      <c r="C51" s="2">
        <v>1.3</v>
      </c>
      <c r="D51" s="16">
        <f t="shared" si="3"/>
        <v>9.52</v>
      </c>
      <c r="E51" s="17">
        <f>D51/B1</f>
        <v>0.3808</v>
      </c>
      <c r="F51" s="16">
        <f t="shared" si="4"/>
        <v>7.49</v>
      </c>
      <c r="G51" s="17">
        <f>F51/B2</f>
        <v>0.4993333333</v>
      </c>
      <c r="H51" s="15">
        <f t="shared" si="5"/>
        <v>7.06</v>
      </c>
      <c r="I51" s="14">
        <f>H51/B3</f>
        <v>0.4706666667</v>
      </c>
      <c r="J51" s="2">
        <v>0.0</v>
      </c>
      <c r="K51" s="2">
        <v>0.0</v>
      </c>
      <c r="L51" s="2">
        <v>0.0</v>
      </c>
      <c r="M51" s="7"/>
      <c r="N51" s="7"/>
    </row>
    <row r="52">
      <c r="A52" s="12">
        <v>45945.0</v>
      </c>
      <c r="B52" s="6" t="s">
        <v>62</v>
      </c>
      <c r="C52" s="2">
        <v>1.25</v>
      </c>
      <c r="D52" s="16">
        <f t="shared" si="3"/>
        <v>9.52</v>
      </c>
      <c r="E52" s="17">
        <f>D52/B1</f>
        <v>0.3808</v>
      </c>
      <c r="F52" s="16">
        <f t="shared" si="4"/>
        <v>6.24</v>
      </c>
      <c r="G52" s="17">
        <f>F52/B2</f>
        <v>0.416</v>
      </c>
      <c r="H52" s="15">
        <f t="shared" si="5"/>
        <v>7.06</v>
      </c>
      <c r="I52" s="14">
        <f>H52/B3</f>
        <v>0.4706666667</v>
      </c>
      <c r="J52" s="2">
        <v>0.0</v>
      </c>
      <c r="K52" s="2">
        <v>0.0</v>
      </c>
      <c r="L52" s="2">
        <v>0.0</v>
      </c>
      <c r="M52" s="7"/>
      <c r="N52" s="7"/>
    </row>
    <row r="53">
      <c r="A53" s="12">
        <v>45945.0</v>
      </c>
      <c r="B53" s="6" t="s">
        <v>63</v>
      </c>
      <c r="C53" s="2">
        <v>1.22</v>
      </c>
      <c r="D53" s="16">
        <f t="shared" si="3"/>
        <v>9.52</v>
      </c>
      <c r="E53" s="17">
        <f>D53/B1</f>
        <v>0.3808</v>
      </c>
      <c r="F53" s="16">
        <f t="shared" si="4"/>
        <v>6.24</v>
      </c>
      <c r="G53" s="17">
        <f>F53/B2</f>
        <v>0.416</v>
      </c>
      <c r="H53" s="15">
        <f t="shared" si="5"/>
        <v>5.84</v>
      </c>
      <c r="I53" s="14">
        <f>H53/B3</f>
        <v>0.3893333333</v>
      </c>
      <c r="J53" s="2">
        <v>0.0</v>
      </c>
      <c r="K53" s="2">
        <v>0.0</v>
      </c>
      <c r="L53" s="2">
        <v>0.0</v>
      </c>
      <c r="M53" s="7"/>
      <c r="N53" s="7"/>
    </row>
    <row r="54">
      <c r="A54" s="12">
        <v>45946.0</v>
      </c>
      <c r="B54" s="6" t="s">
        <v>61</v>
      </c>
      <c r="C54" s="2">
        <v>0.0</v>
      </c>
      <c r="D54" s="16">
        <f t="shared" si="3"/>
        <v>9.52</v>
      </c>
      <c r="E54" s="17">
        <f>D54/B1</f>
        <v>0.3808</v>
      </c>
      <c r="F54" s="16">
        <f t="shared" si="4"/>
        <v>6.24</v>
      </c>
      <c r="G54" s="17">
        <f>F54/B2</f>
        <v>0.416</v>
      </c>
      <c r="H54" s="15">
        <f t="shared" si="5"/>
        <v>5.84</v>
      </c>
      <c r="I54" s="14">
        <f>H54/B3</f>
        <v>0.3893333333</v>
      </c>
      <c r="J54" s="2">
        <v>0.0</v>
      </c>
      <c r="K54" s="2">
        <v>0.0</v>
      </c>
      <c r="L54" s="2">
        <v>0.0</v>
      </c>
      <c r="M54" s="7"/>
      <c r="N54" s="7"/>
    </row>
    <row r="55">
      <c r="A55" s="12">
        <v>45946.0</v>
      </c>
      <c r="B55" s="6" t="s">
        <v>62</v>
      </c>
      <c r="C55" s="2">
        <v>0.0</v>
      </c>
      <c r="D55" s="16">
        <f t="shared" si="3"/>
        <v>9.52</v>
      </c>
      <c r="E55" s="17">
        <f>D55/B1</f>
        <v>0.3808</v>
      </c>
      <c r="F55" s="16">
        <f t="shared" si="4"/>
        <v>6.24</v>
      </c>
      <c r="G55" s="17">
        <f>F55/B2</f>
        <v>0.416</v>
      </c>
      <c r="H55" s="15">
        <f t="shared" si="5"/>
        <v>5.84</v>
      </c>
      <c r="I55" s="14">
        <f>H55/B3</f>
        <v>0.3893333333</v>
      </c>
      <c r="J55" s="2">
        <v>0.0</v>
      </c>
      <c r="K55" s="2">
        <v>0.0</v>
      </c>
      <c r="L55" s="2">
        <v>0.0</v>
      </c>
      <c r="M55" s="7"/>
      <c r="N55" s="7"/>
    </row>
    <row r="56">
      <c r="A56" s="12">
        <v>45946.0</v>
      </c>
      <c r="B56" s="6" t="s">
        <v>63</v>
      </c>
      <c r="C56" s="2">
        <v>0.0</v>
      </c>
      <c r="D56" s="16">
        <f t="shared" si="3"/>
        <v>9.52</v>
      </c>
      <c r="E56" s="17">
        <f>D56/B1</f>
        <v>0.3808</v>
      </c>
      <c r="F56" s="16">
        <f t="shared" si="4"/>
        <v>6.24</v>
      </c>
      <c r="G56" s="17">
        <f>F56/B2</f>
        <v>0.416</v>
      </c>
      <c r="H56" s="15">
        <f t="shared" si="5"/>
        <v>5.84</v>
      </c>
      <c r="I56" s="14">
        <f>H56/B3</f>
        <v>0.3893333333</v>
      </c>
      <c r="J56" s="2">
        <v>0.0</v>
      </c>
      <c r="K56" s="2">
        <v>0.0</v>
      </c>
      <c r="L56" s="2">
        <v>0.0</v>
      </c>
      <c r="M56" s="7"/>
      <c r="N56" s="7"/>
    </row>
    <row r="57">
      <c r="A57" s="12">
        <v>45947.0</v>
      </c>
      <c r="B57" s="6" t="s">
        <v>61</v>
      </c>
      <c r="C57" s="2">
        <v>1.5</v>
      </c>
      <c r="D57" s="16">
        <f t="shared" si="3"/>
        <v>8.02</v>
      </c>
      <c r="E57" s="17">
        <f>D57/B1</f>
        <v>0.3208</v>
      </c>
      <c r="F57" s="16">
        <f t="shared" si="4"/>
        <v>6.24</v>
      </c>
      <c r="G57" s="17">
        <f>F57/B2</f>
        <v>0.416</v>
      </c>
      <c r="H57" s="15">
        <f t="shared" si="5"/>
        <v>5.84</v>
      </c>
      <c r="I57" s="14">
        <f>H57/B3</f>
        <v>0.3893333333</v>
      </c>
      <c r="J57" s="2">
        <v>0.0</v>
      </c>
      <c r="K57" s="2">
        <v>0.0</v>
      </c>
      <c r="L57" s="2">
        <v>0.0</v>
      </c>
      <c r="M57" s="7"/>
      <c r="N57" s="7"/>
    </row>
    <row r="58">
      <c r="A58" s="12">
        <v>45947.0</v>
      </c>
      <c r="B58" s="6" t="s">
        <v>62</v>
      </c>
      <c r="C58" s="2">
        <v>1.44</v>
      </c>
      <c r="D58" s="16">
        <f t="shared" si="3"/>
        <v>8.02</v>
      </c>
      <c r="E58" s="17">
        <f>D58/B1</f>
        <v>0.3208</v>
      </c>
      <c r="F58" s="16">
        <f t="shared" si="4"/>
        <v>4.8</v>
      </c>
      <c r="G58" s="17">
        <f>F58/B2</f>
        <v>0.32</v>
      </c>
      <c r="H58" s="15">
        <f t="shared" si="5"/>
        <v>5.84</v>
      </c>
      <c r="I58" s="14">
        <f>H58/B3</f>
        <v>0.3893333333</v>
      </c>
      <c r="J58" s="2">
        <v>0.0</v>
      </c>
      <c r="K58" s="2">
        <v>0.0</v>
      </c>
      <c r="L58" s="2">
        <v>0.0</v>
      </c>
      <c r="M58" s="7"/>
      <c r="N58" s="7"/>
    </row>
    <row r="59">
      <c r="A59" s="12">
        <v>45947.0</v>
      </c>
      <c r="B59" s="6" t="s">
        <v>63</v>
      </c>
      <c r="C59" s="2">
        <v>1.48</v>
      </c>
      <c r="D59" s="16">
        <f t="shared" si="3"/>
        <v>8.02</v>
      </c>
      <c r="E59" s="17">
        <f>D59/B1</f>
        <v>0.3208</v>
      </c>
      <c r="F59" s="16">
        <f t="shared" si="4"/>
        <v>4.8</v>
      </c>
      <c r="G59" s="17">
        <f>F59/B2</f>
        <v>0.32</v>
      </c>
      <c r="H59" s="15">
        <f t="shared" si="5"/>
        <v>4.36</v>
      </c>
      <c r="I59" s="14">
        <f>H59/B3</f>
        <v>0.2906666667</v>
      </c>
      <c r="J59" s="2">
        <v>0.0</v>
      </c>
      <c r="K59" s="2">
        <v>0.0</v>
      </c>
      <c r="L59" s="2">
        <v>0.0</v>
      </c>
    </row>
    <row r="60">
      <c r="A60" s="12">
        <v>45948.0</v>
      </c>
      <c r="B60" s="6" t="s">
        <v>61</v>
      </c>
      <c r="C60" s="2">
        <v>0.0</v>
      </c>
      <c r="D60" s="16">
        <f t="shared" si="3"/>
        <v>8.02</v>
      </c>
      <c r="E60" s="17">
        <f>D60/B1</f>
        <v>0.3208</v>
      </c>
      <c r="F60" s="16">
        <f t="shared" si="4"/>
        <v>4.8</v>
      </c>
      <c r="G60" s="17">
        <f>F60/B2</f>
        <v>0.32</v>
      </c>
      <c r="H60" s="15">
        <f t="shared" si="5"/>
        <v>4.36</v>
      </c>
      <c r="I60" s="14">
        <f>H60/B3</f>
        <v>0.2906666667</v>
      </c>
      <c r="J60" s="2">
        <v>0.0</v>
      </c>
      <c r="K60" s="2">
        <v>0.0</v>
      </c>
      <c r="L60" s="2">
        <v>0.0</v>
      </c>
    </row>
    <row r="61">
      <c r="A61" s="12">
        <v>45948.0</v>
      </c>
      <c r="B61" s="6" t="s">
        <v>62</v>
      </c>
      <c r="C61" s="2">
        <v>0.0</v>
      </c>
      <c r="D61" s="16">
        <f t="shared" si="3"/>
        <v>8.02</v>
      </c>
      <c r="E61" s="17">
        <f>D61/B1</f>
        <v>0.3208</v>
      </c>
      <c r="F61" s="16">
        <f t="shared" si="4"/>
        <v>4.8</v>
      </c>
      <c r="G61" s="17">
        <f>F61/B2</f>
        <v>0.32</v>
      </c>
      <c r="H61" s="15">
        <f t="shared" si="5"/>
        <v>4.36</v>
      </c>
      <c r="I61" s="14">
        <f>H61/B3</f>
        <v>0.2906666667</v>
      </c>
      <c r="J61" s="2">
        <v>0.0</v>
      </c>
      <c r="K61" s="2">
        <v>0.0</v>
      </c>
      <c r="L61" s="2">
        <v>0.0</v>
      </c>
    </row>
    <row r="62">
      <c r="A62" s="12">
        <v>45948.0</v>
      </c>
      <c r="B62" s="6" t="s">
        <v>63</v>
      </c>
      <c r="C62" s="2">
        <v>0.0</v>
      </c>
      <c r="D62" s="16">
        <f t="shared" si="3"/>
        <v>8.02</v>
      </c>
      <c r="E62" s="17">
        <f>D62/B1</f>
        <v>0.3208</v>
      </c>
      <c r="F62" s="16">
        <f t="shared" si="4"/>
        <v>4.8</v>
      </c>
      <c r="G62" s="17">
        <f>F62/B2</f>
        <v>0.32</v>
      </c>
      <c r="H62" s="15">
        <f t="shared" si="5"/>
        <v>4.36</v>
      </c>
      <c r="I62" s="14">
        <f>H62/B3</f>
        <v>0.2906666667</v>
      </c>
      <c r="J62" s="2">
        <v>0.0</v>
      </c>
      <c r="K62" s="2">
        <v>0.0</v>
      </c>
      <c r="L62" s="2">
        <v>0.0</v>
      </c>
    </row>
    <row r="63">
      <c r="A63" s="12">
        <v>45949.0</v>
      </c>
      <c r="B63" s="6" t="s">
        <v>61</v>
      </c>
      <c r="C63" s="2">
        <v>1.31</v>
      </c>
      <c r="D63" s="16">
        <f t="shared" si="3"/>
        <v>6.71</v>
      </c>
      <c r="E63" s="17">
        <f>D63/B1</f>
        <v>0.2684</v>
      </c>
      <c r="F63" s="16">
        <f t="shared" si="4"/>
        <v>4.8</v>
      </c>
      <c r="G63" s="17">
        <f>F63/B2</f>
        <v>0.32</v>
      </c>
      <c r="H63" s="15">
        <f t="shared" si="5"/>
        <v>4.36</v>
      </c>
      <c r="I63" s="14">
        <f>H63/B3</f>
        <v>0.2906666667</v>
      </c>
      <c r="J63" s="2">
        <v>0.0</v>
      </c>
      <c r="K63" s="2">
        <v>0.0</v>
      </c>
      <c r="L63" s="2">
        <v>0.0</v>
      </c>
    </row>
    <row r="64">
      <c r="A64" s="12">
        <v>45949.0</v>
      </c>
      <c r="B64" s="6" t="s">
        <v>62</v>
      </c>
      <c r="C64" s="2">
        <v>1.29</v>
      </c>
      <c r="D64" s="16">
        <f t="shared" si="3"/>
        <v>6.71</v>
      </c>
      <c r="E64" s="17">
        <f>D64/B1</f>
        <v>0.2684</v>
      </c>
      <c r="F64" s="16">
        <f t="shared" si="4"/>
        <v>3.51</v>
      </c>
      <c r="G64" s="17">
        <f>F64/B2</f>
        <v>0.234</v>
      </c>
      <c r="H64" s="15">
        <f t="shared" si="5"/>
        <v>4.36</v>
      </c>
      <c r="I64" s="14">
        <f>H64/B3</f>
        <v>0.2906666667</v>
      </c>
      <c r="J64" s="2">
        <v>0.0</v>
      </c>
      <c r="K64" s="2">
        <v>0.0</v>
      </c>
      <c r="L64" s="2">
        <v>0.0</v>
      </c>
    </row>
    <row r="65">
      <c r="A65" s="12">
        <v>45949.0</v>
      </c>
      <c r="B65" s="6" t="s">
        <v>63</v>
      </c>
      <c r="C65" s="2">
        <v>1.3</v>
      </c>
      <c r="D65" s="16">
        <f t="shared" si="3"/>
        <v>6.71</v>
      </c>
      <c r="E65" s="17">
        <f>D65/B1</f>
        <v>0.2684</v>
      </c>
      <c r="F65" s="16">
        <f t="shared" si="4"/>
        <v>3.51</v>
      </c>
      <c r="G65" s="17">
        <f>F65/B2</f>
        <v>0.234</v>
      </c>
      <c r="H65" s="15">
        <f t="shared" si="5"/>
        <v>3.06</v>
      </c>
      <c r="I65" s="14">
        <f>H65/B3</f>
        <v>0.204</v>
      </c>
      <c r="J65" s="2">
        <v>0.0</v>
      </c>
      <c r="K65" s="2">
        <v>0.0</v>
      </c>
      <c r="L65" s="2">
        <v>0.0</v>
      </c>
    </row>
    <row r="66">
      <c r="A66" s="12">
        <v>45950.0</v>
      </c>
      <c r="B66" s="6" t="s">
        <v>61</v>
      </c>
      <c r="C66" s="2">
        <v>0.0</v>
      </c>
      <c r="D66" s="16">
        <f t="shared" si="3"/>
        <v>6.71</v>
      </c>
      <c r="E66" s="17">
        <f>D66/B1</f>
        <v>0.2684</v>
      </c>
      <c r="F66" s="16">
        <f t="shared" si="4"/>
        <v>3.51</v>
      </c>
      <c r="G66" s="17">
        <f>F66/B2</f>
        <v>0.234</v>
      </c>
      <c r="H66" s="15">
        <f t="shared" si="5"/>
        <v>3.06</v>
      </c>
      <c r="I66" s="14">
        <f>H66/B3</f>
        <v>0.204</v>
      </c>
      <c r="J66" s="2">
        <v>0.0</v>
      </c>
      <c r="K66" s="2">
        <v>0.0</v>
      </c>
      <c r="L66" s="2">
        <v>0.0</v>
      </c>
    </row>
    <row r="67">
      <c r="A67" s="12">
        <v>45950.0</v>
      </c>
      <c r="B67" s="6" t="s">
        <v>62</v>
      </c>
      <c r="C67" s="2">
        <v>0.0</v>
      </c>
      <c r="D67" s="16">
        <f t="shared" si="3"/>
        <v>6.71</v>
      </c>
      <c r="E67" s="17">
        <f>D67/B1</f>
        <v>0.2684</v>
      </c>
      <c r="F67" s="16">
        <f t="shared" si="4"/>
        <v>3.51</v>
      </c>
      <c r="G67" s="17">
        <f>F67/B2</f>
        <v>0.234</v>
      </c>
      <c r="H67" s="15">
        <f t="shared" si="5"/>
        <v>3.06</v>
      </c>
      <c r="I67" s="14">
        <f>H67/B3</f>
        <v>0.204</v>
      </c>
      <c r="J67" s="2">
        <v>0.0</v>
      </c>
      <c r="K67" s="2">
        <v>0.0</v>
      </c>
      <c r="L67" s="2">
        <v>0.0</v>
      </c>
    </row>
    <row r="68">
      <c r="A68" s="12">
        <v>45950.0</v>
      </c>
      <c r="B68" s="6" t="s">
        <v>63</v>
      </c>
      <c r="C68" s="2">
        <v>0.0</v>
      </c>
      <c r="D68" s="16">
        <f t="shared" si="3"/>
        <v>6.71</v>
      </c>
      <c r="E68" s="17">
        <f>D68/B1</f>
        <v>0.2684</v>
      </c>
      <c r="F68" s="16">
        <f t="shared" si="4"/>
        <v>3.51</v>
      </c>
      <c r="G68" s="17">
        <f>F68/B2</f>
        <v>0.234</v>
      </c>
      <c r="H68" s="15">
        <f t="shared" si="5"/>
        <v>3.06</v>
      </c>
      <c r="I68" s="14">
        <f>H68/B3</f>
        <v>0.204</v>
      </c>
      <c r="J68" s="2">
        <v>0.0</v>
      </c>
      <c r="K68" s="2">
        <v>0.0</v>
      </c>
      <c r="L68" s="2">
        <v>0.0</v>
      </c>
    </row>
    <row r="69">
      <c r="A69" s="12">
        <v>45951.0</v>
      </c>
      <c r="B69" s="6" t="s">
        <v>61</v>
      </c>
      <c r="C69" s="2">
        <v>0.0</v>
      </c>
      <c r="D69" s="16">
        <f t="shared" si="3"/>
        <v>6.71</v>
      </c>
      <c r="E69" s="17">
        <f>D69/B1</f>
        <v>0.2684</v>
      </c>
      <c r="F69" s="16">
        <f t="shared" si="4"/>
        <v>3.51</v>
      </c>
      <c r="G69" s="17">
        <f>F69/B2</f>
        <v>0.234</v>
      </c>
      <c r="H69" s="15">
        <f t="shared" si="5"/>
        <v>3.06</v>
      </c>
      <c r="I69" s="14">
        <f>H69/B3</f>
        <v>0.204</v>
      </c>
      <c r="J69" s="2">
        <v>0.0</v>
      </c>
      <c r="K69" s="2">
        <v>0.0</v>
      </c>
      <c r="L69" s="2">
        <v>0.0</v>
      </c>
    </row>
    <row r="70">
      <c r="A70" s="12">
        <v>45951.0</v>
      </c>
      <c r="B70" s="6" t="s">
        <v>62</v>
      </c>
      <c r="C70" s="2">
        <v>1.26</v>
      </c>
      <c r="D70" s="16">
        <f t="shared" si="3"/>
        <v>6.71</v>
      </c>
      <c r="E70" s="17">
        <f>D70/B1</f>
        <v>0.2684</v>
      </c>
      <c r="F70" s="16">
        <f t="shared" si="4"/>
        <v>2.25</v>
      </c>
      <c r="G70" s="17">
        <f>F70/B2</f>
        <v>0.15</v>
      </c>
      <c r="H70" s="15">
        <f t="shared" si="5"/>
        <v>3.06</v>
      </c>
      <c r="I70" s="14">
        <f>H70/B3</f>
        <v>0.204</v>
      </c>
      <c r="J70" s="2">
        <v>0.0</v>
      </c>
      <c r="K70" s="2">
        <v>0.0</v>
      </c>
      <c r="L70" s="2">
        <v>0.0</v>
      </c>
    </row>
    <row r="71">
      <c r="A71" s="12">
        <v>45951.0</v>
      </c>
      <c r="B71" s="6" t="s">
        <v>63</v>
      </c>
      <c r="C71" s="2">
        <v>1.29</v>
      </c>
      <c r="D71" s="16">
        <f t="shared" si="3"/>
        <v>6.71</v>
      </c>
      <c r="E71" s="17">
        <f>D71/B1</f>
        <v>0.2684</v>
      </c>
      <c r="F71" s="16">
        <f t="shared" si="4"/>
        <v>2.25</v>
      </c>
      <c r="G71" s="17">
        <f>F71/B2</f>
        <v>0.15</v>
      </c>
      <c r="H71" s="15">
        <f t="shared" si="5"/>
        <v>1.77</v>
      </c>
      <c r="I71" s="14">
        <f>H71/B3</f>
        <v>0.118</v>
      </c>
      <c r="J71" s="2">
        <v>0.0</v>
      </c>
      <c r="K71" s="2">
        <v>0.0</v>
      </c>
      <c r="L71" s="2">
        <v>0.0</v>
      </c>
    </row>
    <row r="72">
      <c r="A72" s="12">
        <v>45952.0</v>
      </c>
      <c r="B72" s="6" t="s">
        <v>61</v>
      </c>
      <c r="C72" s="2">
        <v>0.0</v>
      </c>
      <c r="D72" s="16">
        <f t="shared" si="3"/>
        <v>6.71</v>
      </c>
      <c r="E72" s="17">
        <f>D72/B1</f>
        <v>0.2684</v>
      </c>
      <c r="F72" s="16">
        <f t="shared" si="4"/>
        <v>2.25</v>
      </c>
      <c r="G72" s="17">
        <f>F72/B2</f>
        <v>0.15</v>
      </c>
      <c r="H72" s="15">
        <f t="shared" si="5"/>
        <v>1.77</v>
      </c>
      <c r="I72" s="14">
        <f>H72/B3</f>
        <v>0.118</v>
      </c>
      <c r="J72" s="2">
        <v>0.0</v>
      </c>
      <c r="K72" s="2">
        <v>0.0</v>
      </c>
      <c r="L72" s="2">
        <v>0.0</v>
      </c>
    </row>
    <row r="73">
      <c r="A73" s="12">
        <v>45952.0</v>
      </c>
      <c r="B73" s="6" t="s">
        <v>62</v>
      </c>
      <c r="C73" s="2">
        <v>0.0</v>
      </c>
      <c r="D73" s="16">
        <f t="shared" si="3"/>
        <v>6.71</v>
      </c>
      <c r="E73" s="17">
        <f>D73/B1</f>
        <v>0.2684</v>
      </c>
      <c r="F73" s="16">
        <f t="shared" si="4"/>
        <v>2.25</v>
      </c>
      <c r="G73" s="17">
        <f>F73/B2</f>
        <v>0.15</v>
      </c>
      <c r="H73" s="15">
        <f t="shared" si="5"/>
        <v>1.77</v>
      </c>
      <c r="I73" s="14">
        <f>H73/B3</f>
        <v>0.118</v>
      </c>
      <c r="J73" s="2">
        <v>0.0</v>
      </c>
      <c r="K73" s="2">
        <v>0.0</v>
      </c>
      <c r="L73" s="2">
        <v>0.0</v>
      </c>
    </row>
    <row r="74">
      <c r="A74" s="12">
        <v>45952.0</v>
      </c>
      <c r="B74" s="6" t="s">
        <v>63</v>
      </c>
      <c r="C74" s="2">
        <v>0.0</v>
      </c>
      <c r="D74" s="16">
        <f t="shared" si="3"/>
        <v>6.71</v>
      </c>
      <c r="E74" s="17">
        <f>D74/B1</f>
        <v>0.2684</v>
      </c>
      <c r="F74" s="16">
        <f t="shared" si="4"/>
        <v>2.25</v>
      </c>
      <c r="G74" s="17">
        <f>F74/B2</f>
        <v>0.15</v>
      </c>
      <c r="H74" s="15">
        <f t="shared" si="5"/>
        <v>1.77</v>
      </c>
      <c r="I74" s="14">
        <f>H74/B3</f>
        <v>0.118</v>
      </c>
      <c r="J74" s="2">
        <v>0.0</v>
      </c>
      <c r="K74" s="2">
        <v>0.0</v>
      </c>
      <c r="L74" s="2">
        <v>0.0</v>
      </c>
    </row>
    <row r="75">
      <c r="A75" s="12">
        <v>45953.0</v>
      </c>
      <c r="B75" s="6" t="s">
        <v>61</v>
      </c>
      <c r="C75" s="2">
        <v>1.29</v>
      </c>
      <c r="D75" s="16">
        <f t="shared" si="3"/>
        <v>5.42</v>
      </c>
      <c r="E75" s="17">
        <f>D75/B1</f>
        <v>0.2168</v>
      </c>
      <c r="F75" s="16">
        <f t="shared" si="4"/>
        <v>2.25</v>
      </c>
      <c r="G75" s="17">
        <f>F75/B2</f>
        <v>0.15</v>
      </c>
      <c r="H75" s="15">
        <f t="shared" si="5"/>
        <v>1.77</v>
      </c>
      <c r="I75" s="14">
        <f>H75/B3</f>
        <v>0.118</v>
      </c>
      <c r="J75" s="2">
        <v>0.0</v>
      </c>
      <c r="K75" s="2">
        <v>0.0</v>
      </c>
      <c r="L75" s="2">
        <v>0.0</v>
      </c>
    </row>
    <row r="76">
      <c r="A76" s="12">
        <v>45953.0</v>
      </c>
      <c r="B76" s="6" t="s">
        <v>62</v>
      </c>
      <c r="C76" s="2">
        <v>1.27</v>
      </c>
      <c r="D76" s="16">
        <f t="shared" si="3"/>
        <v>5.42</v>
      </c>
      <c r="E76" s="17">
        <f>D76/B1</f>
        <v>0.2168</v>
      </c>
      <c r="F76" s="16">
        <f t="shared" si="4"/>
        <v>0.98</v>
      </c>
      <c r="G76" s="17">
        <f>F76/B2</f>
        <v>0.06533333333</v>
      </c>
      <c r="H76" s="15">
        <f t="shared" si="5"/>
        <v>1.77</v>
      </c>
      <c r="I76" s="14">
        <f>H76/B3</f>
        <v>0.118</v>
      </c>
      <c r="J76" s="2">
        <v>0.0</v>
      </c>
      <c r="K76" s="2">
        <v>0.0</v>
      </c>
      <c r="L76" s="2">
        <v>0.0</v>
      </c>
    </row>
    <row r="77">
      <c r="A77" s="12">
        <v>45953.0</v>
      </c>
      <c r="B77" s="6" t="s">
        <v>63</v>
      </c>
      <c r="C77" s="2">
        <v>1.29</v>
      </c>
      <c r="D77" s="16">
        <f t="shared" si="3"/>
        <v>5.42</v>
      </c>
      <c r="E77" s="17">
        <f>D77/B1</f>
        <v>0.2168</v>
      </c>
      <c r="F77" s="16">
        <f t="shared" si="4"/>
        <v>0.98</v>
      </c>
      <c r="G77" s="17">
        <f>F77/B2</f>
        <v>0.06533333333</v>
      </c>
      <c r="H77" s="15">
        <f t="shared" si="5"/>
        <v>0.48</v>
      </c>
      <c r="I77" s="14">
        <f>H77/B3</f>
        <v>0.032</v>
      </c>
      <c r="J77" s="2">
        <v>0.0</v>
      </c>
      <c r="K77" s="2">
        <v>0.0</v>
      </c>
      <c r="L77" s="2">
        <v>0.0</v>
      </c>
    </row>
    <row r="78">
      <c r="A78" s="12">
        <v>45954.0</v>
      </c>
      <c r="B78" s="6" t="s">
        <v>61</v>
      </c>
      <c r="C78" s="2">
        <v>0.0</v>
      </c>
      <c r="D78" s="16">
        <f t="shared" si="3"/>
        <v>5.42</v>
      </c>
      <c r="E78" s="17">
        <f>D78/B1</f>
        <v>0.2168</v>
      </c>
      <c r="F78" s="16">
        <f t="shared" si="4"/>
        <v>0.98</v>
      </c>
      <c r="G78" s="17">
        <f>F78/B2</f>
        <v>0.06533333333</v>
      </c>
      <c r="H78" s="15">
        <f t="shared" si="5"/>
        <v>0.48</v>
      </c>
      <c r="I78" s="14">
        <f>H78/B3</f>
        <v>0.032</v>
      </c>
      <c r="J78" s="2">
        <v>0.0</v>
      </c>
      <c r="K78" s="2">
        <v>0.0</v>
      </c>
      <c r="L78" s="2">
        <v>0.0</v>
      </c>
    </row>
    <row r="79">
      <c r="A79" s="12">
        <v>45954.0</v>
      </c>
      <c r="B79" s="6" t="s">
        <v>62</v>
      </c>
      <c r="C79" s="2">
        <v>0.98</v>
      </c>
      <c r="D79" s="16">
        <f t="shared" si="3"/>
        <v>5.42</v>
      </c>
      <c r="E79" s="17">
        <f>D79/B1</f>
        <v>0.2168</v>
      </c>
      <c r="F79" s="16">
        <f t="shared" si="4"/>
        <v>0</v>
      </c>
      <c r="G79" s="17">
        <f>F79/B2</f>
        <v>0</v>
      </c>
      <c r="H79" s="15">
        <f t="shared" si="5"/>
        <v>0.48</v>
      </c>
      <c r="I79" s="14">
        <f>H79/B3</f>
        <v>0.032</v>
      </c>
      <c r="J79" s="2">
        <v>0.0</v>
      </c>
      <c r="K79" s="2">
        <v>0.0</v>
      </c>
      <c r="L79" s="2">
        <v>0.0</v>
      </c>
    </row>
    <row r="80">
      <c r="A80" s="12">
        <v>45954.0</v>
      </c>
      <c r="B80" s="6" t="s">
        <v>63</v>
      </c>
      <c r="C80" s="2">
        <v>0.48</v>
      </c>
      <c r="D80" s="16">
        <f t="shared" si="3"/>
        <v>5.42</v>
      </c>
      <c r="E80" s="17">
        <f>D80/B1</f>
        <v>0.2168</v>
      </c>
      <c r="F80" s="16">
        <f t="shared" si="4"/>
        <v>0</v>
      </c>
      <c r="G80" s="17">
        <f>F80/B2</f>
        <v>0</v>
      </c>
      <c r="H80" s="15">
        <f t="shared" si="5"/>
        <v>0</v>
      </c>
      <c r="I80" s="14">
        <f>H80/B3</f>
        <v>0</v>
      </c>
      <c r="J80" s="2">
        <v>0.0</v>
      </c>
      <c r="K80" s="2">
        <v>0.0</v>
      </c>
      <c r="L80" s="2">
        <v>0.0</v>
      </c>
    </row>
    <row r="81">
      <c r="A81" s="12">
        <v>45955.0</v>
      </c>
      <c r="B81" s="6" t="s">
        <v>61</v>
      </c>
      <c r="C81" s="2">
        <v>0.0</v>
      </c>
      <c r="D81" s="16">
        <f t="shared" si="3"/>
        <v>5.42</v>
      </c>
      <c r="E81" s="17">
        <f>D81/B1</f>
        <v>0.2168</v>
      </c>
      <c r="F81" s="16">
        <f t="shared" si="4"/>
        <v>0</v>
      </c>
      <c r="G81" s="17">
        <f>F81/B2</f>
        <v>0</v>
      </c>
      <c r="H81" s="15">
        <f t="shared" si="5"/>
        <v>0</v>
      </c>
      <c r="I81" s="14">
        <f>H81/B3</f>
        <v>0</v>
      </c>
      <c r="J81" s="2">
        <v>0.0</v>
      </c>
      <c r="K81" s="2">
        <v>0.0</v>
      </c>
      <c r="L81" s="2">
        <v>0.0</v>
      </c>
    </row>
    <row r="82">
      <c r="A82" s="12">
        <v>45955.0</v>
      </c>
      <c r="B82" s="6" t="s">
        <v>62</v>
      </c>
      <c r="C82" s="2">
        <v>0.0</v>
      </c>
      <c r="D82" s="16">
        <f t="shared" si="3"/>
        <v>5.42</v>
      </c>
      <c r="E82" s="17">
        <f>D82/B1</f>
        <v>0.2168</v>
      </c>
      <c r="F82" s="16">
        <f t="shared" si="4"/>
        <v>0</v>
      </c>
      <c r="G82" s="17">
        <f>F82/B2</f>
        <v>0</v>
      </c>
      <c r="H82" s="15">
        <f t="shared" si="5"/>
        <v>0</v>
      </c>
      <c r="I82" s="14">
        <f>H82/B3</f>
        <v>0</v>
      </c>
      <c r="J82" s="2">
        <v>0.0</v>
      </c>
      <c r="K82" s="2">
        <v>0.0</v>
      </c>
      <c r="L82" s="2">
        <v>0.0</v>
      </c>
    </row>
    <row r="83">
      <c r="A83" s="12">
        <v>45955.0</v>
      </c>
      <c r="B83" s="6" t="s">
        <v>63</v>
      </c>
      <c r="C83" s="2">
        <v>0.0</v>
      </c>
      <c r="D83" s="16">
        <f t="shared" si="3"/>
        <v>5.42</v>
      </c>
      <c r="E83" s="17">
        <f>D83/B1</f>
        <v>0.2168</v>
      </c>
      <c r="F83" s="16">
        <f t="shared" si="4"/>
        <v>0</v>
      </c>
      <c r="G83" s="17">
        <f>F83/B2</f>
        <v>0</v>
      </c>
      <c r="H83" s="15">
        <f t="shared" si="5"/>
        <v>0</v>
      </c>
      <c r="I83" s="14">
        <f>H83/B3</f>
        <v>0</v>
      </c>
      <c r="J83" s="2">
        <v>0.0</v>
      </c>
      <c r="K83" s="2">
        <v>0.0</v>
      </c>
      <c r="L83" s="2">
        <v>0.0</v>
      </c>
    </row>
    <row r="84">
      <c r="A84" s="12">
        <v>45956.0</v>
      </c>
      <c r="B84" s="6" t="s">
        <v>61</v>
      </c>
      <c r="C84" s="2">
        <v>2.61</v>
      </c>
      <c r="D84" s="16">
        <f t="shared" si="3"/>
        <v>2.81</v>
      </c>
      <c r="E84" s="17">
        <f>D84/B1</f>
        <v>0.1124</v>
      </c>
      <c r="F84" s="16">
        <f t="shared" si="4"/>
        <v>0</v>
      </c>
      <c r="G84" s="17">
        <f>F84/B2</f>
        <v>0</v>
      </c>
      <c r="H84" s="15">
        <f t="shared" si="5"/>
        <v>0</v>
      </c>
      <c r="I84" s="14">
        <f>H84/B3</f>
        <v>0</v>
      </c>
      <c r="J84" s="2">
        <v>0.0</v>
      </c>
      <c r="K84" s="2">
        <v>0.0</v>
      </c>
      <c r="L84" s="2">
        <v>0.0</v>
      </c>
    </row>
    <row r="85">
      <c r="A85" s="12">
        <v>45956.0</v>
      </c>
      <c r="B85" s="6" t="s">
        <v>62</v>
      </c>
      <c r="C85" s="2">
        <v>0.0</v>
      </c>
      <c r="D85" s="16">
        <f t="shared" si="3"/>
        <v>2.81</v>
      </c>
      <c r="E85" s="17">
        <f>D85/B1</f>
        <v>0.1124</v>
      </c>
      <c r="F85" s="16">
        <f t="shared" si="4"/>
        <v>0</v>
      </c>
      <c r="G85" s="17">
        <f>F85/B2</f>
        <v>0</v>
      </c>
      <c r="H85" s="15">
        <f t="shared" si="5"/>
        <v>0</v>
      </c>
      <c r="I85" s="14">
        <f>H85/B3</f>
        <v>0</v>
      </c>
      <c r="J85" s="2">
        <v>0.0</v>
      </c>
      <c r="K85" s="2">
        <v>0.0</v>
      </c>
      <c r="L85" s="2">
        <v>0.0</v>
      </c>
    </row>
    <row r="86">
      <c r="A86" s="12">
        <v>45956.0</v>
      </c>
      <c r="B86" s="6" t="s">
        <v>63</v>
      </c>
      <c r="C86" s="2">
        <v>0.0</v>
      </c>
      <c r="D86" s="16">
        <f t="shared" si="3"/>
        <v>2.81</v>
      </c>
      <c r="E86" s="17">
        <f>D86/B1</f>
        <v>0.1124</v>
      </c>
      <c r="F86" s="16">
        <f t="shared" si="4"/>
        <v>0</v>
      </c>
      <c r="G86" s="17">
        <f>F86/B2</f>
        <v>0</v>
      </c>
      <c r="H86" s="15">
        <f t="shared" si="5"/>
        <v>0</v>
      </c>
      <c r="I86" s="14">
        <f>H86/B3</f>
        <v>0</v>
      </c>
      <c r="J86" s="2">
        <v>0.0</v>
      </c>
      <c r="K86" s="2">
        <v>0.0</v>
      </c>
      <c r="L86" s="2">
        <v>0.0</v>
      </c>
    </row>
    <row r="87">
      <c r="A87" s="12">
        <v>45957.0</v>
      </c>
      <c r="B87" s="6" t="s">
        <v>61</v>
      </c>
      <c r="C87" s="2">
        <v>0.0</v>
      </c>
      <c r="D87" s="16">
        <f t="shared" si="3"/>
        <v>2.81</v>
      </c>
      <c r="E87" s="17">
        <f>D87/B1</f>
        <v>0.1124</v>
      </c>
      <c r="F87" s="16">
        <f t="shared" si="4"/>
        <v>0</v>
      </c>
      <c r="G87" s="17">
        <f>F87/B2</f>
        <v>0</v>
      </c>
      <c r="H87" s="15">
        <f t="shared" si="5"/>
        <v>0</v>
      </c>
      <c r="I87" s="14">
        <f>H87/B3</f>
        <v>0</v>
      </c>
      <c r="J87" s="2">
        <v>0.0</v>
      </c>
      <c r="K87" s="2">
        <v>0.0</v>
      </c>
      <c r="L87" s="2">
        <v>0.0</v>
      </c>
    </row>
    <row r="88">
      <c r="A88" s="12">
        <v>45957.0</v>
      </c>
      <c r="B88" s="6" t="s">
        <v>62</v>
      </c>
      <c r="C88" s="2">
        <v>0.0</v>
      </c>
      <c r="D88" s="16">
        <f t="shared" si="3"/>
        <v>2.81</v>
      </c>
      <c r="E88" s="17">
        <f>D88/B1</f>
        <v>0.1124</v>
      </c>
      <c r="F88" s="16">
        <f t="shared" si="4"/>
        <v>0</v>
      </c>
      <c r="G88" s="17">
        <f>F88/B2</f>
        <v>0</v>
      </c>
      <c r="H88" s="15">
        <f t="shared" si="5"/>
        <v>0</v>
      </c>
      <c r="I88" s="14">
        <f>H88/B3</f>
        <v>0</v>
      </c>
      <c r="J88" s="2">
        <v>0.0</v>
      </c>
      <c r="K88" s="2">
        <v>0.0</v>
      </c>
      <c r="L88" s="2">
        <v>0.0</v>
      </c>
    </row>
    <row r="89">
      <c r="A89" s="12">
        <v>45957.0</v>
      </c>
      <c r="B89" s="6" t="s">
        <v>63</v>
      </c>
      <c r="C89" s="2">
        <v>0.0</v>
      </c>
      <c r="D89" s="16">
        <f t="shared" si="3"/>
        <v>2.81</v>
      </c>
      <c r="E89" s="17">
        <f>D89/B1</f>
        <v>0.1124</v>
      </c>
      <c r="F89" s="16">
        <f t="shared" si="4"/>
        <v>0</v>
      </c>
      <c r="G89" s="17">
        <f>F89/B2</f>
        <v>0</v>
      </c>
      <c r="H89" s="15">
        <f t="shared" si="5"/>
        <v>0</v>
      </c>
      <c r="I89" s="14">
        <f>H89/B3</f>
        <v>0</v>
      </c>
      <c r="J89" s="2">
        <v>0.0</v>
      </c>
      <c r="K89" s="2">
        <v>0.0</v>
      </c>
      <c r="L89" s="2">
        <v>0.0</v>
      </c>
    </row>
    <row r="90">
      <c r="A90" s="12">
        <v>45958.0</v>
      </c>
      <c r="B90" s="6" t="s">
        <v>61</v>
      </c>
      <c r="C90" s="2">
        <v>1.63</v>
      </c>
      <c r="D90" s="16">
        <f t="shared" si="3"/>
        <v>1.18</v>
      </c>
      <c r="E90" s="17">
        <f>D90/B1</f>
        <v>0.0472</v>
      </c>
      <c r="F90" s="16">
        <f t="shared" si="4"/>
        <v>0</v>
      </c>
      <c r="G90" s="17">
        <f>F90/B2</f>
        <v>0</v>
      </c>
      <c r="H90" s="15">
        <f t="shared" si="5"/>
        <v>0</v>
      </c>
      <c r="I90" s="14">
        <f>H90/B3</f>
        <v>0</v>
      </c>
      <c r="J90" s="2">
        <v>0.0</v>
      </c>
      <c r="K90" s="2">
        <v>0.0</v>
      </c>
      <c r="L90" s="2">
        <v>0.0</v>
      </c>
    </row>
    <row r="91">
      <c r="A91" s="12">
        <v>45958.0</v>
      </c>
      <c r="B91" s="6" t="s">
        <v>62</v>
      </c>
      <c r="C91" s="2">
        <v>0.0</v>
      </c>
      <c r="D91" s="16">
        <f t="shared" si="3"/>
        <v>1.18</v>
      </c>
      <c r="E91" s="17">
        <f>D91/B1</f>
        <v>0.0472</v>
      </c>
      <c r="F91" s="16">
        <f t="shared" si="4"/>
        <v>0</v>
      </c>
      <c r="G91" s="17">
        <f>F91/B2</f>
        <v>0</v>
      </c>
      <c r="H91" s="15">
        <f t="shared" si="5"/>
        <v>0</v>
      </c>
      <c r="I91" s="14">
        <f>H91/B3</f>
        <v>0</v>
      </c>
      <c r="J91" s="2">
        <v>0.0</v>
      </c>
      <c r="K91" s="2">
        <v>0.0</v>
      </c>
      <c r="L91" s="2">
        <v>0.0</v>
      </c>
    </row>
    <row r="92">
      <c r="A92" s="12">
        <v>45958.0</v>
      </c>
      <c r="B92" s="6" t="s">
        <v>63</v>
      </c>
      <c r="C92" s="2">
        <v>0.0</v>
      </c>
      <c r="D92" s="16">
        <f t="shared" si="3"/>
        <v>1.18</v>
      </c>
      <c r="E92" s="17">
        <f>D92/B1</f>
        <v>0.0472</v>
      </c>
      <c r="F92" s="16">
        <f t="shared" si="4"/>
        <v>0</v>
      </c>
      <c r="G92" s="17">
        <f>F92/B2</f>
        <v>0</v>
      </c>
      <c r="H92" s="15">
        <f t="shared" si="5"/>
        <v>0</v>
      </c>
      <c r="I92" s="14">
        <f>H92/B3</f>
        <v>0</v>
      </c>
      <c r="J92" s="2">
        <v>0.0</v>
      </c>
      <c r="K92" s="2">
        <v>0.0</v>
      </c>
      <c r="L92" s="2">
        <v>0.0</v>
      </c>
    </row>
    <row r="93">
      <c r="A93" s="12">
        <v>45959.0</v>
      </c>
      <c r="B93" s="6" t="s">
        <v>61</v>
      </c>
      <c r="C93" s="2">
        <v>0.0</v>
      </c>
      <c r="D93" s="16">
        <f t="shared" si="3"/>
        <v>1.18</v>
      </c>
      <c r="E93" s="17">
        <f>D93/B1</f>
        <v>0.0472</v>
      </c>
      <c r="F93" s="16">
        <f t="shared" si="4"/>
        <v>0</v>
      </c>
      <c r="G93" s="17">
        <f>F93/B2</f>
        <v>0</v>
      </c>
      <c r="H93" s="15">
        <f t="shared" si="5"/>
        <v>0</v>
      </c>
      <c r="I93" s="14">
        <f>H93/B3</f>
        <v>0</v>
      </c>
      <c r="J93" s="2">
        <v>0.0</v>
      </c>
      <c r="K93" s="2">
        <v>0.0</v>
      </c>
      <c r="L93" s="2">
        <v>0.0</v>
      </c>
    </row>
    <row r="94">
      <c r="A94" s="12">
        <v>45959.0</v>
      </c>
      <c r="B94" s="6" t="s">
        <v>62</v>
      </c>
      <c r="C94" s="2">
        <v>0.0</v>
      </c>
      <c r="D94" s="16">
        <f t="shared" si="3"/>
        <v>1.18</v>
      </c>
      <c r="E94" s="17">
        <f>D94/B1</f>
        <v>0.0472</v>
      </c>
      <c r="F94" s="16">
        <f t="shared" si="4"/>
        <v>0</v>
      </c>
      <c r="G94" s="17">
        <f>F94/B2</f>
        <v>0</v>
      </c>
      <c r="H94" s="15">
        <f t="shared" si="5"/>
        <v>0</v>
      </c>
      <c r="I94" s="14">
        <f>H94/B3</f>
        <v>0</v>
      </c>
      <c r="J94" s="2">
        <v>0.0</v>
      </c>
      <c r="K94" s="2">
        <v>0.0</v>
      </c>
      <c r="L94" s="2">
        <v>0.0</v>
      </c>
    </row>
    <row r="95">
      <c r="A95" s="12">
        <v>45959.0</v>
      </c>
      <c r="B95" s="6" t="s">
        <v>63</v>
      </c>
      <c r="C95" s="2">
        <v>0.0</v>
      </c>
      <c r="D95" s="16">
        <f t="shared" si="3"/>
        <v>1.18</v>
      </c>
      <c r="E95" s="17">
        <f>D95/B1</f>
        <v>0.0472</v>
      </c>
      <c r="F95" s="16">
        <f t="shared" si="4"/>
        <v>0</v>
      </c>
      <c r="G95" s="17">
        <f>F95/B2</f>
        <v>0</v>
      </c>
      <c r="H95" s="15">
        <f t="shared" si="5"/>
        <v>0</v>
      </c>
      <c r="I95" s="14">
        <f>H95/B3</f>
        <v>0</v>
      </c>
      <c r="J95" s="2">
        <v>0.0</v>
      </c>
      <c r="K95" s="2">
        <v>0.0</v>
      </c>
      <c r="L95" s="2">
        <v>0.0</v>
      </c>
    </row>
    <row r="96">
      <c r="A96" s="12">
        <v>45960.0</v>
      </c>
      <c r="B96" s="6" t="s">
        <v>61</v>
      </c>
      <c r="C96" s="2">
        <v>0.0</v>
      </c>
      <c r="D96" s="16">
        <f t="shared" si="3"/>
        <v>1.18</v>
      </c>
      <c r="E96" s="17">
        <f>D96/B1</f>
        <v>0.0472</v>
      </c>
      <c r="F96" s="16">
        <f t="shared" si="4"/>
        <v>0</v>
      </c>
      <c r="G96" s="17">
        <f>F96/B2</f>
        <v>0</v>
      </c>
      <c r="H96" s="15">
        <f t="shared" si="5"/>
        <v>0</v>
      </c>
      <c r="I96" s="14">
        <f>H96/B3</f>
        <v>0</v>
      </c>
      <c r="J96" s="2">
        <v>0.0</v>
      </c>
      <c r="K96" s="2">
        <v>0.0</v>
      </c>
      <c r="L96" s="2">
        <v>0.0</v>
      </c>
    </row>
    <row r="97">
      <c r="A97" s="12">
        <v>45960.0</v>
      </c>
      <c r="B97" s="6" t="s">
        <v>62</v>
      </c>
      <c r="C97" s="2">
        <v>0.0</v>
      </c>
      <c r="D97" s="16">
        <f t="shared" si="3"/>
        <v>1.18</v>
      </c>
      <c r="E97" s="17">
        <f>D97/B1</f>
        <v>0.0472</v>
      </c>
      <c r="F97" s="16">
        <f t="shared" si="4"/>
        <v>0</v>
      </c>
      <c r="G97" s="17">
        <f>F97/B2</f>
        <v>0</v>
      </c>
      <c r="H97" s="15">
        <f t="shared" si="5"/>
        <v>0</v>
      </c>
      <c r="I97" s="14">
        <f>H97/B3</f>
        <v>0</v>
      </c>
      <c r="J97" s="2">
        <v>0.0</v>
      </c>
      <c r="K97" s="2">
        <v>0.0</v>
      </c>
      <c r="L97" s="2">
        <v>0.0</v>
      </c>
    </row>
    <row r="98">
      <c r="A98" s="12">
        <v>45960.0</v>
      </c>
      <c r="B98" s="6" t="s">
        <v>63</v>
      </c>
      <c r="C98" s="2">
        <v>0.0</v>
      </c>
      <c r="D98" s="16">
        <f t="shared" si="3"/>
        <v>1.18</v>
      </c>
      <c r="E98" s="17">
        <f>D98/B1</f>
        <v>0.0472</v>
      </c>
      <c r="F98" s="16">
        <f t="shared" si="4"/>
        <v>0</v>
      </c>
      <c r="G98" s="17">
        <f>F98/B2</f>
        <v>0</v>
      </c>
      <c r="H98" s="15">
        <f t="shared" si="5"/>
        <v>0</v>
      </c>
      <c r="I98" s="14">
        <f>H98/B3</f>
        <v>0</v>
      </c>
      <c r="J98" s="2">
        <v>0.0</v>
      </c>
      <c r="K98" s="2">
        <v>0.0</v>
      </c>
      <c r="L98" s="2">
        <v>0.0</v>
      </c>
    </row>
    <row r="99">
      <c r="A99" s="12">
        <v>45961.0</v>
      </c>
      <c r="B99" s="6" t="s">
        <v>61</v>
      </c>
      <c r="C99" s="2">
        <v>1.18</v>
      </c>
      <c r="D99" s="16">
        <f t="shared" si="3"/>
        <v>0</v>
      </c>
      <c r="E99" s="17">
        <f>D99/B1</f>
        <v>0</v>
      </c>
      <c r="F99" s="16">
        <f t="shared" si="4"/>
        <v>0</v>
      </c>
      <c r="G99" s="17">
        <f>F99/B2</f>
        <v>0</v>
      </c>
      <c r="H99" s="15">
        <f t="shared" si="5"/>
        <v>0</v>
      </c>
      <c r="I99" s="14">
        <f>H99/B3</f>
        <v>0</v>
      </c>
      <c r="J99" s="2">
        <v>0.0</v>
      </c>
      <c r="K99" s="2">
        <v>0.0</v>
      </c>
      <c r="L99" s="2">
        <v>0.0</v>
      </c>
    </row>
    <row r="100">
      <c r="A100" s="12">
        <v>45961.0</v>
      </c>
      <c r="B100" s="6" t="s">
        <v>62</v>
      </c>
      <c r="C100" s="2">
        <v>0.0</v>
      </c>
      <c r="D100" s="16">
        <f t="shared" si="3"/>
        <v>0</v>
      </c>
      <c r="E100" s="17">
        <f>D100/B1</f>
        <v>0</v>
      </c>
      <c r="F100" s="16">
        <f t="shared" si="4"/>
        <v>0</v>
      </c>
      <c r="G100" s="17">
        <f>F100/B2</f>
        <v>0</v>
      </c>
      <c r="H100" s="15">
        <f t="shared" si="5"/>
        <v>0</v>
      </c>
      <c r="I100" s="14">
        <f>H100/B3</f>
        <v>0</v>
      </c>
      <c r="J100" s="2">
        <v>0.0</v>
      </c>
      <c r="K100" s="2">
        <v>0.0</v>
      </c>
      <c r="L100" s="2">
        <v>0.0</v>
      </c>
    </row>
    <row r="101">
      <c r="A101" s="12">
        <v>45961.0</v>
      </c>
      <c r="B101" s="6" t="s">
        <v>63</v>
      </c>
      <c r="C101" s="2">
        <v>0.0</v>
      </c>
      <c r="D101" s="16">
        <f t="shared" si="3"/>
        <v>0</v>
      </c>
      <c r="E101" s="17">
        <f>D101/B1</f>
        <v>0</v>
      </c>
      <c r="F101" s="16">
        <f t="shared" si="4"/>
        <v>0</v>
      </c>
      <c r="G101" s="17">
        <f>F101/B2</f>
        <v>0</v>
      </c>
      <c r="H101" s="15">
        <f t="shared" si="5"/>
        <v>0</v>
      </c>
      <c r="I101" s="14">
        <f>H101/B3</f>
        <v>0</v>
      </c>
      <c r="J101" s="2">
        <v>0.0</v>
      </c>
      <c r="K101" s="2">
        <v>0.0</v>
      </c>
      <c r="L101" s="2">
        <v>0.0</v>
      </c>
    </row>
    <row r="102">
      <c r="A102" s="20">
        <v>45962.0</v>
      </c>
      <c r="B102" s="21" t="s">
        <v>61</v>
      </c>
      <c r="C102" s="22">
        <v>0.0</v>
      </c>
      <c r="D102" s="23">
        <f t="shared" si="3"/>
        <v>0</v>
      </c>
      <c r="E102" s="24">
        <f>D102/B1</f>
        <v>0</v>
      </c>
      <c r="F102" s="23">
        <f t="shared" si="4"/>
        <v>0</v>
      </c>
      <c r="G102" s="24">
        <f>F102/B2</f>
        <v>0</v>
      </c>
      <c r="H102" s="25">
        <f t="shared" si="5"/>
        <v>0</v>
      </c>
      <c r="I102" s="26">
        <f>H102/B3</f>
        <v>0</v>
      </c>
      <c r="J102" s="22">
        <v>0.0</v>
      </c>
      <c r="K102" s="22">
        <v>0.0</v>
      </c>
      <c r="L102" s="22">
        <v>0.0</v>
      </c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</row>
    <row r="103">
      <c r="A103" s="20">
        <v>45962.0</v>
      </c>
      <c r="B103" s="21" t="s">
        <v>62</v>
      </c>
      <c r="C103" s="22">
        <v>0.0</v>
      </c>
      <c r="D103" s="23">
        <f t="shared" si="3"/>
        <v>0</v>
      </c>
      <c r="E103" s="24">
        <f>D103/B1</f>
        <v>0</v>
      </c>
      <c r="F103" s="23">
        <f t="shared" si="4"/>
        <v>0</v>
      </c>
      <c r="G103" s="24">
        <f>F103/B2</f>
        <v>0</v>
      </c>
      <c r="H103" s="25">
        <f t="shared" si="5"/>
        <v>0</v>
      </c>
      <c r="I103" s="26">
        <f>H103/B3</f>
        <v>0</v>
      </c>
      <c r="J103" s="22">
        <v>0.0</v>
      </c>
      <c r="K103" s="22">
        <v>0.0</v>
      </c>
      <c r="L103" s="22">
        <v>0.0</v>
      </c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</row>
    <row r="104">
      <c r="A104" s="20">
        <v>45962.0</v>
      </c>
      <c r="B104" s="21" t="s">
        <v>63</v>
      </c>
      <c r="C104" s="22">
        <v>0.0</v>
      </c>
      <c r="D104" s="23">
        <f t="shared" si="3"/>
        <v>0</v>
      </c>
      <c r="E104" s="24">
        <f>D104/B1</f>
        <v>0</v>
      </c>
      <c r="F104" s="23">
        <f t="shared" si="4"/>
        <v>0</v>
      </c>
      <c r="G104" s="24">
        <f>F104/B2</f>
        <v>0</v>
      </c>
      <c r="H104" s="25">
        <f t="shared" si="5"/>
        <v>0</v>
      </c>
      <c r="I104" s="26">
        <f>H104/B3</f>
        <v>0</v>
      </c>
      <c r="J104" s="22">
        <v>0.0</v>
      </c>
      <c r="K104" s="22">
        <v>0.0</v>
      </c>
      <c r="L104" s="22">
        <v>0.0</v>
      </c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</row>
    <row r="105">
      <c r="A105" s="20">
        <v>45963.0</v>
      </c>
      <c r="B105" s="21" t="s">
        <v>61</v>
      </c>
      <c r="C105" s="22">
        <v>0.0</v>
      </c>
      <c r="D105" s="23">
        <f t="shared" si="3"/>
        <v>0</v>
      </c>
      <c r="E105" s="24">
        <f>D105/B1</f>
        <v>0</v>
      </c>
      <c r="F105" s="23">
        <f t="shared" si="4"/>
        <v>0</v>
      </c>
      <c r="G105" s="24">
        <f>F105/B2</f>
        <v>0</v>
      </c>
      <c r="H105" s="25">
        <f t="shared" si="5"/>
        <v>0</v>
      </c>
      <c r="I105" s="26">
        <f>H105/B3</f>
        <v>0</v>
      </c>
      <c r="J105" s="22">
        <v>0.0</v>
      </c>
      <c r="K105" s="22">
        <v>0.0</v>
      </c>
      <c r="L105" s="22">
        <v>0.0</v>
      </c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</row>
    <row r="106">
      <c r="A106" s="20">
        <v>45963.0</v>
      </c>
      <c r="B106" s="21" t="s">
        <v>62</v>
      </c>
      <c r="C106" s="22">
        <v>0.0</v>
      </c>
      <c r="D106" s="23">
        <f t="shared" si="3"/>
        <v>0</v>
      </c>
      <c r="E106" s="24">
        <f>D106/B1</f>
        <v>0</v>
      </c>
      <c r="F106" s="23">
        <f t="shared" si="4"/>
        <v>0</v>
      </c>
      <c r="G106" s="24">
        <f>F106/B2</f>
        <v>0</v>
      </c>
      <c r="H106" s="25">
        <f t="shared" si="5"/>
        <v>0</v>
      </c>
      <c r="I106" s="26">
        <f>H106/B3</f>
        <v>0</v>
      </c>
      <c r="J106" s="22">
        <v>0.0</v>
      </c>
      <c r="K106" s="22">
        <v>0.0</v>
      </c>
      <c r="L106" s="22">
        <v>0.0</v>
      </c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</row>
    <row r="107">
      <c r="A107" s="20">
        <v>45963.0</v>
      </c>
      <c r="B107" s="21" t="s">
        <v>63</v>
      </c>
      <c r="C107" s="22">
        <v>0.0</v>
      </c>
      <c r="D107" s="23">
        <f t="shared" si="3"/>
        <v>0</v>
      </c>
      <c r="E107" s="24">
        <f>D107/B1</f>
        <v>0</v>
      </c>
      <c r="F107" s="23">
        <f t="shared" si="4"/>
        <v>0</v>
      </c>
      <c r="G107" s="24">
        <f>F107/B2</f>
        <v>0</v>
      </c>
      <c r="H107" s="25">
        <f t="shared" si="5"/>
        <v>0</v>
      </c>
      <c r="I107" s="26">
        <f>H107/B3</f>
        <v>0</v>
      </c>
      <c r="J107" s="22">
        <v>0.0</v>
      </c>
      <c r="K107" s="22">
        <v>0.0</v>
      </c>
      <c r="L107" s="22">
        <v>0.0</v>
      </c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</row>
    <row r="108">
      <c r="A108" s="20">
        <v>45964.0</v>
      </c>
      <c r="B108" s="21" t="s">
        <v>61</v>
      </c>
      <c r="C108" s="22">
        <v>0.0</v>
      </c>
      <c r="D108" s="23">
        <f t="shared" si="3"/>
        <v>0</v>
      </c>
      <c r="E108" s="24">
        <f>D108/B1</f>
        <v>0</v>
      </c>
      <c r="F108" s="23">
        <f t="shared" si="4"/>
        <v>0</v>
      </c>
      <c r="G108" s="24">
        <f>F108/B2</f>
        <v>0</v>
      </c>
      <c r="H108" s="25">
        <f t="shared" si="5"/>
        <v>0</v>
      </c>
      <c r="I108" s="26">
        <f>H108/B3</f>
        <v>0</v>
      </c>
      <c r="J108" s="22">
        <v>0.0</v>
      </c>
      <c r="K108" s="22">
        <v>0.0</v>
      </c>
      <c r="L108" s="22">
        <v>0.0</v>
      </c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</row>
    <row r="109">
      <c r="A109" s="20">
        <v>45964.0</v>
      </c>
      <c r="B109" s="21" t="s">
        <v>62</v>
      </c>
      <c r="C109" s="22">
        <v>0.0</v>
      </c>
      <c r="D109" s="23">
        <f t="shared" si="3"/>
        <v>0</v>
      </c>
      <c r="E109" s="24">
        <f>D109/B1</f>
        <v>0</v>
      </c>
      <c r="F109" s="23">
        <f t="shared" si="4"/>
        <v>0</v>
      </c>
      <c r="G109" s="24">
        <f>F109/B2</f>
        <v>0</v>
      </c>
      <c r="H109" s="25">
        <f t="shared" si="5"/>
        <v>0</v>
      </c>
      <c r="I109" s="26">
        <f>H109/B3</f>
        <v>0</v>
      </c>
      <c r="J109" s="22">
        <v>0.0</v>
      </c>
      <c r="K109" s="22">
        <v>0.0</v>
      </c>
      <c r="L109" s="22">
        <v>0.0</v>
      </c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</row>
    <row r="110">
      <c r="A110" s="20">
        <v>45964.0</v>
      </c>
      <c r="B110" s="21" t="s">
        <v>63</v>
      </c>
      <c r="C110" s="22">
        <v>0.0</v>
      </c>
      <c r="D110" s="23">
        <f t="shared" si="3"/>
        <v>0</v>
      </c>
      <c r="E110" s="24">
        <f>D110/B1</f>
        <v>0</v>
      </c>
      <c r="F110" s="23">
        <f t="shared" si="4"/>
        <v>0</v>
      </c>
      <c r="G110" s="24">
        <f>F110/B2</f>
        <v>0</v>
      </c>
      <c r="H110" s="25">
        <f t="shared" si="5"/>
        <v>0</v>
      </c>
      <c r="I110" s="26">
        <f>H110/B3</f>
        <v>0</v>
      </c>
      <c r="J110" s="22">
        <v>0.0</v>
      </c>
      <c r="K110" s="22">
        <v>0.0</v>
      </c>
      <c r="L110" s="22">
        <v>0.0</v>
      </c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</row>
    <row r="113">
      <c r="A113" s="28"/>
    </row>
    <row r="114">
      <c r="A114" s="28"/>
    </row>
  </sheetData>
  <dataValidations>
    <dataValidation type="list" allowBlank="1" showErrorMessage="1" sqref="B6:B110">
      <formula1>"WW,FLA,MAC1+"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60.13"/>
    <col customWidth="1" min="2" max="2" width="22.63"/>
    <col customWidth="1" min="3" max="3" width="10.25"/>
    <col customWidth="1" min="4" max="4" width="17.0"/>
    <col customWidth="1" min="5" max="5" width="15.0"/>
    <col customWidth="1" min="6" max="6" width="17.0"/>
    <col customWidth="1" min="7" max="7" width="16.13"/>
    <col customWidth="1" min="8" max="9" width="16.38"/>
    <col customWidth="1" min="10" max="10" width="12.63"/>
    <col customWidth="1" min="11" max="11" width="14.88"/>
    <col customWidth="1" min="12" max="12" width="13.0"/>
  </cols>
  <sheetData>
    <row r="1">
      <c r="A1" s="1" t="s">
        <v>105</v>
      </c>
      <c r="B1" s="2">
        <v>25.0</v>
      </c>
      <c r="C1" s="2">
        <f>D98</f>
        <v>0</v>
      </c>
      <c r="D1" s="5">
        <f t="shared" ref="D1:D4" si="1">C1/B1</f>
        <v>0</v>
      </c>
      <c r="G1" s="1" t="s">
        <v>1</v>
      </c>
      <c r="H1" s="3">
        <f>IFERROR(__xludf.DUMMYFUNCTION("COUNTUNIQUE(A6:A95)"),30.0)</f>
        <v>30</v>
      </c>
      <c r="I1" s="3"/>
      <c r="J1" s="6"/>
      <c r="K1" s="3"/>
      <c r="L1" s="3"/>
      <c r="M1" s="7"/>
      <c r="N1" s="7"/>
    </row>
    <row r="2">
      <c r="A2" s="1" t="s">
        <v>94</v>
      </c>
      <c r="B2" s="2">
        <v>15.0</v>
      </c>
      <c r="C2" s="4">
        <f>F98</f>
        <v>0</v>
      </c>
      <c r="D2" s="5">
        <f t="shared" si="1"/>
        <v>0</v>
      </c>
      <c r="G2" s="1" t="s">
        <v>5</v>
      </c>
      <c r="H2" s="3">
        <f>(B1+B2+B3)/F4</f>
        <v>30</v>
      </c>
      <c r="I2" s="3"/>
      <c r="J2" s="3"/>
      <c r="K2" s="3"/>
      <c r="L2" s="3"/>
      <c r="M2" s="7"/>
      <c r="N2" s="7"/>
    </row>
    <row r="3">
      <c r="A3" s="1" t="s">
        <v>103</v>
      </c>
      <c r="B3" s="2">
        <v>15.0</v>
      </c>
      <c r="C3" s="4">
        <f>H98</f>
        <v>0</v>
      </c>
      <c r="D3" s="8">
        <f t="shared" si="1"/>
        <v>0</v>
      </c>
      <c r="E3" s="3"/>
      <c r="F3" s="6"/>
      <c r="G3" s="3"/>
      <c r="H3" s="3"/>
      <c r="I3" s="3"/>
      <c r="J3" s="3"/>
      <c r="K3" s="3"/>
      <c r="L3" s="3"/>
      <c r="M3" s="7"/>
      <c r="N3" s="7"/>
    </row>
    <row r="4">
      <c r="A4" s="3"/>
      <c r="B4" s="9">
        <f t="shared" ref="B4:C4" si="2">SUM(B1:B3)</f>
        <v>55</v>
      </c>
      <c r="C4" s="9">
        <f t="shared" si="2"/>
        <v>0</v>
      </c>
      <c r="D4" s="5">
        <f t="shared" si="1"/>
        <v>0</v>
      </c>
      <c r="E4" s="1" t="s">
        <v>7</v>
      </c>
      <c r="F4" s="3">
        <f>SUM(C6:C95)/H1</f>
        <v>1.833333333</v>
      </c>
      <c r="G4" s="3"/>
      <c r="H4" s="3"/>
      <c r="I4" s="3"/>
      <c r="J4" s="3"/>
      <c r="K4" s="3"/>
      <c r="L4" s="3"/>
      <c r="M4" s="7"/>
      <c r="N4" s="7"/>
    </row>
    <row r="5">
      <c r="A5" s="10" t="s">
        <v>8</v>
      </c>
      <c r="B5" s="10" t="s">
        <v>9</v>
      </c>
      <c r="C5" s="10" t="s">
        <v>10</v>
      </c>
      <c r="D5" s="10" t="s">
        <v>107</v>
      </c>
      <c r="E5" s="10" t="s">
        <v>107</v>
      </c>
      <c r="F5" s="10" t="s">
        <v>97</v>
      </c>
      <c r="G5" s="10" t="s">
        <v>97</v>
      </c>
      <c r="H5" s="10" t="s">
        <v>67</v>
      </c>
      <c r="I5" s="10" t="s">
        <v>67</v>
      </c>
      <c r="J5" s="10" t="s">
        <v>108</v>
      </c>
      <c r="K5" s="10" t="s">
        <v>100</v>
      </c>
      <c r="L5" s="10" t="s">
        <v>70</v>
      </c>
      <c r="M5" s="7"/>
      <c r="N5" s="7"/>
    </row>
    <row r="6">
      <c r="A6" s="12">
        <v>45962.0</v>
      </c>
      <c r="B6" s="6" t="s">
        <v>61</v>
      </c>
      <c r="C6" s="2">
        <v>1.33</v>
      </c>
      <c r="D6" s="4">
        <f>IF(B6="WW",B1-C6,B1)</f>
        <v>23.67</v>
      </c>
      <c r="E6" s="13">
        <f>D6/B1</f>
        <v>0.9468</v>
      </c>
      <c r="F6" s="2">
        <f>IF(B6="FLA",B2-C6,B2)</f>
        <v>15</v>
      </c>
      <c r="G6" s="14">
        <f>F6/B2</f>
        <v>1</v>
      </c>
      <c r="H6" s="15">
        <f>IF(B6="MAC1+",B3-C6,B3)</f>
        <v>15</v>
      </c>
      <c r="I6" s="14">
        <f>H6/B3</f>
        <v>1</v>
      </c>
      <c r="J6" s="2">
        <v>0.0</v>
      </c>
      <c r="K6" s="2">
        <v>0.0</v>
      </c>
      <c r="L6" s="2">
        <v>0.0</v>
      </c>
      <c r="M6" s="7"/>
      <c r="N6" s="7"/>
    </row>
    <row r="7">
      <c r="A7" s="12">
        <v>45962.0</v>
      </c>
      <c r="B7" s="6" t="s">
        <v>62</v>
      </c>
      <c r="C7" s="2">
        <v>0.0</v>
      </c>
      <c r="D7" s="16">
        <f t="shared" ref="D7:D98" si="3">IF(B7="WW",D6-C7,D6)</f>
        <v>23.67</v>
      </c>
      <c r="E7" s="17">
        <f>D7/B1</f>
        <v>0.9468</v>
      </c>
      <c r="F7" s="16">
        <f t="shared" ref="F7:F98" si="4">IF(B7="FLA",F6-C7,F6)</f>
        <v>15</v>
      </c>
      <c r="G7" s="17">
        <f>F7/B2</f>
        <v>1</v>
      </c>
      <c r="H7" s="15">
        <f t="shared" ref="H7:H98" si="5">IF(B7="MAC1+",H6-C7,H6)</f>
        <v>15</v>
      </c>
      <c r="I7" s="14">
        <f>H7/B3</f>
        <v>1</v>
      </c>
      <c r="J7" s="2">
        <v>0.0</v>
      </c>
      <c r="K7" s="2">
        <v>0.0</v>
      </c>
      <c r="L7" s="2">
        <v>0.0</v>
      </c>
      <c r="M7" s="7"/>
      <c r="N7" s="7"/>
    </row>
    <row r="8">
      <c r="A8" s="12">
        <v>45962.0</v>
      </c>
      <c r="B8" s="6" t="s">
        <v>63</v>
      </c>
      <c r="C8" s="2">
        <v>0.0</v>
      </c>
      <c r="D8" s="16">
        <f t="shared" si="3"/>
        <v>23.67</v>
      </c>
      <c r="E8" s="17">
        <f>D8/B1</f>
        <v>0.9468</v>
      </c>
      <c r="F8" s="16">
        <f t="shared" si="4"/>
        <v>15</v>
      </c>
      <c r="G8" s="17">
        <f>F8/B2</f>
        <v>1</v>
      </c>
      <c r="H8" s="15">
        <f t="shared" si="5"/>
        <v>15</v>
      </c>
      <c r="I8" s="14">
        <f>H8/B3</f>
        <v>1</v>
      </c>
      <c r="J8" s="2">
        <v>0.0</v>
      </c>
      <c r="K8" s="2">
        <v>0.0</v>
      </c>
      <c r="L8" s="2">
        <v>0.0</v>
      </c>
      <c r="M8" s="7"/>
      <c r="N8" s="7"/>
    </row>
    <row r="9">
      <c r="A9" s="12">
        <v>45963.0</v>
      </c>
      <c r="B9" s="6" t="s">
        <v>61</v>
      </c>
      <c r="C9" s="2">
        <v>0.0</v>
      </c>
      <c r="D9" s="16">
        <f t="shared" si="3"/>
        <v>23.67</v>
      </c>
      <c r="E9" s="17">
        <f>D9/B1</f>
        <v>0.9468</v>
      </c>
      <c r="F9" s="16">
        <f t="shared" si="4"/>
        <v>15</v>
      </c>
      <c r="G9" s="17">
        <f>F9/B2</f>
        <v>1</v>
      </c>
      <c r="H9" s="15">
        <f t="shared" si="5"/>
        <v>15</v>
      </c>
      <c r="I9" s="14">
        <f>H9/B3</f>
        <v>1</v>
      </c>
      <c r="J9" s="2">
        <v>0.0</v>
      </c>
      <c r="K9" s="2">
        <v>0.0</v>
      </c>
      <c r="L9" s="2">
        <v>0.0</v>
      </c>
      <c r="M9" s="7"/>
      <c r="N9" s="7"/>
    </row>
    <row r="10">
      <c r="A10" s="12">
        <v>45963.0</v>
      </c>
      <c r="B10" s="6" t="s">
        <v>62</v>
      </c>
      <c r="C10" s="2">
        <v>0.0</v>
      </c>
      <c r="D10" s="16">
        <f t="shared" si="3"/>
        <v>23.67</v>
      </c>
      <c r="E10" s="17">
        <f>D10/B1</f>
        <v>0.9468</v>
      </c>
      <c r="F10" s="16">
        <f t="shared" si="4"/>
        <v>15</v>
      </c>
      <c r="G10" s="17">
        <f>F10/B2</f>
        <v>1</v>
      </c>
      <c r="H10" s="15">
        <f t="shared" si="5"/>
        <v>15</v>
      </c>
      <c r="I10" s="14">
        <f>H10/B3</f>
        <v>1</v>
      </c>
      <c r="J10" s="2">
        <v>0.0</v>
      </c>
      <c r="K10" s="2">
        <v>0.0</v>
      </c>
      <c r="L10" s="2">
        <v>0.0</v>
      </c>
      <c r="M10" s="7"/>
      <c r="N10" s="7"/>
    </row>
    <row r="11">
      <c r="A11" s="12">
        <v>45963.0</v>
      </c>
      <c r="B11" s="6" t="s">
        <v>63</v>
      </c>
      <c r="C11" s="2">
        <v>0.0</v>
      </c>
      <c r="D11" s="16">
        <f t="shared" si="3"/>
        <v>23.67</v>
      </c>
      <c r="E11" s="17">
        <f>D11/B1</f>
        <v>0.9468</v>
      </c>
      <c r="F11" s="16">
        <f t="shared" si="4"/>
        <v>15</v>
      </c>
      <c r="G11" s="17">
        <f>F11/B2</f>
        <v>1</v>
      </c>
      <c r="H11" s="15">
        <f t="shared" si="5"/>
        <v>15</v>
      </c>
      <c r="I11" s="14">
        <f>H11/B3</f>
        <v>1</v>
      </c>
      <c r="J11" s="2">
        <v>0.0</v>
      </c>
      <c r="K11" s="2">
        <v>0.0</v>
      </c>
      <c r="L11" s="2">
        <v>0.0</v>
      </c>
      <c r="M11" s="7"/>
      <c r="N11" s="7"/>
    </row>
    <row r="12">
      <c r="A12" s="12">
        <v>45964.0</v>
      </c>
      <c r="B12" s="6" t="s">
        <v>61</v>
      </c>
      <c r="C12" s="2">
        <v>0.0</v>
      </c>
      <c r="D12" s="16">
        <f t="shared" si="3"/>
        <v>23.67</v>
      </c>
      <c r="E12" s="17">
        <f>D12/B1</f>
        <v>0.9468</v>
      </c>
      <c r="F12" s="16">
        <f t="shared" si="4"/>
        <v>15</v>
      </c>
      <c r="G12" s="17">
        <f>F12/B2</f>
        <v>1</v>
      </c>
      <c r="H12" s="15">
        <f t="shared" si="5"/>
        <v>15</v>
      </c>
      <c r="I12" s="14">
        <f>H12/B3</f>
        <v>1</v>
      </c>
      <c r="J12" s="2">
        <v>0.0</v>
      </c>
      <c r="K12" s="2">
        <v>0.0</v>
      </c>
      <c r="L12" s="2">
        <v>0.0</v>
      </c>
      <c r="M12" s="7"/>
      <c r="N12" s="7"/>
    </row>
    <row r="13">
      <c r="A13" s="12">
        <v>45964.0</v>
      </c>
      <c r="B13" s="6" t="s">
        <v>62</v>
      </c>
      <c r="C13" s="2">
        <v>0.0</v>
      </c>
      <c r="D13" s="16">
        <f t="shared" si="3"/>
        <v>23.67</v>
      </c>
      <c r="E13" s="17">
        <f>D13/B1</f>
        <v>0.9468</v>
      </c>
      <c r="F13" s="16">
        <f t="shared" si="4"/>
        <v>15</v>
      </c>
      <c r="G13" s="17">
        <f>F13/B2</f>
        <v>1</v>
      </c>
      <c r="H13" s="15">
        <f t="shared" si="5"/>
        <v>15</v>
      </c>
      <c r="I13" s="14">
        <f>H13/B3</f>
        <v>1</v>
      </c>
      <c r="J13" s="2">
        <v>0.0</v>
      </c>
      <c r="K13" s="2">
        <v>0.0</v>
      </c>
      <c r="L13" s="2">
        <v>0.0</v>
      </c>
      <c r="M13" s="7"/>
      <c r="N13" s="7"/>
    </row>
    <row r="14">
      <c r="A14" s="12">
        <v>45964.0</v>
      </c>
      <c r="B14" s="6" t="s">
        <v>63</v>
      </c>
      <c r="C14" s="2">
        <v>0.0</v>
      </c>
      <c r="D14" s="16">
        <f t="shared" si="3"/>
        <v>23.67</v>
      </c>
      <c r="E14" s="17">
        <f>D14/B1</f>
        <v>0.9468</v>
      </c>
      <c r="F14" s="16">
        <f t="shared" si="4"/>
        <v>15</v>
      </c>
      <c r="G14" s="17">
        <f>F14/B2</f>
        <v>1</v>
      </c>
      <c r="H14" s="15">
        <f t="shared" si="5"/>
        <v>15</v>
      </c>
      <c r="I14" s="14">
        <f>H14/B3</f>
        <v>1</v>
      </c>
      <c r="J14" s="2">
        <v>0.0</v>
      </c>
      <c r="K14" s="2">
        <v>0.0</v>
      </c>
      <c r="L14" s="2">
        <v>0.0</v>
      </c>
      <c r="M14" s="7"/>
      <c r="N14" s="7"/>
    </row>
    <row r="15">
      <c r="A15" s="12">
        <v>45965.0</v>
      </c>
      <c r="B15" s="6" t="s">
        <v>61</v>
      </c>
      <c r="C15" s="2">
        <v>1.19</v>
      </c>
      <c r="D15" s="16">
        <f t="shared" si="3"/>
        <v>22.48</v>
      </c>
      <c r="E15" s="17">
        <f>D15/B1</f>
        <v>0.8992</v>
      </c>
      <c r="F15" s="16">
        <f t="shared" si="4"/>
        <v>15</v>
      </c>
      <c r="G15" s="17">
        <f>F15/B2</f>
        <v>1</v>
      </c>
      <c r="H15" s="15">
        <f t="shared" si="5"/>
        <v>15</v>
      </c>
      <c r="I15" s="14">
        <f>H15/B3</f>
        <v>1</v>
      </c>
      <c r="J15" s="2">
        <v>0.0</v>
      </c>
      <c r="K15" s="2">
        <v>0.0</v>
      </c>
      <c r="L15" s="2">
        <v>0.0</v>
      </c>
      <c r="M15" s="7"/>
      <c r="N15" s="7"/>
    </row>
    <row r="16">
      <c r="A16" s="12">
        <v>45965.0</v>
      </c>
      <c r="B16" s="6" t="s">
        <v>62</v>
      </c>
      <c r="C16" s="2">
        <v>0.0</v>
      </c>
      <c r="D16" s="16">
        <f t="shared" si="3"/>
        <v>22.48</v>
      </c>
      <c r="E16" s="17">
        <f>D16/B1</f>
        <v>0.8992</v>
      </c>
      <c r="F16" s="16">
        <f t="shared" si="4"/>
        <v>15</v>
      </c>
      <c r="G16" s="17">
        <f>F16/B2</f>
        <v>1</v>
      </c>
      <c r="H16" s="15">
        <f t="shared" si="5"/>
        <v>15</v>
      </c>
      <c r="I16" s="14">
        <f>H16/B3</f>
        <v>1</v>
      </c>
      <c r="J16" s="2">
        <v>0.0</v>
      </c>
      <c r="K16" s="2">
        <v>0.0</v>
      </c>
      <c r="L16" s="2">
        <v>0.0</v>
      </c>
      <c r="M16" s="7"/>
      <c r="N16" s="7"/>
    </row>
    <row r="17">
      <c r="A17" s="12">
        <v>45965.0</v>
      </c>
      <c r="B17" s="6" t="s">
        <v>63</v>
      </c>
      <c r="C17" s="2">
        <v>0.0</v>
      </c>
      <c r="D17" s="16">
        <f t="shared" si="3"/>
        <v>22.48</v>
      </c>
      <c r="E17" s="17">
        <f>D17/B1</f>
        <v>0.8992</v>
      </c>
      <c r="F17" s="16">
        <f t="shared" si="4"/>
        <v>15</v>
      </c>
      <c r="G17" s="17">
        <f>F17/B2</f>
        <v>1</v>
      </c>
      <c r="H17" s="15">
        <f t="shared" si="5"/>
        <v>15</v>
      </c>
      <c r="I17" s="14">
        <f>H17/B3</f>
        <v>1</v>
      </c>
      <c r="J17" s="2">
        <v>0.0</v>
      </c>
      <c r="K17" s="2">
        <v>0.0</v>
      </c>
      <c r="L17" s="2">
        <v>0.0</v>
      </c>
      <c r="M17" s="7"/>
      <c r="N17" s="7"/>
    </row>
    <row r="18">
      <c r="A18" s="12">
        <v>45966.0</v>
      </c>
      <c r="B18" s="6" t="s">
        <v>61</v>
      </c>
      <c r="C18" s="2">
        <v>1.23</v>
      </c>
      <c r="D18" s="16">
        <f t="shared" si="3"/>
        <v>21.25</v>
      </c>
      <c r="E18" s="17">
        <f>D18/B1</f>
        <v>0.85</v>
      </c>
      <c r="F18" s="16">
        <f t="shared" si="4"/>
        <v>15</v>
      </c>
      <c r="G18" s="17">
        <f>F18/B2</f>
        <v>1</v>
      </c>
      <c r="H18" s="15">
        <f t="shared" si="5"/>
        <v>15</v>
      </c>
      <c r="I18" s="14">
        <f>H18/B3</f>
        <v>1</v>
      </c>
      <c r="J18" s="2">
        <v>0.0</v>
      </c>
      <c r="K18" s="2">
        <v>0.0</v>
      </c>
      <c r="L18" s="2">
        <v>0.0</v>
      </c>
      <c r="M18" s="7"/>
      <c r="N18" s="7"/>
    </row>
    <row r="19">
      <c r="A19" s="12">
        <v>45966.0</v>
      </c>
      <c r="B19" s="6" t="s">
        <v>62</v>
      </c>
      <c r="C19" s="2">
        <v>0.88</v>
      </c>
      <c r="D19" s="16">
        <f t="shared" si="3"/>
        <v>21.25</v>
      </c>
      <c r="E19" s="17">
        <f>D19/B1</f>
        <v>0.85</v>
      </c>
      <c r="F19" s="16">
        <f t="shared" si="4"/>
        <v>14.12</v>
      </c>
      <c r="G19" s="17">
        <f>F19/B2</f>
        <v>0.9413333333</v>
      </c>
      <c r="H19" s="15">
        <f t="shared" si="5"/>
        <v>15</v>
      </c>
      <c r="I19" s="14">
        <f>H19/B3</f>
        <v>1</v>
      </c>
      <c r="J19" s="2">
        <v>0.0</v>
      </c>
      <c r="K19" s="2">
        <v>0.0</v>
      </c>
      <c r="L19" s="2">
        <v>0.0</v>
      </c>
      <c r="M19" s="7"/>
      <c r="N19" s="7"/>
    </row>
    <row r="20">
      <c r="A20" s="12">
        <v>45966.0</v>
      </c>
      <c r="B20" s="6" t="s">
        <v>63</v>
      </c>
      <c r="C20" s="2">
        <v>0.85</v>
      </c>
      <c r="D20" s="16">
        <f t="shared" si="3"/>
        <v>21.25</v>
      </c>
      <c r="E20" s="17">
        <f>D20/B1</f>
        <v>0.85</v>
      </c>
      <c r="F20" s="16">
        <f t="shared" si="4"/>
        <v>14.12</v>
      </c>
      <c r="G20" s="17">
        <f>F20/B2</f>
        <v>0.9413333333</v>
      </c>
      <c r="H20" s="15">
        <f t="shared" si="5"/>
        <v>14.15</v>
      </c>
      <c r="I20" s="14">
        <f>H20/B3</f>
        <v>0.9433333333</v>
      </c>
      <c r="J20" s="2">
        <v>0.0</v>
      </c>
      <c r="K20" s="2">
        <v>0.0</v>
      </c>
      <c r="L20" s="2">
        <v>0.0</v>
      </c>
      <c r="M20" s="7"/>
      <c r="N20" s="7"/>
    </row>
    <row r="21">
      <c r="A21" s="12">
        <v>45967.0</v>
      </c>
      <c r="B21" s="6" t="s">
        <v>61</v>
      </c>
      <c r="C21" s="2">
        <v>0.0</v>
      </c>
      <c r="D21" s="16">
        <f t="shared" si="3"/>
        <v>21.25</v>
      </c>
      <c r="E21" s="17">
        <f>D21/B1</f>
        <v>0.85</v>
      </c>
      <c r="F21" s="16">
        <f t="shared" si="4"/>
        <v>14.12</v>
      </c>
      <c r="G21" s="17">
        <f>F21/B2</f>
        <v>0.9413333333</v>
      </c>
      <c r="H21" s="15">
        <f t="shared" si="5"/>
        <v>14.15</v>
      </c>
      <c r="I21" s="14">
        <f>H21/B3</f>
        <v>0.9433333333</v>
      </c>
      <c r="J21" s="2">
        <v>0.0</v>
      </c>
      <c r="K21" s="2">
        <v>0.0</v>
      </c>
      <c r="L21" s="2">
        <v>0.0</v>
      </c>
      <c r="M21" s="7"/>
      <c r="N21" s="7"/>
    </row>
    <row r="22">
      <c r="A22" s="12">
        <v>45967.0</v>
      </c>
      <c r="B22" s="6" t="s">
        <v>62</v>
      </c>
      <c r="C22" s="2">
        <v>0.0</v>
      </c>
      <c r="D22" s="16">
        <f t="shared" si="3"/>
        <v>21.25</v>
      </c>
      <c r="E22" s="17">
        <f>D22/B1</f>
        <v>0.85</v>
      </c>
      <c r="F22" s="16">
        <f t="shared" si="4"/>
        <v>14.12</v>
      </c>
      <c r="G22" s="17">
        <f>F22/B2</f>
        <v>0.9413333333</v>
      </c>
      <c r="H22" s="15">
        <f t="shared" si="5"/>
        <v>14.15</v>
      </c>
      <c r="I22" s="14">
        <f>H22/B3</f>
        <v>0.9433333333</v>
      </c>
      <c r="J22" s="2">
        <v>0.0</v>
      </c>
      <c r="K22" s="2">
        <v>0.0</v>
      </c>
      <c r="L22" s="2">
        <v>0.0</v>
      </c>
      <c r="M22" s="7"/>
      <c r="N22" s="7"/>
    </row>
    <row r="23">
      <c r="A23" s="12">
        <v>45967.0</v>
      </c>
      <c r="B23" s="6" t="s">
        <v>63</v>
      </c>
      <c r="C23" s="2">
        <v>0.0</v>
      </c>
      <c r="D23" s="16">
        <f t="shared" si="3"/>
        <v>21.25</v>
      </c>
      <c r="E23" s="17">
        <f>D23/B1</f>
        <v>0.85</v>
      </c>
      <c r="F23" s="16">
        <f t="shared" si="4"/>
        <v>14.12</v>
      </c>
      <c r="G23" s="17">
        <f>F23/B2</f>
        <v>0.9413333333</v>
      </c>
      <c r="H23" s="15">
        <f t="shared" si="5"/>
        <v>14.15</v>
      </c>
      <c r="I23" s="14">
        <f>H23/B3</f>
        <v>0.9433333333</v>
      </c>
      <c r="J23" s="2">
        <v>0.0</v>
      </c>
      <c r="K23" s="2">
        <v>0.0</v>
      </c>
      <c r="L23" s="2">
        <v>0.0</v>
      </c>
      <c r="M23" s="7"/>
      <c r="N23" s="7"/>
    </row>
    <row r="24">
      <c r="A24" s="12">
        <v>45968.0</v>
      </c>
      <c r="B24" s="6" t="s">
        <v>61</v>
      </c>
      <c r="C24" s="2">
        <v>1.31</v>
      </c>
      <c r="D24" s="16">
        <f t="shared" si="3"/>
        <v>19.94</v>
      </c>
      <c r="E24" s="17">
        <f>D24/B1</f>
        <v>0.7976</v>
      </c>
      <c r="F24" s="16">
        <f t="shared" si="4"/>
        <v>14.12</v>
      </c>
      <c r="G24" s="17">
        <f>F24/B2</f>
        <v>0.9413333333</v>
      </c>
      <c r="H24" s="15">
        <f t="shared" si="5"/>
        <v>14.15</v>
      </c>
      <c r="I24" s="14">
        <f>H24/B3</f>
        <v>0.9433333333</v>
      </c>
      <c r="J24" s="2">
        <v>0.0</v>
      </c>
      <c r="K24" s="2">
        <v>0.0</v>
      </c>
      <c r="L24" s="2">
        <v>0.0</v>
      </c>
      <c r="M24" s="7"/>
      <c r="N24" s="7"/>
    </row>
    <row r="25">
      <c r="A25" s="12">
        <v>45968.0</v>
      </c>
      <c r="B25" s="6" t="s">
        <v>62</v>
      </c>
      <c r="C25" s="2">
        <v>0.96</v>
      </c>
      <c r="D25" s="16">
        <f t="shared" si="3"/>
        <v>19.94</v>
      </c>
      <c r="E25" s="17">
        <f>D25/B1</f>
        <v>0.7976</v>
      </c>
      <c r="F25" s="16">
        <f t="shared" si="4"/>
        <v>13.16</v>
      </c>
      <c r="G25" s="17">
        <f>F25/B2</f>
        <v>0.8773333333</v>
      </c>
      <c r="H25" s="15">
        <f t="shared" si="5"/>
        <v>14.15</v>
      </c>
      <c r="I25" s="14">
        <f>H25/B3</f>
        <v>0.9433333333</v>
      </c>
      <c r="J25" s="2">
        <v>0.0</v>
      </c>
      <c r="K25" s="2">
        <v>0.0</v>
      </c>
      <c r="L25" s="2">
        <v>0.0</v>
      </c>
      <c r="M25" s="7"/>
      <c r="N25" s="7"/>
    </row>
    <row r="26">
      <c r="A26" s="12">
        <v>45968.0</v>
      </c>
      <c r="B26" s="6" t="s">
        <v>63</v>
      </c>
      <c r="C26" s="2">
        <v>0.92</v>
      </c>
      <c r="D26" s="16">
        <f t="shared" si="3"/>
        <v>19.94</v>
      </c>
      <c r="E26" s="17">
        <f>D26/B1</f>
        <v>0.7976</v>
      </c>
      <c r="F26" s="16">
        <f t="shared" si="4"/>
        <v>13.16</v>
      </c>
      <c r="G26" s="17">
        <f>F26/B2</f>
        <v>0.8773333333</v>
      </c>
      <c r="H26" s="15">
        <f t="shared" si="5"/>
        <v>13.23</v>
      </c>
      <c r="I26" s="14">
        <f>H26/B3</f>
        <v>0.882</v>
      </c>
      <c r="J26" s="2">
        <v>0.0</v>
      </c>
      <c r="K26" s="2">
        <v>0.0</v>
      </c>
      <c r="L26" s="2">
        <v>0.0</v>
      </c>
      <c r="M26" s="7"/>
      <c r="N26" s="7"/>
    </row>
    <row r="27">
      <c r="A27" s="12">
        <v>45969.0</v>
      </c>
      <c r="B27" s="6" t="s">
        <v>61</v>
      </c>
      <c r="C27" s="2">
        <v>1.07</v>
      </c>
      <c r="D27" s="16">
        <f t="shared" si="3"/>
        <v>18.87</v>
      </c>
      <c r="E27" s="17">
        <f>D27/B1</f>
        <v>0.7548</v>
      </c>
      <c r="F27" s="16">
        <f t="shared" si="4"/>
        <v>13.16</v>
      </c>
      <c r="G27" s="17">
        <f>F27/B2</f>
        <v>0.8773333333</v>
      </c>
      <c r="H27" s="15">
        <f t="shared" si="5"/>
        <v>13.23</v>
      </c>
      <c r="I27" s="14">
        <f>H27/B3</f>
        <v>0.882</v>
      </c>
      <c r="J27" s="2">
        <v>0.0</v>
      </c>
      <c r="K27" s="2">
        <v>0.0</v>
      </c>
      <c r="L27" s="2">
        <v>0.0</v>
      </c>
      <c r="M27" s="7"/>
      <c r="N27" s="7"/>
    </row>
    <row r="28">
      <c r="A28" s="12">
        <v>45969.0</v>
      </c>
      <c r="B28" s="6" t="s">
        <v>62</v>
      </c>
      <c r="C28" s="2">
        <v>1.04</v>
      </c>
      <c r="D28" s="16">
        <f t="shared" si="3"/>
        <v>18.87</v>
      </c>
      <c r="E28" s="17">
        <f>D28/B1</f>
        <v>0.7548</v>
      </c>
      <c r="F28" s="16">
        <f t="shared" si="4"/>
        <v>12.12</v>
      </c>
      <c r="G28" s="17">
        <f>F28/B2</f>
        <v>0.808</v>
      </c>
      <c r="H28" s="15">
        <f t="shared" si="5"/>
        <v>13.23</v>
      </c>
      <c r="I28" s="14">
        <f>H28/B3</f>
        <v>0.882</v>
      </c>
      <c r="J28" s="2">
        <v>0.0</v>
      </c>
      <c r="K28" s="2">
        <v>0.0</v>
      </c>
      <c r="L28" s="2">
        <v>0.0</v>
      </c>
      <c r="M28" s="7"/>
      <c r="N28" s="7"/>
    </row>
    <row r="29">
      <c r="A29" s="12">
        <v>45969.0</v>
      </c>
      <c r="B29" s="6" t="s">
        <v>63</v>
      </c>
      <c r="C29" s="2">
        <v>0.97</v>
      </c>
      <c r="D29" s="16">
        <f t="shared" si="3"/>
        <v>18.87</v>
      </c>
      <c r="E29" s="17">
        <f>D29/B1</f>
        <v>0.7548</v>
      </c>
      <c r="F29" s="16">
        <f t="shared" si="4"/>
        <v>12.12</v>
      </c>
      <c r="G29" s="17">
        <f>F29/B2</f>
        <v>0.808</v>
      </c>
      <c r="H29" s="15">
        <f t="shared" si="5"/>
        <v>12.26</v>
      </c>
      <c r="I29" s="14">
        <f>H29/B3</f>
        <v>0.8173333333</v>
      </c>
      <c r="J29" s="2">
        <v>0.0</v>
      </c>
      <c r="K29" s="2">
        <v>0.0</v>
      </c>
      <c r="L29" s="2">
        <v>0.0</v>
      </c>
      <c r="M29" s="7"/>
      <c r="N29" s="7"/>
    </row>
    <row r="30">
      <c r="A30" s="12">
        <v>45970.0</v>
      </c>
      <c r="B30" s="6" t="s">
        <v>61</v>
      </c>
      <c r="C30" s="2">
        <v>1.59</v>
      </c>
      <c r="D30" s="16">
        <f t="shared" si="3"/>
        <v>17.28</v>
      </c>
      <c r="E30" s="17">
        <f>D30/B1</f>
        <v>0.6912</v>
      </c>
      <c r="F30" s="16">
        <f t="shared" si="4"/>
        <v>12.12</v>
      </c>
      <c r="G30" s="17">
        <f>F30/B2</f>
        <v>0.808</v>
      </c>
      <c r="H30" s="15">
        <f t="shared" si="5"/>
        <v>12.26</v>
      </c>
      <c r="I30" s="14">
        <f>H30/B3</f>
        <v>0.8173333333</v>
      </c>
      <c r="J30" s="2">
        <v>0.0</v>
      </c>
      <c r="K30" s="2">
        <v>0.0</v>
      </c>
      <c r="L30" s="2">
        <v>0.0</v>
      </c>
      <c r="M30" s="7"/>
      <c r="N30" s="7"/>
    </row>
    <row r="31">
      <c r="A31" s="12">
        <v>45970.0</v>
      </c>
      <c r="B31" s="6" t="s">
        <v>62</v>
      </c>
      <c r="C31" s="2">
        <v>1.61</v>
      </c>
      <c r="D31" s="16">
        <f t="shared" si="3"/>
        <v>17.28</v>
      </c>
      <c r="E31" s="17">
        <f>D31/B1</f>
        <v>0.6912</v>
      </c>
      <c r="F31" s="16">
        <f t="shared" si="4"/>
        <v>10.51</v>
      </c>
      <c r="G31" s="17">
        <f>F31/B2</f>
        <v>0.7006666667</v>
      </c>
      <c r="H31" s="15">
        <f t="shared" si="5"/>
        <v>12.26</v>
      </c>
      <c r="I31" s="14">
        <f>H31/B3</f>
        <v>0.8173333333</v>
      </c>
      <c r="J31" s="2">
        <v>0.0</v>
      </c>
      <c r="K31" s="2">
        <v>0.0</v>
      </c>
      <c r="L31" s="2">
        <v>0.0</v>
      </c>
      <c r="M31" s="7"/>
      <c r="N31" s="7"/>
    </row>
    <row r="32">
      <c r="A32" s="12">
        <v>45970.0</v>
      </c>
      <c r="B32" s="6" t="s">
        <v>63</v>
      </c>
      <c r="C32" s="2">
        <v>1.55</v>
      </c>
      <c r="D32" s="16">
        <f t="shared" si="3"/>
        <v>17.28</v>
      </c>
      <c r="E32" s="17">
        <f>D32/B1</f>
        <v>0.6912</v>
      </c>
      <c r="F32" s="16">
        <f t="shared" si="4"/>
        <v>10.51</v>
      </c>
      <c r="G32" s="17">
        <f>F32/B2</f>
        <v>0.7006666667</v>
      </c>
      <c r="H32" s="15">
        <f t="shared" si="5"/>
        <v>10.71</v>
      </c>
      <c r="I32" s="14">
        <f>H32/B3</f>
        <v>0.714</v>
      </c>
      <c r="J32" s="2">
        <v>0.0</v>
      </c>
      <c r="K32" s="2">
        <v>0.0</v>
      </c>
      <c r="L32" s="2">
        <v>0.0</v>
      </c>
      <c r="M32" s="7"/>
      <c r="N32" s="7"/>
    </row>
    <row r="33">
      <c r="A33" s="12">
        <v>45971.0</v>
      </c>
      <c r="B33" s="6" t="s">
        <v>61</v>
      </c>
      <c r="C33" s="2">
        <v>0.0</v>
      </c>
      <c r="D33" s="16">
        <f t="shared" si="3"/>
        <v>17.28</v>
      </c>
      <c r="E33" s="17">
        <f>D33/B1</f>
        <v>0.6912</v>
      </c>
      <c r="F33" s="16">
        <f t="shared" si="4"/>
        <v>10.51</v>
      </c>
      <c r="G33" s="17">
        <f>F33/B2</f>
        <v>0.7006666667</v>
      </c>
      <c r="H33" s="15">
        <f t="shared" si="5"/>
        <v>10.71</v>
      </c>
      <c r="I33" s="14">
        <f>H33/B3</f>
        <v>0.714</v>
      </c>
      <c r="J33" s="2">
        <v>0.0</v>
      </c>
      <c r="K33" s="2">
        <v>0.0</v>
      </c>
      <c r="L33" s="2">
        <v>0.0</v>
      </c>
      <c r="M33" s="7"/>
      <c r="N33" s="7"/>
    </row>
    <row r="34">
      <c r="A34" s="12">
        <v>45971.0</v>
      </c>
      <c r="B34" s="6" t="s">
        <v>62</v>
      </c>
      <c r="C34" s="2">
        <v>0.0</v>
      </c>
      <c r="D34" s="16">
        <f t="shared" si="3"/>
        <v>17.28</v>
      </c>
      <c r="E34" s="17">
        <f>D34/B1</f>
        <v>0.6912</v>
      </c>
      <c r="F34" s="16">
        <f t="shared" si="4"/>
        <v>10.51</v>
      </c>
      <c r="G34" s="17">
        <f>F34/B2</f>
        <v>0.7006666667</v>
      </c>
      <c r="H34" s="15">
        <f t="shared" si="5"/>
        <v>10.71</v>
      </c>
      <c r="I34" s="14">
        <f>H34/B3</f>
        <v>0.714</v>
      </c>
      <c r="J34" s="2">
        <v>0.0</v>
      </c>
      <c r="K34" s="2">
        <v>0.0</v>
      </c>
      <c r="L34" s="2">
        <v>0.0</v>
      </c>
      <c r="M34" s="7"/>
      <c r="N34" s="7"/>
    </row>
    <row r="35">
      <c r="A35" s="12">
        <v>45971.0</v>
      </c>
      <c r="B35" s="6" t="s">
        <v>63</v>
      </c>
      <c r="C35" s="2">
        <v>0.0</v>
      </c>
      <c r="D35" s="16">
        <f t="shared" si="3"/>
        <v>17.28</v>
      </c>
      <c r="E35" s="17">
        <f>D35/B1</f>
        <v>0.6912</v>
      </c>
      <c r="F35" s="16">
        <f t="shared" si="4"/>
        <v>10.51</v>
      </c>
      <c r="G35" s="17">
        <f>F35/B2</f>
        <v>0.7006666667</v>
      </c>
      <c r="H35" s="15">
        <f t="shared" si="5"/>
        <v>10.71</v>
      </c>
      <c r="I35" s="14">
        <f>H35/B3</f>
        <v>0.714</v>
      </c>
      <c r="J35" s="2">
        <v>0.0</v>
      </c>
      <c r="K35" s="2">
        <v>0.0</v>
      </c>
      <c r="L35" s="2">
        <v>0.0</v>
      </c>
      <c r="M35" s="7"/>
      <c r="N35" s="7"/>
    </row>
    <row r="36">
      <c r="A36" s="12">
        <v>45972.0</v>
      </c>
      <c r="B36" s="6" t="s">
        <v>61</v>
      </c>
      <c r="C36" s="2">
        <v>1.37</v>
      </c>
      <c r="D36" s="16">
        <f t="shared" si="3"/>
        <v>15.91</v>
      </c>
      <c r="E36" s="17">
        <f>D36/B1</f>
        <v>0.6364</v>
      </c>
      <c r="F36" s="16">
        <f t="shared" si="4"/>
        <v>10.51</v>
      </c>
      <c r="G36" s="17">
        <f>F36/B2</f>
        <v>0.7006666667</v>
      </c>
      <c r="H36" s="15">
        <f t="shared" si="5"/>
        <v>10.71</v>
      </c>
      <c r="I36" s="14">
        <f>H36/B3</f>
        <v>0.714</v>
      </c>
      <c r="J36" s="2">
        <v>0.0</v>
      </c>
      <c r="K36" s="2">
        <v>0.0</v>
      </c>
      <c r="L36" s="2">
        <v>0.0</v>
      </c>
      <c r="M36" s="7"/>
      <c r="N36" s="7"/>
    </row>
    <row r="37">
      <c r="A37" s="12">
        <v>45972.0</v>
      </c>
      <c r="B37" s="6" t="s">
        <v>62</v>
      </c>
      <c r="C37" s="2">
        <v>1.24</v>
      </c>
      <c r="D37" s="16">
        <f t="shared" si="3"/>
        <v>15.91</v>
      </c>
      <c r="E37" s="17">
        <f>D37/B1</f>
        <v>0.6364</v>
      </c>
      <c r="F37" s="16">
        <f t="shared" si="4"/>
        <v>9.27</v>
      </c>
      <c r="G37" s="17">
        <f>F37/B2</f>
        <v>0.618</v>
      </c>
      <c r="H37" s="15">
        <f t="shared" si="5"/>
        <v>10.71</v>
      </c>
      <c r="I37" s="14">
        <f>H37/B3</f>
        <v>0.714</v>
      </c>
      <c r="J37" s="2">
        <v>0.0</v>
      </c>
      <c r="K37" s="2">
        <v>0.0</v>
      </c>
      <c r="L37" s="2">
        <v>0.0</v>
      </c>
      <c r="M37" s="7"/>
      <c r="N37" s="7"/>
    </row>
    <row r="38">
      <c r="A38" s="12">
        <v>45972.0</v>
      </c>
      <c r="B38" s="6" t="s">
        <v>63</v>
      </c>
      <c r="C38" s="2">
        <v>1.1</v>
      </c>
      <c r="D38" s="16">
        <f t="shared" si="3"/>
        <v>15.91</v>
      </c>
      <c r="E38" s="17">
        <f>D38/B1</f>
        <v>0.6364</v>
      </c>
      <c r="F38" s="16">
        <f t="shared" si="4"/>
        <v>9.27</v>
      </c>
      <c r="G38" s="17">
        <f>F38/B2</f>
        <v>0.618</v>
      </c>
      <c r="H38" s="15">
        <f t="shared" si="5"/>
        <v>9.61</v>
      </c>
      <c r="I38" s="14">
        <f>H38/B3</f>
        <v>0.6406666667</v>
      </c>
      <c r="J38" s="2">
        <v>0.0</v>
      </c>
      <c r="K38" s="2">
        <v>0.0</v>
      </c>
      <c r="L38" s="2">
        <v>0.0</v>
      </c>
      <c r="M38" s="7"/>
      <c r="N38" s="7"/>
    </row>
    <row r="39">
      <c r="A39" s="12">
        <v>45973.0</v>
      </c>
      <c r="B39" s="6" t="s">
        <v>61</v>
      </c>
      <c r="C39" s="2">
        <v>0.0</v>
      </c>
      <c r="D39" s="16">
        <f t="shared" si="3"/>
        <v>15.91</v>
      </c>
      <c r="E39" s="17">
        <f>D39/B1</f>
        <v>0.6364</v>
      </c>
      <c r="F39" s="16">
        <f t="shared" si="4"/>
        <v>9.27</v>
      </c>
      <c r="G39" s="17">
        <f>F39/B2</f>
        <v>0.618</v>
      </c>
      <c r="H39" s="15">
        <f t="shared" si="5"/>
        <v>9.61</v>
      </c>
      <c r="I39" s="14">
        <f>H39/B3</f>
        <v>0.6406666667</v>
      </c>
      <c r="J39" s="2">
        <v>0.0</v>
      </c>
      <c r="K39" s="2">
        <v>0.0</v>
      </c>
      <c r="L39" s="2">
        <v>0.0</v>
      </c>
      <c r="M39" s="7"/>
      <c r="N39" s="7"/>
    </row>
    <row r="40">
      <c r="A40" s="12">
        <v>45973.0</v>
      </c>
      <c r="B40" s="6" t="s">
        <v>62</v>
      </c>
      <c r="C40" s="2">
        <v>0.0</v>
      </c>
      <c r="D40" s="16">
        <f t="shared" si="3"/>
        <v>15.91</v>
      </c>
      <c r="E40" s="17">
        <f>D40/B1</f>
        <v>0.6364</v>
      </c>
      <c r="F40" s="16">
        <f t="shared" si="4"/>
        <v>9.27</v>
      </c>
      <c r="G40" s="17">
        <f>F40/B2</f>
        <v>0.618</v>
      </c>
      <c r="H40" s="15">
        <f t="shared" si="5"/>
        <v>9.61</v>
      </c>
      <c r="I40" s="14">
        <f>H40/B3</f>
        <v>0.6406666667</v>
      </c>
      <c r="J40" s="2">
        <v>0.0</v>
      </c>
      <c r="K40" s="2">
        <v>0.0</v>
      </c>
      <c r="L40" s="2">
        <v>0.0</v>
      </c>
      <c r="M40" s="7"/>
      <c r="N40" s="7"/>
    </row>
    <row r="41">
      <c r="A41" s="12">
        <v>45973.0</v>
      </c>
      <c r="B41" s="6" t="s">
        <v>63</v>
      </c>
      <c r="C41" s="2">
        <v>0.0</v>
      </c>
      <c r="D41" s="16">
        <f t="shared" si="3"/>
        <v>15.91</v>
      </c>
      <c r="E41" s="17">
        <f>D41/B1</f>
        <v>0.6364</v>
      </c>
      <c r="F41" s="16">
        <f t="shared" si="4"/>
        <v>9.27</v>
      </c>
      <c r="G41" s="17">
        <f>F41/B2</f>
        <v>0.618</v>
      </c>
      <c r="H41" s="15">
        <f t="shared" si="5"/>
        <v>9.61</v>
      </c>
      <c r="I41" s="14">
        <f>H41/B3</f>
        <v>0.6406666667</v>
      </c>
      <c r="J41" s="2">
        <v>0.0</v>
      </c>
      <c r="K41" s="2">
        <v>0.0</v>
      </c>
      <c r="L41" s="2">
        <v>0.0</v>
      </c>
      <c r="M41" s="7"/>
      <c r="N41" s="7"/>
    </row>
    <row r="42">
      <c r="A42" s="12">
        <v>45974.0</v>
      </c>
      <c r="B42" s="6" t="s">
        <v>61</v>
      </c>
      <c r="C42" s="2">
        <v>1.5</v>
      </c>
      <c r="D42" s="16">
        <f t="shared" si="3"/>
        <v>14.41</v>
      </c>
      <c r="E42" s="17">
        <f>D42/B1</f>
        <v>0.5764</v>
      </c>
      <c r="F42" s="16">
        <f t="shared" si="4"/>
        <v>9.27</v>
      </c>
      <c r="G42" s="17">
        <f>F42/B2</f>
        <v>0.618</v>
      </c>
      <c r="H42" s="15">
        <f t="shared" si="5"/>
        <v>9.61</v>
      </c>
      <c r="I42" s="14">
        <f>H42/B3</f>
        <v>0.6406666667</v>
      </c>
      <c r="J42" s="2">
        <v>0.0</v>
      </c>
      <c r="K42" s="2">
        <v>0.0</v>
      </c>
      <c r="L42" s="2">
        <v>0.0</v>
      </c>
      <c r="M42" s="7"/>
      <c r="N42" s="7"/>
    </row>
    <row r="43">
      <c r="A43" s="12">
        <v>45974.0</v>
      </c>
      <c r="B43" s="6" t="s">
        <v>62</v>
      </c>
      <c r="C43" s="2">
        <v>1.33</v>
      </c>
      <c r="D43" s="16">
        <f t="shared" si="3"/>
        <v>14.41</v>
      </c>
      <c r="E43" s="17">
        <f>D43/B1</f>
        <v>0.5764</v>
      </c>
      <c r="F43" s="16">
        <f t="shared" si="4"/>
        <v>7.94</v>
      </c>
      <c r="G43" s="17">
        <f>F43/B2</f>
        <v>0.5293333333</v>
      </c>
      <c r="H43" s="15">
        <f t="shared" si="5"/>
        <v>9.61</v>
      </c>
      <c r="I43" s="14">
        <f>H43/B3</f>
        <v>0.6406666667</v>
      </c>
      <c r="J43" s="2">
        <v>0.0</v>
      </c>
      <c r="K43" s="2">
        <v>0.0</v>
      </c>
      <c r="L43" s="2">
        <v>0.0</v>
      </c>
      <c r="M43" s="7"/>
      <c r="N43" s="7"/>
    </row>
    <row r="44">
      <c r="A44" s="12">
        <v>45974.0</v>
      </c>
      <c r="B44" s="6" t="s">
        <v>63</v>
      </c>
      <c r="C44" s="2">
        <v>0.0</v>
      </c>
      <c r="D44" s="16">
        <f t="shared" si="3"/>
        <v>14.41</v>
      </c>
      <c r="E44" s="17">
        <f>D44/B1</f>
        <v>0.5764</v>
      </c>
      <c r="F44" s="16">
        <f t="shared" si="4"/>
        <v>7.94</v>
      </c>
      <c r="G44" s="17">
        <f>F44/B2</f>
        <v>0.5293333333</v>
      </c>
      <c r="H44" s="15">
        <f t="shared" si="5"/>
        <v>9.61</v>
      </c>
      <c r="I44" s="14">
        <f>H44/B3</f>
        <v>0.6406666667</v>
      </c>
      <c r="J44" s="2">
        <v>0.0</v>
      </c>
      <c r="K44" s="2">
        <v>0.0</v>
      </c>
      <c r="L44" s="2">
        <v>0.0</v>
      </c>
      <c r="M44" s="7"/>
      <c r="N44" s="7"/>
    </row>
    <row r="45">
      <c r="A45" s="12">
        <v>45975.0</v>
      </c>
      <c r="B45" s="6" t="s">
        <v>61</v>
      </c>
      <c r="C45" s="2">
        <v>0.0</v>
      </c>
      <c r="D45" s="16">
        <f t="shared" si="3"/>
        <v>14.41</v>
      </c>
      <c r="E45" s="17">
        <f>D45/B1</f>
        <v>0.5764</v>
      </c>
      <c r="F45" s="16">
        <f t="shared" si="4"/>
        <v>7.94</v>
      </c>
      <c r="G45" s="17">
        <f>F45/B2</f>
        <v>0.5293333333</v>
      </c>
      <c r="H45" s="15">
        <f t="shared" si="5"/>
        <v>9.61</v>
      </c>
      <c r="I45" s="14">
        <f>H45/B3</f>
        <v>0.6406666667</v>
      </c>
      <c r="J45" s="2">
        <v>0.0</v>
      </c>
      <c r="K45" s="2">
        <v>0.0</v>
      </c>
      <c r="L45" s="2">
        <v>0.0</v>
      </c>
      <c r="M45" s="7"/>
      <c r="N45" s="7"/>
    </row>
    <row r="46">
      <c r="A46" s="12">
        <v>45975.0</v>
      </c>
      <c r="B46" s="6" t="s">
        <v>62</v>
      </c>
      <c r="C46" s="2">
        <v>0.0</v>
      </c>
      <c r="D46" s="16">
        <f t="shared" si="3"/>
        <v>14.41</v>
      </c>
      <c r="E46" s="17">
        <f>D46/B1</f>
        <v>0.5764</v>
      </c>
      <c r="F46" s="16">
        <f t="shared" si="4"/>
        <v>7.94</v>
      </c>
      <c r="G46" s="17">
        <f>F46/B2</f>
        <v>0.5293333333</v>
      </c>
      <c r="H46" s="15">
        <f t="shared" si="5"/>
        <v>9.61</v>
      </c>
      <c r="I46" s="14">
        <f>H46/B3</f>
        <v>0.6406666667</v>
      </c>
      <c r="J46" s="2">
        <v>0.0</v>
      </c>
      <c r="K46" s="2">
        <v>0.0</v>
      </c>
      <c r="L46" s="2">
        <v>0.0</v>
      </c>
      <c r="M46" s="7"/>
      <c r="N46" s="7"/>
    </row>
    <row r="47">
      <c r="A47" s="12">
        <v>45975.0</v>
      </c>
      <c r="B47" s="6" t="s">
        <v>63</v>
      </c>
      <c r="C47" s="2">
        <v>1.51</v>
      </c>
      <c r="D47" s="16">
        <f t="shared" si="3"/>
        <v>14.41</v>
      </c>
      <c r="E47" s="17">
        <f>D47/B1</f>
        <v>0.5764</v>
      </c>
      <c r="F47" s="16">
        <f t="shared" si="4"/>
        <v>7.94</v>
      </c>
      <c r="G47" s="17">
        <f>F47/B2</f>
        <v>0.5293333333</v>
      </c>
      <c r="H47" s="15">
        <f t="shared" si="5"/>
        <v>8.1</v>
      </c>
      <c r="I47" s="14">
        <f>H47/B3</f>
        <v>0.54</v>
      </c>
      <c r="J47" s="2">
        <v>0.0</v>
      </c>
      <c r="K47" s="2">
        <v>0.0</v>
      </c>
      <c r="L47" s="2">
        <v>0.0</v>
      </c>
      <c r="M47" s="7"/>
      <c r="N47" s="7"/>
    </row>
    <row r="48">
      <c r="A48" s="12">
        <v>45976.0</v>
      </c>
      <c r="B48" s="6" t="s">
        <v>61</v>
      </c>
      <c r="C48" s="2">
        <v>1.74</v>
      </c>
      <c r="D48" s="16">
        <f t="shared" si="3"/>
        <v>12.67</v>
      </c>
      <c r="E48" s="17">
        <f>D48/B1</f>
        <v>0.5068</v>
      </c>
      <c r="F48" s="16">
        <f t="shared" si="4"/>
        <v>7.94</v>
      </c>
      <c r="G48" s="17">
        <f>F48/B2</f>
        <v>0.5293333333</v>
      </c>
      <c r="H48" s="15">
        <f t="shared" si="5"/>
        <v>8.1</v>
      </c>
      <c r="I48" s="14">
        <f>H48/B3</f>
        <v>0.54</v>
      </c>
      <c r="J48" s="2">
        <v>0.0</v>
      </c>
      <c r="K48" s="2">
        <v>0.0</v>
      </c>
      <c r="L48" s="2">
        <v>0.0</v>
      </c>
      <c r="M48" s="7"/>
      <c r="N48" s="7"/>
    </row>
    <row r="49">
      <c r="A49" s="12">
        <v>45976.0</v>
      </c>
      <c r="B49" s="6" t="s">
        <v>62</v>
      </c>
      <c r="C49" s="2">
        <v>1.52</v>
      </c>
      <c r="D49" s="16">
        <f t="shared" si="3"/>
        <v>12.67</v>
      </c>
      <c r="E49" s="17">
        <f>D49/B1</f>
        <v>0.5068</v>
      </c>
      <c r="F49" s="16">
        <f t="shared" si="4"/>
        <v>6.42</v>
      </c>
      <c r="G49" s="17">
        <f>F49/B2</f>
        <v>0.428</v>
      </c>
      <c r="H49" s="15">
        <f t="shared" si="5"/>
        <v>8.1</v>
      </c>
      <c r="I49" s="14">
        <f>H49/B3</f>
        <v>0.54</v>
      </c>
      <c r="J49" s="2">
        <v>0.0</v>
      </c>
      <c r="K49" s="2">
        <v>0.0</v>
      </c>
      <c r="L49" s="2">
        <v>0.0</v>
      </c>
      <c r="M49" s="7"/>
      <c r="N49" s="7"/>
    </row>
    <row r="50">
      <c r="A50" s="12">
        <v>45976.0</v>
      </c>
      <c r="B50" s="6" t="s">
        <v>63</v>
      </c>
      <c r="C50" s="2">
        <v>0.0</v>
      </c>
      <c r="D50" s="16">
        <f t="shared" si="3"/>
        <v>12.67</v>
      </c>
      <c r="E50" s="17">
        <f>D50/B1</f>
        <v>0.5068</v>
      </c>
      <c r="F50" s="16">
        <f t="shared" si="4"/>
        <v>6.42</v>
      </c>
      <c r="G50" s="17">
        <f>F50/B2</f>
        <v>0.428</v>
      </c>
      <c r="H50" s="15">
        <f t="shared" si="5"/>
        <v>8.1</v>
      </c>
      <c r="I50" s="14">
        <f>H50/B3</f>
        <v>0.54</v>
      </c>
      <c r="J50" s="2">
        <v>0.0</v>
      </c>
      <c r="K50" s="2">
        <v>0.0</v>
      </c>
      <c r="L50" s="2">
        <v>0.0</v>
      </c>
      <c r="M50" s="7"/>
      <c r="N50" s="7"/>
    </row>
    <row r="51">
      <c r="A51" s="12">
        <v>45977.0</v>
      </c>
      <c r="B51" s="6" t="s">
        <v>61</v>
      </c>
      <c r="C51" s="2">
        <v>1.51</v>
      </c>
      <c r="D51" s="16">
        <f t="shared" si="3"/>
        <v>11.16</v>
      </c>
      <c r="E51" s="17">
        <f>D51/B1</f>
        <v>0.4464</v>
      </c>
      <c r="F51" s="16">
        <f t="shared" si="4"/>
        <v>6.42</v>
      </c>
      <c r="G51" s="17">
        <f>F51/B2</f>
        <v>0.428</v>
      </c>
      <c r="H51" s="15">
        <f t="shared" si="5"/>
        <v>8.1</v>
      </c>
      <c r="I51" s="14">
        <f>H51/B3</f>
        <v>0.54</v>
      </c>
      <c r="J51" s="2">
        <v>0.0</v>
      </c>
      <c r="K51" s="2">
        <v>0.0</v>
      </c>
      <c r="L51" s="2">
        <v>0.0</v>
      </c>
      <c r="M51" s="7"/>
      <c r="N51" s="7"/>
    </row>
    <row r="52">
      <c r="A52" s="12">
        <v>45977.0</v>
      </c>
      <c r="B52" s="6" t="s">
        <v>62</v>
      </c>
      <c r="C52" s="2">
        <v>1.42</v>
      </c>
      <c r="D52" s="16">
        <f t="shared" si="3"/>
        <v>11.16</v>
      </c>
      <c r="E52" s="17">
        <f>D52/B1</f>
        <v>0.4464</v>
      </c>
      <c r="F52" s="16">
        <f t="shared" si="4"/>
        <v>5</v>
      </c>
      <c r="G52" s="17">
        <f>F52/B2</f>
        <v>0.3333333333</v>
      </c>
      <c r="H52" s="15">
        <f t="shared" si="5"/>
        <v>8.1</v>
      </c>
      <c r="I52" s="14">
        <f>H52/B3</f>
        <v>0.54</v>
      </c>
      <c r="J52" s="2">
        <v>0.0</v>
      </c>
      <c r="K52" s="2">
        <v>0.0</v>
      </c>
      <c r="L52" s="2">
        <v>0.0</v>
      </c>
      <c r="M52" s="7"/>
      <c r="N52" s="7"/>
    </row>
    <row r="53">
      <c r="A53" s="12">
        <v>45977.0</v>
      </c>
      <c r="B53" s="6" t="s">
        <v>63</v>
      </c>
      <c r="C53" s="2">
        <v>0.0</v>
      </c>
      <c r="D53" s="16">
        <f t="shared" si="3"/>
        <v>11.16</v>
      </c>
      <c r="E53" s="17">
        <f>D53/B1</f>
        <v>0.4464</v>
      </c>
      <c r="F53" s="16">
        <f t="shared" si="4"/>
        <v>5</v>
      </c>
      <c r="G53" s="17">
        <f>F53/B2</f>
        <v>0.3333333333</v>
      </c>
      <c r="H53" s="15">
        <f t="shared" si="5"/>
        <v>8.1</v>
      </c>
      <c r="I53" s="14">
        <f>H53/B3</f>
        <v>0.54</v>
      </c>
      <c r="J53" s="2">
        <v>0.0</v>
      </c>
      <c r="K53" s="2">
        <v>0.0</v>
      </c>
      <c r="L53" s="2">
        <v>0.0</v>
      </c>
      <c r="M53" s="7"/>
      <c r="N53" s="7"/>
    </row>
    <row r="54">
      <c r="A54" s="12">
        <v>45978.0</v>
      </c>
      <c r="B54" s="6" t="s">
        <v>61</v>
      </c>
      <c r="C54" s="2">
        <v>1.57</v>
      </c>
      <c r="D54" s="16">
        <f t="shared" si="3"/>
        <v>9.59</v>
      </c>
      <c r="E54" s="17">
        <f>D54/B1</f>
        <v>0.3836</v>
      </c>
      <c r="F54" s="16">
        <f t="shared" si="4"/>
        <v>5</v>
      </c>
      <c r="G54" s="17">
        <f>F54/B2</f>
        <v>0.3333333333</v>
      </c>
      <c r="H54" s="15">
        <f t="shared" si="5"/>
        <v>8.1</v>
      </c>
      <c r="I54" s="14">
        <f>H54/B3</f>
        <v>0.54</v>
      </c>
      <c r="J54" s="2">
        <v>0.0</v>
      </c>
      <c r="K54" s="2">
        <v>0.0</v>
      </c>
      <c r="L54" s="2">
        <v>0.0</v>
      </c>
      <c r="M54" s="7"/>
      <c r="N54" s="7"/>
    </row>
    <row r="55">
      <c r="A55" s="12">
        <v>45978.0</v>
      </c>
      <c r="B55" s="6" t="s">
        <v>62</v>
      </c>
      <c r="C55" s="2">
        <v>1.46</v>
      </c>
      <c r="D55" s="16">
        <f t="shared" si="3"/>
        <v>9.59</v>
      </c>
      <c r="E55" s="17">
        <f>D55/B1</f>
        <v>0.3836</v>
      </c>
      <c r="F55" s="16">
        <f t="shared" si="4"/>
        <v>3.54</v>
      </c>
      <c r="G55" s="17">
        <f>F55/B2</f>
        <v>0.236</v>
      </c>
      <c r="H55" s="15">
        <f t="shared" si="5"/>
        <v>8.1</v>
      </c>
      <c r="I55" s="14">
        <f>H55/B3</f>
        <v>0.54</v>
      </c>
      <c r="J55" s="2">
        <v>0.0</v>
      </c>
      <c r="K55" s="2">
        <v>0.0</v>
      </c>
      <c r="L55" s="2">
        <v>0.0</v>
      </c>
      <c r="M55" s="7"/>
      <c r="N55" s="7"/>
    </row>
    <row r="56">
      <c r="A56" s="12">
        <v>45978.0</v>
      </c>
      <c r="B56" s="6" t="s">
        <v>63</v>
      </c>
      <c r="C56" s="2">
        <v>0.0</v>
      </c>
      <c r="D56" s="16">
        <f t="shared" si="3"/>
        <v>9.59</v>
      </c>
      <c r="E56" s="17">
        <f>D56/B1</f>
        <v>0.3836</v>
      </c>
      <c r="F56" s="16">
        <f t="shared" si="4"/>
        <v>3.54</v>
      </c>
      <c r="G56" s="17">
        <f>F56/B2</f>
        <v>0.236</v>
      </c>
      <c r="H56" s="15">
        <f t="shared" si="5"/>
        <v>8.1</v>
      </c>
      <c r="I56" s="14">
        <f>H56/B3</f>
        <v>0.54</v>
      </c>
      <c r="J56" s="2">
        <v>0.0</v>
      </c>
      <c r="K56" s="2">
        <v>0.0</v>
      </c>
      <c r="L56" s="2">
        <v>0.0</v>
      </c>
      <c r="M56" s="7"/>
      <c r="N56" s="7"/>
    </row>
    <row r="57">
      <c r="A57" s="12">
        <v>45979.0</v>
      </c>
      <c r="B57" s="6" t="s">
        <v>61</v>
      </c>
      <c r="C57" s="2">
        <v>0.0</v>
      </c>
      <c r="D57" s="16">
        <f t="shared" si="3"/>
        <v>9.59</v>
      </c>
      <c r="E57" s="17">
        <f>D57/B1</f>
        <v>0.3836</v>
      </c>
      <c r="F57" s="16">
        <f t="shared" si="4"/>
        <v>3.54</v>
      </c>
      <c r="G57" s="17">
        <f>F57/B2</f>
        <v>0.236</v>
      </c>
      <c r="H57" s="15">
        <f t="shared" si="5"/>
        <v>8.1</v>
      </c>
      <c r="I57" s="14">
        <f>H57/B3</f>
        <v>0.54</v>
      </c>
      <c r="J57" s="2">
        <v>0.0</v>
      </c>
      <c r="K57" s="2">
        <v>0.0</v>
      </c>
      <c r="L57" s="2">
        <v>0.0</v>
      </c>
      <c r="M57" s="7"/>
      <c r="N57" s="7"/>
    </row>
    <row r="58">
      <c r="A58" s="12">
        <v>45979.0</v>
      </c>
      <c r="B58" s="6" t="s">
        <v>62</v>
      </c>
      <c r="C58" s="2">
        <v>0.0</v>
      </c>
      <c r="D58" s="16">
        <f t="shared" si="3"/>
        <v>9.59</v>
      </c>
      <c r="E58" s="17">
        <f>D58/B1</f>
        <v>0.3836</v>
      </c>
      <c r="F58" s="16">
        <f t="shared" si="4"/>
        <v>3.54</v>
      </c>
      <c r="G58" s="17">
        <f>F58/B2</f>
        <v>0.236</v>
      </c>
      <c r="H58" s="15">
        <f t="shared" si="5"/>
        <v>8.1</v>
      </c>
      <c r="I58" s="14">
        <f>H58/B3</f>
        <v>0.54</v>
      </c>
      <c r="J58" s="2">
        <v>0.0</v>
      </c>
      <c r="K58" s="2">
        <v>0.0</v>
      </c>
      <c r="L58" s="2">
        <v>0.0</v>
      </c>
      <c r="M58" s="7"/>
      <c r="N58" s="7"/>
    </row>
    <row r="59">
      <c r="A59" s="12">
        <v>45979.0</v>
      </c>
      <c r="B59" s="6" t="s">
        <v>63</v>
      </c>
      <c r="C59" s="2">
        <v>1.55</v>
      </c>
      <c r="D59" s="16">
        <f t="shared" si="3"/>
        <v>9.59</v>
      </c>
      <c r="E59" s="17">
        <f>D59/B1</f>
        <v>0.3836</v>
      </c>
      <c r="F59" s="16">
        <f t="shared" si="4"/>
        <v>3.54</v>
      </c>
      <c r="G59" s="17">
        <f>F59/B2</f>
        <v>0.236</v>
      </c>
      <c r="H59" s="15">
        <f t="shared" si="5"/>
        <v>6.55</v>
      </c>
      <c r="I59" s="14">
        <f>H59/B3</f>
        <v>0.4366666667</v>
      </c>
      <c r="J59" s="2">
        <v>0.0</v>
      </c>
      <c r="K59" s="2">
        <v>0.0</v>
      </c>
      <c r="L59" s="2">
        <v>0.0</v>
      </c>
    </row>
    <row r="60">
      <c r="A60" s="12">
        <v>45980.0</v>
      </c>
      <c r="B60" s="6" t="s">
        <v>61</v>
      </c>
      <c r="C60" s="2">
        <v>0.0</v>
      </c>
      <c r="D60" s="16">
        <f t="shared" si="3"/>
        <v>9.59</v>
      </c>
      <c r="E60" s="17">
        <f>D60/B1</f>
        <v>0.3836</v>
      </c>
      <c r="F60" s="16">
        <f t="shared" si="4"/>
        <v>3.54</v>
      </c>
      <c r="G60" s="17">
        <f>F60/B2</f>
        <v>0.236</v>
      </c>
      <c r="H60" s="15">
        <f t="shared" si="5"/>
        <v>6.55</v>
      </c>
      <c r="I60" s="14">
        <f>H60/B3</f>
        <v>0.4366666667</v>
      </c>
      <c r="J60" s="2">
        <v>0.0</v>
      </c>
      <c r="K60" s="2">
        <v>0.0</v>
      </c>
      <c r="L60" s="2">
        <v>0.0</v>
      </c>
    </row>
    <row r="61">
      <c r="A61" s="12">
        <v>45980.0</v>
      </c>
      <c r="B61" s="6" t="s">
        <v>62</v>
      </c>
      <c r="C61" s="2">
        <v>0.0</v>
      </c>
      <c r="D61" s="16">
        <f t="shared" si="3"/>
        <v>9.59</v>
      </c>
      <c r="E61" s="17">
        <f>D61/B1</f>
        <v>0.3836</v>
      </c>
      <c r="F61" s="16">
        <f t="shared" si="4"/>
        <v>3.54</v>
      </c>
      <c r="G61" s="17">
        <f>F61/B2</f>
        <v>0.236</v>
      </c>
      <c r="H61" s="15">
        <f t="shared" si="5"/>
        <v>6.55</v>
      </c>
      <c r="I61" s="14">
        <f>H61/B3</f>
        <v>0.4366666667</v>
      </c>
      <c r="J61" s="2">
        <v>0.0</v>
      </c>
      <c r="K61" s="2">
        <v>0.0</v>
      </c>
      <c r="L61" s="2">
        <v>0.0</v>
      </c>
    </row>
    <row r="62">
      <c r="A62" s="12">
        <v>45980.0</v>
      </c>
      <c r="B62" s="6" t="s">
        <v>63</v>
      </c>
      <c r="C62" s="2">
        <v>0.0</v>
      </c>
      <c r="D62" s="16">
        <f t="shared" si="3"/>
        <v>9.59</v>
      </c>
      <c r="E62" s="17">
        <f>D62/B1</f>
        <v>0.3836</v>
      </c>
      <c r="F62" s="16">
        <f t="shared" si="4"/>
        <v>3.54</v>
      </c>
      <c r="G62" s="17">
        <f>F62/B2</f>
        <v>0.236</v>
      </c>
      <c r="H62" s="15">
        <f t="shared" si="5"/>
        <v>6.55</v>
      </c>
      <c r="I62" s="14">
        <f>H62/B3</f>
        <v>0.4366666667</v>
      </c>
      <c r="J62" s="2">
        <v>0.0</v>
      </c>
      <c r="K62" s="2">
        <v>0.0</v>
      </c>
      <c r="L62" s="2">
        <v>0.0</v>
      </c>
    </row>
    <row r="63">
      <c r="A63" s="12">
        <v>45981.0</v>
      </c>
      <c r="B63" s="6" t="s">
        <v>61</v>
      </c>
      <c r="C63" s="2">
        <v>1.09</v>
      </c>
      <c r="D63" s="16">
        <f t="shared" si="3"/>
        <v>8.5</v>
      </c>
      <c r="E63" s="17">
        <f>D63/B1</f>
        <v>0.34</v>
      </c>
      <c r="F63" s="16">
        <f t="shared" si="4"/>
        <v>3.54</v>
      </c>
      <c r="G63" s="17">
        <f>F63/B2</f>
        <v>0.236</v>
      </c>
      <c r="H63" s="15">
        <f t="shared" si="5"/>
        <v>6.55</v>
      </c>
      <c r="I63" s="14">
        <f>H63/B3</f>
        <v>0.4366666667</v>
      </c>
      <c r="J63" s="2">
        <v>0.0</v>
      </c>
      <c r="K63" s="2">
        <v>0.0</v>
      </c>
      <c r="L63" s="2">
        <v>0.0</v>
      </c>
    </row>
    <row r="64">
      <c r="A64" s="12">
        <v>45981.0</v>
      </c>
      <c r="B64" s="6" t="s">
        <v>62</v>
      </c>
      <c r="C64" s="2">
        <v>0.0</v>
      </c>
      <c r="D64" s="16">
        <f t="shared" si="3"/>
        <v>8.5</v>
      </c>
      <c r="E64" s="17">
        <f>D64/B1</f>
        <v>0.34</v>
      </c>
      <c r="F64" s="16">
        <f t="shared" si="4"/>
        <v>3.54</v>
      </c>
      <c r="G64" s="17">
        <f>F64/B2</f>
        <v>0.236</v>
      </c>
      <c r="H64" s="15">
        <f t="shared" si="5"/>
        <v>6.55</v>
      </c>
      <c r="I64" s="14">
        <f>H64/B3</f>
        <v>0.4366666667</v>
      </c>
      <c r="J64" s="2">
        <v>0.0</v>
      </c>
      <c r="K64" s="2">
        <v>0.0</v>
      </c>
      <c r="L64" s="2">
        <v>0.0</v>
      </c>
    </row>
    <row r="65">
      <c r="A65" s="12">
        <v>45981.0</v>
      </c>
      <c r="B65" s="6" t="s">
        <v>63</v>
      </c>
      <c r="C65" s="2">
        <v>1.03</v>
      </c>
      <c r="D65" s="16">
        <f t="shared" si="3"/>
        <v>8.5</v>
      </c>
      <c r="E65" s="17">
        <f>D65/B1</f>
        <v>0.34</v>
      </c>
      <c r="F65" s="16">
        <f t="shared" si="4"/>
        <v>3.54</v>
      </c>
      <c r="G65" s="17">
        <f>F65/B2</f>
        <v>0.236</v>
      </c>
      <c r="H65" s="15">
        <f t="shared" si="5"/>
        <v>5.52</v>
      </c>
      <c r="I65" s="14">
        <f>H65/B3</f>
        <v>0.368</v>
      </c>
      <c r="J65" s="2">
        <v>0.0</v>
      </c>
      <c r="K65" s="2">
        <v>0.0</v>
      </c>
      <c r="L65" s="2">
        <v>0.0</v>
      </c>
    </row>
    <row r="66">
      <c r="A66" s="12">
        <v>45982.0</v>
      </c>
      <c r="B66" s="6" t="s">
        <v>61</v>
      </c>
      <c r="C66" s="2">
        <v>0.0</v>
      </c>
      <c r="D66" s="16">
        <f t="shared" si="3"/>
        <v>8.5</v>
      </c>
      <c r="E66" s="17">
        <f>D66/B1</f>
        <v>0.34</v>
      </c>
      <c r="F66" s="16">
        <f t="shared" si="4"/>
        <v>3.54</v>
      </c>
      <c r="G66" s="17">
        <f>F66/B2</f>
        <v>0.236</v>
      </c>
      <c r="H66" s="15">
        <f t="shared" si="5"/>
        <v>5.52</v>
      </c>
      <c r="I66" s="14">
        <f>H66/B3</f>
        <v>0.368</v>
      </c>
      <c r="J66" s="2">
        <v>0.0</v>
      </c>
      <c r="K66" s="2">
        <v>0.0</v>
      </c>
      <c r="L66" s="2">
        <v>0.0</v>
      </c>
    </row>
    <row r="67">
      <c r="A67" s="12">
        <v>45982.0</v>
      </c>
      <c r="B67" s="6" t="s">
        <v>62</v>
      </c>
      <c r="C67" s="2">
        <v>0.0</v>
      </c>
      <c r="D67" s="16">
        <f t="shared" si="3"/>
        <v>8.5</v>
      </c>
      <c r="E67" s="17">
        <f>D67/B1</f>
        <v>0.34</v>
      </c>
      <c r="F67" s="16">
        <f t="shared" si="4"/>
        <v>3.54</v>
      </c>
      <c r="G67" s="17">
        <f>F67/B2</f>
        <v>0.236</v>
      </c>
      <c r="H67" s="15">
        <f t="shared" si="5"/>
        <v>5.52</v>
      </c>
      <c r="I67" s="14">
        <f>H67/B3</f>
        <v>0.368</v>
      </c>
      <c r="J67" s="2">
        <v>0.0</v>
      </c>
      <c r="K67" s="2">
        <v>0.0</v>
      </c>
      <c r="L67" s="2">
        <v>0.0</v>
      </c>
    </row>
    <row r="68">
      <c r="A68" s="12">
        <v>45982.0</v>
      </c>
      <c r="B68" s="6" t="s">
        <v>63</v>
      </c>
      <c r="C68" s="2">
        <v>0.0</v>
      </c>
      <c r="D68" s="16">
        <f t="shared" si="3"/>
        <v>8.5</v>
      </c>
      <c r="E68" s="17">
        <f>D68/B1</f>
        <v>0.34</v>
      </c>
      <c r="F68" s="16">
        <f t="shared" si="4"/>
        <v>3.54</v>
      </c>
      <c r="G68" s="17">
        <f>F68/B2</f>
        <v>0.236</v>
      </c>
      <c r="H68" s="15">
        <f t="shared" si="5"/>
        <v>5.52</v>
      </c>
      <c r="I68" s="14">
        <f>H68/B3</f>
        <v>0.368</v>
      </c>
      <c r="J68" s="2">
        <v>0.0</v>
      </c>
      <c r="K68" s="2">
        <v>0.0</v>
      </c>
      <c r="L68" s="2">
        <v>0.0</v>
      </c>
    </row>
    <row r="69">
      <c r="A69" s="12">
        <v>45983.0</v>
      </c>
      <c r="B69" s="6" t="s">
        <v>61</v>
      </c>
      <c r="C69" s="2">
        <v>1.53</v>
      </c>
      <c r="D69" s="16">
        <f t="shared" si="3"/>
        <v>6.97</v>
      </c>
      <c r="E69" s="17">
        <f>D69/B1</f>
        <v>0.2788</v>
      </c>
      <c r="F69" s="16">
        <f t="shared" si="4"/>
        <v>3.54</v>
      </c>
      <c r="G69" s="17">
        <f>F69/B2</f>
        <v>0.236</v>
      </c>
      <c r="H69" s="15">
        <f t="shared" si="5"/>
        <v>5.52</v>
      </c>
      <c r="I69" s="14">
        <f>H69/B3</f>
        <v>0.368</v>
      </c>
      <c r="J69" s="2">
        <v>0.0</v>
      </c>
      <c r="K69" s="2">
        <v>0.0</v>
      </c>
      <c r="L69" s="2">
        <v>0.0</v>
      </c>
    </row>
    <row r="70">
      <c r="A70" s="12">
        <v>45983.0</v>
      </c>
      <c r="B70" s="6" t="s">
        <v>62</v>
      </c>
      <c r="C70" s="2">
        <v>1.18</v>
      </c>
      <c r="D70" s="16">
        <f t="shared" si="3"/>
        <v>6.97</v>
      </c>
      <c r="E70" s="17">
        <f>D70/B1</f>
        <v>0.2788</v>
      </c>
      <c r="F70" s="16">
        <f t="shared" si="4"/>
        <v>2.36</v>
      </c>
      <c r="G70" s="17">
        <f>F70/B2</f>
        <v>0.1573333333</v>
      </c>
      <c r="H70" s="15">
        <f t="shared" si="5"/>
        <v>5.52</v>
      </c>
      <c r="I70" s="14">
        <f>H70/B3</f>
        <v>0.368</v>
      </c>
      <c r="J70" s="2">
        <v>0.0</v>
      </c>
      <c r="K70" s="2">
        <v>0.0</v>
      </c>
      <c r="L70" s="2">
        <v>0.0</v>
      </c>
    </row>
    <row r="71">
      <c r="A71" s="12">
        <v>45983.0</v>
      </c>
      <c r="B71" s="6" t="s">
        <v>63</v>
      </c>
      <c r="C71" s="2">
        <v>1.33</v>
      </c>
      <c r="D71" s="16">
        <f t="shared" si="3"/>
        <v>6.97</v>
      </c>
      <c r="E71" s="17">
        <f>D71/B1</f>
        <v>0.2788</v>
      </c>
      <c r="F71" s="16">
        <f t="shared" si="4"/>
        <v>2.36</v>
      </c>
      <c r="G71" s="17">
        <f>F71/B2</f>
        <v>0.1573333333</v>
      </c>
      <c r="H71" s="15">
        <f t="shared" si="5"/>
        <v>4.19</v>
      </c>
      <c r="I71" s="14">
        <f>H71/B3</f>
        <v>0.2793333333</v>
      </c>
      <c r="J71" s="2">
        <v>0.0</v>
      </c>
      <c r="K71" s="2">
        <v>0.0</v>
      </c>
      <c r="L71" s="2">
        <v>0.0</v>
      </c>
    </row>
    <row r="72">
      <c r="A72" s="12">
        <v>45984.0</v>
      </c>
      <c r="B72" s="6" t="s">
        <v>61</v>
      </c>
      <c r="C72" s="2">
        <v>0.0</v>
      </c>
      <c r="D72" s="16">
        <f t="shared" si="3"/>
        <v>6.97</v>
      </c>
      <c r="E72" s="17">
        <f>D72/B1</f>
        <v>0.2788</v>
      </c>
      <c r="F72" s="16">
        <f t="shared" si="4"/>
        <v>2.36</v>
      </c>
      <c r="G72" s="17">
        <f>F72/B2</f>
        <v>0.1573333333</v>
      </c>
      <c r="H72" s="15">
        <f t="shared" si="5"/>
        <v>4.19</v>
      </c>
      <c r="I72" s="14">
        <f>H72/B3</f>
        <v>0.2793333333</v>
      </c>
      <c r="J72" s="2">
        <v>0.0</v>
      </c>
      <c r="K72" s="2">
        <v>0.0</v>
      </c>
      <c r="L72" s="2">
        <v>0.0</v>
      </c>
    </row>
    <row r="73">
      <c r="A73" s="12">
        <v>45984.0</v>
      </c>
      <c r="B73" s="6" t="s">
        <v>62</v>
      </c>
      <c r="C73" s="2">
        <v>0.0</v>
      </c>
      <c r="D73" s="16">
        <f t="shared" si="3"/>
        <v>6.97</v>
      </c>
      <c r="E73" s="17">
        <f>D73/B1</f>
        <v>0.2788</v>
      </c>
      <c r="F73" s="16">
        <f t="shared" si="4"/>
        <v>2.36</v>
      </c>
      <c r="G73" s="17">
        <f>F73/B2</f>
        <v>0.1573333333</v>
      </c>
      <c r="H73" s="15">
        <f t="shared" si="5"/>
        <v>4.19</v>
      </c>
      <c r="I73" s="14">
        <f>H73/B3</f>
        <v>0.2793333333</v>
      </c>
      <c r="J73" s="2">
        <v>0.0</v>
      </c>
      <c r="K73" s="2">
        <v>0.0</v>
      </c>
      <c r="L73" s="2">
        <v>0.0</v>
      </c>
    </row>
    <row r="74">
      <c r="A74" s="12">
        <v>45984.0</v>
      </c>
      <c r="B74" s="6" t="s">
        <v>63</v>
      </c>
      <c r="C74" s="2">
        <v>0.0</v>
      </c>
      <c r="D74" s="16">
        <f t="shared" si="3"/>
        <v>6.97</v>
      </c>
      <c r="E74" s="17">
        <f>D74/B1</f>
        <v>0.2788</v>
      </c>
      <c r="F74" s="16">
        <f t="shared" si="4"/>
        <v>2.36</v>
      </c>
      <c r="G74" s="17">
        <f>F74/B2</f>
        <v>0.1573333333</v>
      </c>
      <c r="H74" s="15">
        <f t="shared" si="5"/>
        <v>4.19</v>
      </c>
      <c r="I74" s="14">
        <f>H74/B3</f>
        <v>0.2793333333</v>
      </c>
      <c r="J74" s="2">
        <v>0.0</v>
      </c>
      <c r="K74" s="2">
        <v>0.0</v>
      </c>
      <c r="L74" s="2">
        <v>0.0</v>
      </c>
    </row>
    <row r="75">
      <c r="A75" s="12">
        <v>45985.0</v>
      </c>
      <c r="B75" s="6" t="s">
        <v>61</v>
      </c>
      <c r="C75" s="2">
        <v>1.6</v>
      </c>
      <c r="D75" s="16">
        <f t="shared" si="3"/>
        <v>5.37</v>
      </c>
      <c r="E75" s="17">
        <f>D75/B1</f>
        <v>0.2148</v>
      </c>
      <c r="F75" s="16">
        <f t="shared" si="4"/>
        <v>2.36</v>
      </c>
      <c r="G75" s="17">
        <f>F75/B2</f>
        <v>0.1573333333</v>
      </c>
      <c r="H75" s="15">
        <f t="shared" si="5"/>
        <v>4.19</v>
      </c>
      <c r="I75" s="14">
        <f>H75/B3</f>
        <v>0.2793333333</v>
      </c>
      <c r="J75" s="2">
        <v>0.0</v>
      </c>
      <c r="K75" s="2">
        <v>0.0</v>
      </c>
      <c r="L75" s="2">
        <v>0.0</v>
      </c>
    </row>
    <row r="76">
      <c r="A76" s="12">
        <v>45985.0</v>
      </c>
      <c r="B76" s="6" t="s">
        <v>62</v>
      </c>
      <c r="C76" s="2">
        <v>0.0</v>
      </c>
      <c r="D76" s="16">
        <f t="shared" si="3"/>
        <v>5.37</v>
      </c>
      <c r="E76" s="17">
        <f>D76/B1</f>
        <v>0.2148</v>
      </c>
      <c r="F76" s="16">
        <f t="shared" si="4"/>
        <v>2.36</v>
      </c>
      <c r="G76" s="17">
        <f>F76/B2</f>
        <v>0.1573333333</v>
      </c>
      <c r="H76" s="15">
        <f t="shared" si="5"/>
        <v>4.19</v>
      </c>
      <c r="I76" s="14">
        <f>H76/B3</f>
        <v>0.2793333333</v>
      </c>
      <c r="J76" s="2">
        <v>0.0</v>
      </c>
      <c r="K76" s="2">
        <v>0.0</v>
      </c>
      <c r="L76" s="2">
        <v>0.0</v>
      </c>
    </row>
    <row r="77">
      <c r="A77" s="12">
        <v>45985.0</v>
      </c>
      <c r="B77" s="6" t="s">
        <v>63</v>
      </c>
      <c r="C77" s="2">
        <v>1.31</v>
      </c>
      <c r="D77" s="16">
        <f t="shared" si="3"/>
        <v>5.37</v>
      </c>
      <c r="E77" s="17">
        <f>D77/B1</f>
        <v>0.2148</v>
      </c>
      <c r="F77" s="16">
        <f t="shared" si="4"/>
        <v>2.36</v>
      </c>
      <c r="G77" s="17">
        <f>F77/B2</f>
        <v>0.1573333333</v>
      </c>
      <c r="H77" s="15">
        <f t="shared" si="5"/>
        <v>2.88</v>
      </c>
      <c r="I77" s="14">
        <f>H77/B3</f>
        <v>0.192</v>
      </c>
      <c r="J77" s="2">
        <v>0.0</v>
      </c>
      <c r="K77" s="2">
        <v>0.0</v>
      </c>
      <c r="L77" s="2">
        <v>0.0</v>
      </c>
    </row>
    <row r="78">
      <c r="A78" s="12">
        <v>45986.0</v>
      </c>
      <c r="B78" s="6" t="s">
        <v>61</v>
      </c>
      <c r="C78" s="2">
        <v>0.0</v>
      </c>
      <c r="D78" s="16">
        <f t="shared" si="3"/>
        <v>5.37</v>
      </c>
      <c r="E78" s="17">
        <f>D78/B1</f>
        <v>0.2148</v>
      </c>
      <c r="F78" s="16">
        <f t="shared" si="4"/>
        <v>2.36</v>
      </c>
      <c r="G78" s="17">
        <f>F78/B2</f>
        <v>0.1573333333</v>
      </c>
      <c r="H78" s="15">
        <f t="shared" si="5"/>
        <v>2.88</v>
      </c>
      <c r="I78" s="14">
        <f>H78/B3</f>
        <v>0.192</v>
      </c>
      <c r="J78" s="2">
        <v>0.0</v>
      </c>
      <c r="K78" s="2">
        <v>0.0</v>
      </c>
      <c r="L78" s="2">
        <v>0.0</v>
      </c>
    </row>
    <row r="79">
      <c r="A79" s="12">
        <v>45986.0</v>
      </c>
      <c r="B79" s="6" t="s">
        <v>62</v>
      </c>
      <c r="C79" s="2">
        <v>0.0</v>
      </c>
      <c r="D79" s="16">
        <f t="shared" si="3"/>
        <v>5.37</v>
      </c>
      <c r="E79" s="17">
        <f>D79/B1</f>
        <v>0.2148</v>
      </c>
      <c r="F79" s="16">
        <f t="shared" si="4"/>
        <v>2.36</v>
      </c>
      <c r="G79" s="17">
        <f>F79/B2</f>
        <v>0.1573333333</v>
      </c>
      <c r="H79" s="15">
        <f t="shared" si="5"/>
        <v>2.88</v>
      </c>
      <c r="I79" s="14">
        <f>H79/B3</f>
        <v>0.192</v>
      </c>
      <c r="J79" s="2">
        <v>0.0</v>
      </c>
      <c r="K79" s="2">
        <v>0.0</v>
      </c>
      <c r="L79" s="2">
        <v>0.0</v>
      </c>
    </row>
    <row r="80">
      <c r="A80" s="12">
        <v>45986.0</v>
      </c>
      <c r="B80" s="6" t="s">
        <v>63</v>
      </c>
      <c r="C80" s="2">
        <v>0.0</v>
      </c>
      <c r="D80" s="16">
        <f t="shared" si="3"/>
        <v>5.37</v>
      </c>
      <c r="E80" s="17">
        <f>D80/B1</f>
        <v>0.2148</v>
      </c>
      <c r="F80" s="16">
        <f t="shared" si="4"/>
        <v>2.36</v>
      </c>
      <c r="G80" s="17">
        <f>F80/B2</f>
        <v>0.1573333333</v>
      </c>
      <c r="H80" s="15">
        <f t="shared" si="5"/>
        <v>2.88</v>
      </c>
      <c r="I80" s="14">
        <f>H80/B3</f>
        <v>0.192</v>
      </c>
      <c r="J80" s="2">
        <v>0.0</v>
      </c>
      <c r="K80" s="2">
        <v>0.0</v>
      </c>
      <c r="L80" s="2">
        <v>0.0</v>
      </c>
    </row>
    <row r="81">
      <c r="A81" s="12">
        <v>45987.0</v>
      </c>
      <c r="B81" s="6" t="s">
        <v>61</v>
      </c>
      <c r="C81" s="2">
        <v>1.28</v>
      </c>
      <c r="D81" s="16">
        <f t="shared" si="3"/>
        <v>4.09</v>
      </c>
      <c r="E81" s="17">
        <f>D81/B1</f>
        <v>0.1636</v>
      </c>
      <c r="F81" s="16">
        <f t="shared" si="4"/>
        <v>2.36</v>
      </c>
      <c r="G81" s="17">
        <f>F81/B2</f>
        <v>0.1573333333</v>
      </c>
      <c r="H81" s="15">
        <f t="shared" si="5"/>
        <v>2.88</v>
      </c>
      <c r="I81" s="14">
        <f>H81/B3</f>
        <v>0.192</v>
      </c>
      <c r="J81" s="2">
        <v>0.0</v>
      </c>
      <c r="K81" s="2">
        <v>0.0</v>
      </c>
      <c r="L81" s="2">
        <v>0.0</v>
      </c>
    </row>
    <row r="82">
      <c r="A82" s="12">
        <v>45987.0</v>
      </c>
      <c r="B82" s="6" t="s">
        <v>62</v>
      </c>
      <c r="C82" s="2">
        <v>0.0</v>
      </c>
      <c r="D82" s="16">
        <f t="shared" si="3"/>
        <v>4.09</v>
      </c>
      <c r="E82" s="17">
        <f>D82/B1</f>
        <v>0.1636</v>
      </c>
      <c r="F82" s="16">
        <f t="shared" si="4"/>
        <v>2.36</v>
      </c>
      <c r="G82" s="17">
        <f>F82/B2</f>
        <v>0.1573333333</v>
      </c>
      <c r="H82" s="15">
        <f t="shared" si="5"/>
        <v>2.88</v>
      </c>
      <c r="I82" s="14">
        <f>H82/B3</f>
        <v>0.192</v>
      </c>
      <c r="J82" s="2">
        <v>0.0</v>
      </c>
      <c r="K82" s="2">
        <v>0.0</v>
      </c>
      <c r="L82" s="2">
        <v>0.0</v>
      </c>
    </row>
    <row r="83">
      <c r="A83" s="12">
        <v>45987.0</v>
      </c>
      <c r="B83" s="6" t="s">
        <v>63</v>
      </c>
      <c r="C83" s="2">
        <v>1.2</v>
      </c>
      <c r="D83" s="16">
        <f t="shared" si="3"/>
        <v>4.09</v>
      </c>
      <c r="E83" s="17">
        <f>D83/B1</f>
        <v>0.1636</v>
      </c>
      <c r="F83" s="16">
        <f t="shared" si="4"/>
        <v>2.36</v>
      </c>
      <c r="G83" s="17">
        <f>F83/B2</f>
        <v>0.1573333333</v>
      </c>
      <c r="H83" s="15">
        <f t="shared" si="5"/>
        <v>1.68</v>
      </c>
      <c r="I83" s="14">
        <f>H83/B3</f>
        <v>0.112</v>
      </c>
      <c r="J83" s="2">
        <v>0.0</v>
      </c>
      <c r="K83" s="2">
        <v>0.0</v>
      </c>
      <c r="L83" s="2">
        <v>0.0</v>
      </c>
    </row>
    <row r="84">
      <c r="A84" s="12">
        <v>45988.0</v>
      </c>
      <c r="B84" s="6" t="s">
        <v>61</v>
      </c>
      <c r="C84" s="2">
        <v>1.46</v>
      </c>
      <c r="D84" s="16">
        <f t="shared" si="3"/>
        <v>2.63</v>
      </c>
      <c r="E84" s="17">
        <f>D84/B1</f>
        <v>0.1052</v>
      </c>
      <c r="F84" s="16">
        <f t="shared" si="4"/>
        <v>2.36</v>
      </c>
      <c r="G84" s="17">
        <f>F84/B2</f>
        <v>0.1573333333</v>
      </c>
      <c r="H84" s="15">
        <f t="shared" si="5"/>
        <v>1.68</v>
      </c>
      <c r="I84" s="14">
        <f>H84/B3</f>
        <v>0.112</v>
      </c>
      <c r="J84" s="2">
        <v>0.0</v>
      </c>
      <c r="K84" s="2">
        <v>0.0</v>
      </c>
      <c r="L84" s="2">
        <v>0.0</v>
      </c>
    </row>
    <row r="85">
      <c r="A85" s="12">
        <v>45988.0</v>
      </c>
      <c r="B85" s="6" t="s">
        <v>62</v>
      </c>
      <c r="C85" s="2">
        <v>1.5</v>
      </c>
      <c r="D85" s="16">
        <f t="shared" si="3"/>
        <v>2.63</v>
      </c>
      <c r="E85" s="17">
        <f>D85/B1</f>
        <v>0.1052</v>
      </c>
      <c r="F85" s="16">
        <f t="shared" si="4"/>
        <v>0.86</v>
      </c>
      <c r="G85" s="17">
        <f>F85/B2</f>
        <v>0.05733333333</v>
      </c>
      <c r="H85" s="15">
        <f t="shared" si="5"/>
        <v>1.68</v>
      </c>
      <c r="I85" s="14">
        <f>H85/B3</f>
        <v>0.112</v>
      </c>
      <c r="J85" s="2">
        <v>0.0</v>
      </c>
      <c r="K85" s="2">
        <v>0.0</v>
      </c>
      <c r="L85" s="2">
        <v>0.0</v>
      </c>
    </row>
    <row r="86">
      <c r="A86" s="12">
        <v>45988.0</v>
      </c>
      <c r="B86" s="6" t="s">
        <v>63</v>
      </c>
      <c r="C86" s="2">
        <v>0.0</v>
      </c>
      <c r="D86" s="16">
        <f t="shared" si="3"/>
        <v>2.63</v>
      </c>
      <c r="E86" s="17">
        <f>D86/B1</f>
        <v>0.1052</v>
      </c>
      <c r="F86" s="16">
        <f t="shared" si="4"/>
        <v>0.86</v>
      </c>
      <c r="G86" s="17">
        <f>F86/B2</f>
        <v>0.05733333333</v>
      </c>
      <c r="H86" s="15">
        <f t="shared" si="5"/>
        <v>1.68</v>
      </c>
      <c r="I86" s="14">
        <f>H86/B3</f>
        <v>0.112</v>
      </c>
      <c r="J86" s="2">
        <v>0.0</v>
      </c>
      <c r="K86" s="2">
        <v>0.0</v>
      </c>
      <c r="L86" s="2">
        <v>0.0</v>
      </c>
    </row>
    <row r="87">
      <c r="A87" s="12">
        <v>45989.0</v>
      </c>
      <c r="B87" s="6" t="s">
        <v>61</v>
      </c>
      <c r="C87" s="2">
        <v>1.56</v>
      </c>
      <c r="D87" s="16">
        <f t="shared" si="3"/>
        <v>1.07</v>
      </c>
      <c r="E87" s="17">
        <f>D87/B1</f>
        <v>0.0428</v>
      </c>
      <c r="F87" s="16">
        <f t="shared" si="4"/>
        <v>0.86</v>
      </c>
      <c r="G87" s="17">
        <f>F87/B2</f>
        <v>0.05733333333</v>
      </c>
      <c r="H87" s="15">
        <f t="shared" si="5"/>
        <v>1.68</v>
      </c>
      <c r="I87" s="14">
        <f>H87/B3</f>
        <v>0.112</v>
      </c>
      <c r="J87" s="2">
        <v>0.0</v>
      </c>
      <c r="K87" s="2">
        <v>0.0</v>
      </c>
      <c r="L87" s="2">
        <v>0.0</v>
      </c>
    </row>
    <row r="88">
      <c r="A88" s="12">
        <v>45989.0</v>
      </c>
      <c r="B88" s="6" t="s">
        <v>62</v>
      </c>
      <c r="C88" s="2">
        <v>0.0</v>
      </c>
      <c r="D88" s="16">
        <f t="shared" si="3"/>
        <v>1.07</v>
      </c>
      <c r="E88" s="17">
        <f>D88/B1</f>
        <v>0.0428</v>
      </c>
      <c r="F88" s="16">
        <f t="shared" si="4"/>
        <v>0.86</v>
      </c>
      <c r="G88" s="17">
        <f>F88/B2</f>
        <v>0.05733333333</v>
      </c>
      <c r="H88" s="15">
        <f t="shared" si="5"/>
        <v>1.68</v>
      </c>
      <c r="I88" s="14">
        <f>H88/B3</f>
        <v>0.112</v>
      </c>
      <c r="J88" s="2">
        <v>0.0</v>
      </c>
      <c r="K88" s="2">
        <v>0.0</v>
      </c>
      <c r="L88" s="2">
        <v>0.0</v>
      </c>
    </row>
    <row r="89">
      <c r="A89" s="12">
        <v>45989.0</v>
      </c>
      <c r="B89" s="6" t="s">
        <v>63</v>
      </c>
      <c r="C89" s="2">
        <v>1.47</v>
      </c>
      <c r="D89" s="16">
        <f t="shared" si="3"/>
        <v>1.07</v>
      </c>
      <c r="E89" s="17">
        <f>D89/B1</f>
        <v>0.0428</v>
      </c>
      <c r="F89" s="16">
        <f t="shared" si="4"/>
        <v>0.86</v>
      </c>
      <c r="G89" s="17">
        <f>F89/B2</f>
        <v>0.05733333333</v>
      </c>
      <c r="H89" s="15">
        <f t="shared" si="5"/>
        <v>0.21</v>
      </c>
      <c r="I89" s="14">
        <f>H89/B3</f>
        <v>0.014</v>
      </c>
      <c r="J89" s="2">
        <v>0.0</v>
      </c>
      <c r="K89" s="2">
        <v>0.0</v>
      </c>
      <c r="L89" s="2">
        <v>0.0</v>
      </c>
    </row>
    <row r="90">
      <c r="A90" s="12">
        <v>45990.0</v>
      </c>
      <c r="B90" s="6" t="s">
        <v>61</v>
      </c>
      <c r="C90" s="2">
        <v>0.0</v>
      </c>
      <c r="D90" s="16">
        <f t="shared" si="3"/>
        <v>1.07</v>
      </c>
      <c r="E90" s="17">
        <f>D90/B1</f>
        <v>0.0428</v>
      </c>
      <c r="F90" s="16">
        <f t="shared" si="4"/>
        <v>0.86</v>
      </c>
      <c r="G90" s="17">
        <f>F90/B2</f>
        <v>0.05733333333</v>
      </c>
      <c r="H90" s="15">
        <f t="shared" si="5"/>
        <v>0.21</v>
      </c>
      <c r="I90" s="14">
        <f>H90/B3</f>
        <v>0.014</v>
      </c>
      <c r="J90" s="2">
        <v>0.0</v>
      </c>
      <c r="K90" s="2">
        <v>0.0</v>
      </c>
      <c r="L90" s="2">
        <v>0.0</v>
      </c>
    </row>
    <row r="91">
      <c r="A91" s="12">
        <v>45990.0</v>
      </c>
      <c r="B91" s="6" t="s">
        <v>62</v>
      </c>
      <c r="C91" s="2">
        <v>0.0</v>
      </c>
      <c r="D91" s="16">
        <f t="shared" si="3"/>
        <v>1.07</v>
      </c>
      <c r="E91" s="17">
        <f>D91/B1</f>
        <v>0.0428</v>
      </c>
      <c r="F91" s="16">
        <f t="shared" si="4"/>
        <v>0.86</v>
      </c>
      <c r="G91" s="17">
        <f>F91/B2</f>
        <v>0.05733333333</v>
      </c>
      <c r="H91" s="15">
        <f t="shared" si="5"/>
        <v>0.21</v>
      </c>
      <c r="I91" s="14">
        <f>H91/B3</f>
        <v>0.014</v>
      </c>
      <c r="J91" s="2">
        <v>0.0</v>
      </c>
      <c r="K91" s="2">
        <v>0.0</v>
      </c>
      <c r="L91" s="2">
        <v>0.0</v>
      </c>
    </row>
    <row r="92">
      <c r="A92" s="12">
        <v>45990.0</v>
      </c>
      <c r="B92" s="6" t="s">
        <v>63</v>
      </c>
      <c r="C92" s="2">
        <v>0.0</v>
      </c>
      <c r="D92" s="16">
        <f t="shared" si="3"/>
        <v>1.07</v>
      </c>
      <c r="E92" s="17">
        <f>D92/B1</f>
        <v>0.0428</v>
      </c>
      <c r="F92" s="16">
        <f t="shared" si="4"/>
        <v>0.86</v>
      </c>
      <c r="G92" s="17">
        <f>F92/B2</f>
        <v>0.05733333333</v>
      </c>
      <c r="H92" s="15">
        <f t="shared" si="5"/>
        <v>0.21</v>
      </c>
      <c r="I92" s="14">
        <f>H92/B3</f>
        <v>0.014</v>
      </c>
      <c r="J92" s="2">
        <v>0.0</v>
      </c>
      <c r="K92" s="2">
        <v>0.0</v>
      </c>
      <c r="L92" s="2">
        <v>0.0</v>
      </c>
    </row>
    <row r="93">
      <c r="A93" s="12">
        <v>45991.0</v>
      </c>
      <c r="B93" s="6" t="s">
        <v>61</v>
      </c>
      <c r="C93" s="2">
        <v>1.07</v>
      </c>
      <c r="D93" s="16">
        <f t="shared" si="3"/>
        <v>0</v>
      </c>
      <c r="E93" s="17">
        <f>D93/B1</f>
        <v>0</v>
      </c>
      <c r="F93" s="16">
        <f t="shared" si="4"/>
        <v>0.86</v>
      </c>
      <c r="G93" s="17">
        <f>F93/B2</f>
        <v>0.05733333333</v>
      </c>
      <c r="H93" s="15">
        <f t="shared" si="5"/>
        <v>0.21</v>
      </c>
      <c r="I93" s="14">
        <f>H93/B3</f>
        <v>0.014</v>
      </c>
      <c r="J93" s="2">
        <v>0.0</v>
      </c>
      <c r="K93" s="2">
        <v>0.0</v>
      </c>
      <c r="L93" s="2">
        <v>0.0</v>
      </c>
    </row>
    <row r="94">
      <c r="A94" s="12">
        <v>45991.0</v>
      </c>
      <c r="B94" s="6" t="s">
        <v>62</v>
      </c>
      <c r="C94" s="2">
        <v>0.86</v>
      </c>
      <c r="D94" s="16">
        <f t="shared" si="3"/>
        <v>0</v>
      </c>
      <c r="E94" s="17">
        <f>D94/B1</f>
        <v>0</v>
      </c>
      <c r="F94" s="16">
        <f t="shared" si="4"/>
        <v>0</v>
      </c>
      <c r="G94" s="17">
        <f>F94/B2</f>
        <v>0</v>
      </c>
      <c r="H94" s="15">
        <f t="shared" si="5"/>
        <v>0.21</v>
      </c>
      <c r="I94" s="14">
        <f>H94/B3</f>
        <v>0.014</v>
      </c>
      <c r="J94" s="2">
        <v>0.0</v>
      </c>
      <c r="K94" s="2">
        <v>0.0</v>
      </c>
      <c r="L94" s="2">
        <v>0.0</v>
      </c>
    </row>
    <row r="95">
      <c r="A95" s="12">
        <v>45991.0</v>
      </c>
      <c r="B95" s="6" t="s">
        <v>63</v>
      </c>
      <c r="C95" s="2">
        <v>0.21</v>
      </c>
      <c r="D95" s="16">
        <f t="shared" si="3"/>
        <v>0</v>
      </c>
      <c r="E95" s="17">
        <f>D95/B1</f>
        <v>0</v>
      </c>
      <c r="F95" s="16">
        <f t="shared" si="4"/>
        <v>0</v>
      </c>
      <c r="G95" s="17">
        <f>F95/B2</f>
        <v>0</v>
      </c>
      <c r="H95" s="15">
        <f t="shared" si="5"/>
        <v>0</v>
      </c>
      <c r="I95" s="14">
        <f>H95/B3</f>
        <v>0</v>
      </c>
      <c r="J95" s="2">
        <v>0.0</v>
      </c>
      <c r="K95" s="2">
        <v>0.0</v>
      </c>
      <c r="L95" s="2">
        <v>0.0</v>
      </c>
    </row>
    <row r="96">
      <c r="A96" s="12">
        <v>45992.0</v>
      </c>
      <c r="B96" s="6" t="s">
        <v>61</v>
      </c>
      <c r="C96" s="2">
        <v>0.0</v>
      </c>
      <c r="D96" s="16">
        <f t="shared" si="3"/>
        <v>0</v>
      </c>
      <c r="E96" s="17">
        <f>D96/B1</f>
        <v>0</v>
      </c>
      <c r="F96" s="16">
        <f t="shared" si="4"/>
        <v>0</v>
      </c>
      <c r="G96" s="17">
        <f>F96/B2</f>
        <v>0</v>
      </c>
      <c r="H96" s="15">
        <f t="shared" si="5"/>
        <v>0</v>
      </c>
      <c r="I96" s="14">
        <f>H96/B3</f>
        <v>0</v>
      </c>
      <c r="J96" s="2">
        <v>0.0</v>
      </c>
      <c r="K96" s="2">
        <v>0.0</v>
      </c>
      <c r="L96" s="2">
        <v>0.0</v>
      </c>
    </row>
    <row r="97">
      <c r="A97" s="12">
        <v>45992.0</v>
      </c>
      <c r="B97" s="6" t="s">
        <v>62</v>
      </c>
      <c r="C97" s="2">
        <v>0.0</v>
      </c>
      <c r="D97" s="16">
        <f t="shared" si="3"/>
        <v>0</v>
      </c>
      <c r="E97" s="17">
        <f>D97/B1</f>
        <v>0</v>
      </c>
      <c r="F97" s="16">
        <f t="shared" si="4"/>
        <v>0</v>
      </c>
      <c r="G97" s="17">
        <f>F97/B2</f>
        <v>0</v>
      </c>
      <c r="H97" s="15">
        <f t="shared" si="5"/>
        <v>0</v>
      </c>
      <c r="I97" s="14">
        <f>H97/B3</f>
        <v>0</v>
      </c>
      <c r="J97" s="2">
        <v>0.0</v>
      </c>
      <c r="K97" s="2">
        <v>0.0</v>
      </c>
      <c r="L97" s="2">
        <v>0.0</v>
      </c>
    </row>
    <row r="98">
      <c r="A98" s="12">
        <v>45992.0</v>
      </c>
      <c r="B98" s="6" t="s">
        <v>63</v>
      </c>
      <c r="C98" s="2">
        <v>0.0</v>
      </c>
      <c r="D98" s="16">
        <f t="shared" si="3"/>
        <v>0</v>
      </c>
      <c r="E98" s="17">
        <f>D98/B1</f>
        <v>0</v>
      </c>
      <c r="F98" s="16">
        <f t="shared" si="4"/>
        <v>0</v>
      </c>
      <c r="G98" s="17">
        <f>F98/B2</f>
        <v>0</v>
      </c>
      <c r="H98" s="15">
        <f t="shared" si="5"/>
        <v>0</v>
      </c>
      <c r="I98" s="14">
        <f>H98/B3</f>
        <v>0</v>
      </c>
      <c r="J98" s="2">
        <v>0.0</v>
      </c>
      <c r="K98" s="2">
        <v>0.0</v>
      </c>
      <c r="L98" s="2">
        <v>0.0</v>
      </c>
    </row>
  </sheetData>
  <dataValidations>
    <dataValidation type="list" allowBlank="1" showErrorMessage="1" sqref="B6:B98">
      <formula1>"WW,FLA,MAC1+"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61.75"/>
    <col customWidth="1" min="2" max="2" width="22.63"/>
    <col customWidth="1" min="3" max="3" width="10.25"/>
    <col customWidth="1" min="4" max="4" width="17.0"/>
    <col customWidth="1" min="5" max="5" width="15.0"/>
    <col customWidth="1" min="6" max="6" width="17.0"/>
    <col customWidth="1" min="7" max="7" width="16.13"/>
    <col customWidth="1" min="8" max="9" width="16.38"/>
    <col customWidth="1" min="10" max="10" width="12.63"/>
    <col customWidth="1" min="11" max="11" width="14.88"/>
    <col customWidth="1" min="12" max="12" width="13.0"/>
  </cols>
  <sheetData>
    <row r="1">
      <c r="A1" s="1" t="s">
        <v>106</v>
      </c>
      <c r="B1" s="2">
        <v>20.0</v>
      </c>
      <c r="C1" s="2">
        <f>D98</f>
        <v>0</v>
      </c>
      <c r="D1" s="5">
        <f t="shared" ref="D1:D4" si="1">C1/B1</f>
        <v>0</v>
      </c>
      <c r="G1" s="1" t="s">
        <v>1</v>
      </c>
      <c r="H1" s="3">
        <f>IFERROR(__xludf.DUMMYFUNCTION("COUNTUNIQUE(A6:A96)"),31.0)</f>
        <v>31</v>
      </c>
      <c r="I1" s="3"/>
      <c r="J1" s="6"/>
      <c r="K1" s="3"/>
      <c r="L1" s="3"/>
      <c r="M1" s="7"/>
      <c r="N1" s="7"/>
    </row>
    <row r="2">
      <c r="A2" s="1" t="s">
        <v>103</v>
      </c>
      <c r="B2" s="2">
        <v>20.0</v>
      </c>
      <c r="C2" s="4">
        <f>F98</f>
        <v>0</v>
      </c>
      <c r="D2" s="5">
        <f t="shared" si="1"/>
        <v>0</v>
      </c>
      <c r="G2" s="1" t="s">
        <v>5</v>
      </c>
      <c r="H2" s="3">
        <f>(B1+B2+B3)/F4</f>
        <v>31</v>
      </c>
      <c r="I2" s="3"/>
      <c r="J2" s="3"/>
      <c r="K2" s="3"/>
      <c r="L2" s="3"/>
      <c r="M2" s="7"/>
      <c r="N2" s="7"/>
    </row>
    <row r="3">
      <c r="A3" s="1" t="s">
        <v>104</v>
      </c>
      <c r="B3" s="2">
        <v>20.0</v>
      </c>
      <c r="C3" s="4">
        <f>H98</f>
        <v>0</v>
      </c>
      <c r="D3" s="8">
        <f t="shared" si="1"/>
        <v>0</v>
      </c>
      <c r="E3" s="3"/>
      <c r="F3" s="6"/>
      <c r="G3" s="3"/>
      <c r="H3" s="3"/>
      <c r="I3" s="3"/>
      <c r="J3" s="3"/>
      <c r="K3" s="3"/>
      <c r="L3" s="3"/>
      <c r="M3" s="7"/>
      <c r="N3" s="7"/>
    </row>
    <row r="4">
      <c r="A4" s="3"/>
      <c r="B4" s="9">
        <f t="shared" ref="B4:C4" si="2">SUM(B1:B3)</f>
        <v>60</v>
      </c>
      <c r="C4" s="9">
        <f t="shared" si="2"/>
        <v>0</v>
      </c>
      <c r="D4" s="5">
        <f t="shared" si="1"/>
        <v>0</v>
      </c>
      <c r="E4" s="1" t="s">
        <v>7</v>
      </c>
      <c r="F4" s="3">
        <f>SUM(C6:C96)/H1</f>
        <v>1.935483871</v>
      </c>
      <c r="G4" s="3"/>
      <c r="H4" s="3"/>
      <c r="I4" s="3"/>
      <c r="J4" s="3"/>
      <c r="K4" s="3"/>
      <c r="L4" s="3"/>
      <c r="M4" s="7"/>
      <c r="N4" s="7"/>
    </row>
    <row r="5">
      <c r="A5" s="10" t="s">
        <v>8</v>
      </c>
      <c r="B5" s="10" t="s">
        <v>9</v>
      </c>
      <c r="C5" s="10" t="s">
        <v>10</v>
      </c>
      <c r="D5" s="10" t="s">
        <v>109</v>
      </c>
      <c r="E5" s="10" t="s">
        <v>109</v>
      </c>
      <c r="F5" s="10" t="s">
        <v>67</v>
      </c>
      <c r="G5" s="10" t="s">
        <v>67</v>
      </c>
      <c r="H5" s="10" t="s">
        <v>39</v>
      </c>
      <c r="I5" s="10" t="s">
        <v>39</v>
      </c>
      <c r="J5" s="10" t="s">
        <v>110</v>
      </c>
      <c r="K5" s="10" t="s">
        <v>70</v>
      </c>
      <c r="L5" s="10" t="s">
        <v>41</v>
      </c>
      <c r="M5" s="7"/>
      <c r="N5" s="7"/>
    </row>
    <row r="6">
      <c r="A6" s="12">
        <v>45993.0</v>
      </c>
      <c r="B6" s="6" t="s">
        <v>61</v>
      </c>
      <c r="C6" s="2">
        <v>5.99</v>
      </c>
      <c r="D6" s="4">
        <f>IF(B6="WW",B1-C6,B1)</f>
        <v>14.01</v>
      </c>
      <c r="E6" s="13">
        <f>D6/B1</f>
        <v>0.7005</v>
      </c>
      <c r="F6" s="2">
        <f>IF(B6="FLA",B2-C6,B2)</f>
        <v>20</v>
      </c>
      <c r="G6" s="14">
        <f>F6/B2</f>
        <v>1</v>
      </c>
      <c r="H6" s="15">
        <f>IF(B6="MAC1+",B3-C6,B3)</f>
        <v>20</v>
      </c>
      <c r="I6" s="14">
        <f>H6/B3</f>
        <v>1</v>
      </c>
      <c r="J6" s="2">
        <v>4.84</v>
      </c>
      <c r="K6" s="2">
        <v>0.0</v>
      </c>
      <c r="L6" s="2">
        <v>0.0</v>
      </c>
      <c r="M6" s="7"/>
      <c r="N6" s="7"/>
    </row>
    <row r="7">
      <c r="A7" s="12">
        <v>45993.0</v>
      </c>
      <c r="B7" s="6" t="s">
        <v>62</v>
      </c>
      <c r="C7" s="2">
        <v>1.02</v>
      </c>
      <c r="D7" s="16">
        <f t="shared" ref="D7:D98" si="3">IF(B7="WW",D6-C7,D6)</f>
        <v>14.01</v>
      </c>
      <c r="E7" s="17">
        <f>D7/B1</f>
        <v>0.7005</v>
      </c>
      <c r="F7" s="16">
        <f t="shared" ref="F7:F98" si="4">IF(B7="FLA",F6-C7,F6)</f>
        <v>18.98</v>
      </c>
      <c r="G7" s="17">
        <f>F7/B2</f>
        <v>0.949</v>
      </c>
      <c r="H7" s="15">
        <f t="shared" ref="H7:H98" si="5">IF(B7="MAC1+",H6-C7,H6)</f>
        <v>20</v>
      </c>
      <c r="I7" s="14">
        <f>H7/B3</f>
        <v>1</v>
      </c>
      <c r="J7" s="2">
        <v>4.84</v>
      </c>
      <c r="K7" s="2">
        <v>0.0</v>
      </c>
      <c r="L7" s="2">
        <v>0.0</v>
      </c>
      <c r="M7" s="7"/>
      <c r="N7" s="7"/>
    </row>
    <row r="8">
      <c r="A8" s="12">
        <v>45993.0</v>
      </c>
      <c r="B8" s="6" t="s">
        <v>63</v>
      </c>
      <c r="C8" s="2">
        <v>1.09</v>
      </c>
      <c r="D8" s="16">
        <f t="shared" si="3"/>
        <v>14.01</v>
      </c>
      <c r="E8" s="17">
        <f>D8/B1</f>
        <v>0.7005</v>
      </c>
      <c r="F8" s="16">
        <f t="shared" si="4"/>
        <v>18.98</v>
      </c>
      <c r="G8" s="17">
        <f>F8/B2</f>
        <v>0.949</v>
      </c>
      <c r="H8" s="15">
        <f t="shared" si="5"/>
        <v>18.91</v>
      </c>
      <c r="I8" s="14">
        <f>H8/B3</f>
        <v>0.9455</v>
      </c>
      <c r="J8" s="2">
        <v>4.84</v>
      </c>
      <c r="K8" s="2">
        <v>0.0</v>
      </c>
      <c r="L8" s="2">
        <v>0.0</v>
      </c>
      <c r="M8" s="7"/>
      <c r="N8" s="7"/>
    </row>
    <row r="9">
      <c r="A9" s="12">
        <v>45994.0</v>
      </c>
      <c r="B9" s="6" t="s">
        <v>61</v>
      </c>
      <c r="C9" s="2">
        <v>0.0</v>
      </c>
      <c r="D9" s="16">
        <f t="shared" si="3"/>
        <v>14.01</v>
      </c>
      <c r="E9" s="17">
        <f>D9/B1</f>
        <v>0.7005</v>
      </c>
      <c r="F9" s="16">
        <f t="shared" si="4"/>
        <v>18.98</v>
      </c>
      <c r="G9" s="17">
        <f>F9/B2</f>
        <v>0.949</v>
      </c>
      <c r="H9" s="15">
        <f t="shared" si="5"/>
        <v>18.91</v>
      </c>
      <c r="I9" s="14">
        <f>H9/B3</f>
        <v>0.9455</v>
      </c>
      <c r="J9" s="2">
        <v>4.84</v>
      </c>
      <c r="K9" s="2">
        <v>0.0</v>
      </c>
      <c r="L9" s="2">
        <v>0.0</v>
      </c>
      <c r="M9" s="7"/>
      <c r="N9" s="7"/>
    </row>
    <row r="10">
      <c r="A10" s="12">
        <v>45994.0</v>
      </c>
      <c r="B10" s="6" t="s">
        <v>62</v>
      </c>
      <c r="C10" s="2">
        <v>0.0</v>
      </c>
      <c r="D10" s="16">
        <f t="shared" si="3"/>
        <v>14.01</v>
      </c>
      <c r="E10" s="17">
        <f>D10/B1</f>
        <v>0.7005</v>
      </c>
      <c r="F10" s="16">
        <f t="shared" si="4"/>
        <v>18.98</v>
      </c>
      <c r="G10" s="17">
        <f>F10/B2</f>
        <v>0.949</v>
      </c>
      <c r="H10" s="15">
        <f t="shared" si="5"/>
        <v>18.91</v>
      </c>
      <c r="I10" s="14">
        <f>H10/B3</f>
        <v>0.9455</v>
      </c>
      <c r="J10" s="2">
        <v>4.84</v>
      </c>
      <c r="K10" s="2">
        <v>0.0</v>
      </c>
      <c r="L10" s="2">
        <v>0.0</v>
      </c>
      <c r="M10" s="7"/>
      <c r="N10" s="7"/>
    </row>
    <row r="11">
      <c r="A11" s="12">
        <v>45994.0</v>
      </c>
      <c r="B11" s="6" t="s">
        <v>63</v>
      </c>
      <c r="C11" s="2">
        <v>0.0</v>
      </c>
      <c r="D11" s="16">
        <f t="shared" si="3"/>
        <v>14.01</v>
      </c>
      <c r="E11" s="17">
        <f>D11/B1</f>
        <v>0.7005</v>
      </c>
      <c r="F11" s="16">
        <f t="shared" si="4"/>
        <v>18.98</v>
      </c>
      <c r="G11" s="17">
        <f>F11/B2</f>
        <v>0.949</v>
      </c>
      <c r="H11" s="15">
        <f t="shared" si="5"/>
        <v>18.91</v>
      </c>
      <c r="I11" s="14">
        <f>H11/B3</f>
        <v>0.9455</v>
      </c>
      <c r="J11" s="2">
        <v>4.84</v>
      </c>
      <c r="K11" s="2">
        <v>0.0</v>
      </c>
      <c r="L11" s="2">
        <v>0.0</v>
      </c>
      <c r="M11" s="7"/>
      <c r="N11" s="7"/>
    </row>
    <row r="12">
      <c r="A12" s="12">
        <v>45995.0</v>
      </c>
      <c r="B12" s="6" t="s">
        <v>61</v>
      </c>
      <c r="C12" s="2">
        <v>1.2</v>
      </c>
      <c r="D12" s="16">
        <f t="shared" si="3"/>
        <v>12.81</v>
      </c>
      <c r="E12" s="17">
        <f>D12/B1</f>
        <v>0.6405</v>
      </c>
      <c r="F12" s="16">
        <f t="shared" si="4"/>
        <v>18.98</v>
      </c>
      <c r="G12" s="17">
        <f>F12/B2</f>
        <v>0.949</v>
      </c>
      <c r="H12" s="15">
        <f t="shared" si="5"/>
        <v>18.91</v>
      </c>
      <c r="I12" s="14">
        <f>H12/B3</f>
        <v>0.9455</v>
      </c>
      <c r="J12" s="2">
        <v>4.84</v>
      </c>
      <c r="K12" s="2">
        <v>0.0</v>
      </c>
      <c r="L12" s="2">
        <v>0.0</v>
      </c>
      <c r="M12" s="7"/>
      <c r="N12" s="7"/>
    </row>
    <row r="13">
      <c r="A13" s="12">
        <v>45995.0</v>
      </c>
      <c r="B13" s="6" t="s">
        <v>62</v>
      </c>
      <c r="C13" s="2">
        <v>1.12</v>
      </c>
      <c r="D13" s="16">
        <f t="shared" si="3"/>
        <v>12.81</v>
      </c>
      <c r="E13" s="17">
        <f>D13/B1</f>
        <v>0.6405</v>
      </c>
      <c r="F13" s="16">
        <f t="shared" si="4"/>
        <v>17.86</v>
      </c>
      <c r="G13" s="17">
        <f>F13/B2</f>
        <v>0.893</v>
      </c>
      <c r="H13" s="15">
        <f t="shared" si="5"/>
        <v>18.91</v>
      </c>
      <c r="I13" s="14">
        <f>H13/B3</f>
        <v>0.9455</v>
      </c>
      <c r="J13" s="2">
        <v>4.84</v>
      </c>
      <c r="K13" s="2">
        <v>0.0</v>
      </c>
      <c r="L13" s="2">
        <v>0.0</v>
      </c>
      <c r="M13" s="7"/>
      <c r="N13" s="7"/>
    </row>
    <row r="14">
      <c r="A14" s="12">
        <v>45995.0</v>
      </c>
      <c r="B14" s="6" t="s">
        <v>63</v>
      </c>
      <c r="C14" s="2">
        <v>1.06</v>
      </c>
      <c r="D14" s="16">
        <f t="shared" si="3"/>
        <v>12.81</v>
      </c>
      <c r="E14" s="17">
        <f>D14/B1</f>
        <v>0.6405</v>
      </c>
      <c r="F14" s="16">
        <f t="shared" si="4"/>
        <v>17.86</v>
      </c>
      <c r="G14" s="17">
        <f>F14/B2</f>
        <v>0.893</v>
      </c>
      <c r="H14" s="15">
        <f t="shared" si="5"/>
        <v>17.85</v>
      </c>
      <c r="I14" s="14">
        <f>H14/B3</f>
        <v>0.8925</v>
      </c>
      <c r="J14" s="2">
        <v>4.84</v>
      </c>
      <c r="K14" s="2">
        <v>0.0</v>
      </c>
      <c r="L14" s="2">
        <v>0.0</v>
      </c>
      <c r="M14" s="7"/>
      <c r="N14" s="7"/>
    </row>
    <row r="15">
      <c r="A15" s="12">
        <v>45996.0</v>
      </c>
      <c r="B15" s="6" t="s">
        <v>61</v>
      </c>
      <c r="C15" s="2">
        <v>0.0</v>
      </c>
      <c r="D15" s="16">
        <f t="shared" si="3"/>
        <v>12.81</v>
      </c>
      <c r="E15" s="17">
        <f>D15/B1</f>
        <v>0.6405</v>
      </c>
      <c r="F15" s="16">
        <f t="shared" si="4"/>
        <v>17.86</v>
      </c>
      <c r="G15" s="17">
        <f>F15/B2</f>
        <v>0.893</v>
      </c>
      <c r="H15" s="15">
        <f t="shared" si="5"/>
        <v>17.85</v>
      </c>
      <c r="I15" s="14">
        <f>H15/B3</f>
        <v>0.8925</v>
      </c>
      <c r="J15" s="2">
        <v>4.84</v>
      </c>
      <c r="K15" s="2">
        <v>0.0</v>
      </c>
      <c r="L15" s="2">
        <v>0.0</v>
      </c>
      <c r="M15" s="7"/>
      <c r="N15" s="7"/>
    </row>
    <row r="16">
      <c r="A16" s="12">
        <v>45996.0</v>
      </c>
      <c r="B16" s="6" t="s">
        <v>62</v>
      </c>
      <c r="C16" s="2">
        <v>1.15</v>
      </c>
      <c r="D16" s="16">
        <f t="shared" si="3"/>
        <v>12.81</v>
      </c>
      <c r="E16" s="17">
        <f>D16/B1</f>
        <v>0.6405</v>
      </c>
      <c r="F16" s="16">
        <f t="shared" si="4"/>
        <v>16.71</v>
      </c>
      <c r="G16" s="17">
        <f>F16/B2</f>
        <v>0.8355</v>
      </c>
      <c r="H16" s="15">
        <f t="shared" si="5"/>
        <v>17.85</v>
      </c>
      <c r="I16" s="14">
        <f>H16/B3</f>
        <v>0.8925</v>
      </c>
      <c r="J16" s="2">
        <v>4.84</v>
      </c>
      <c r="K16" s="2">
        <v>0.0</v>
      </c>
      <c r="L16" s="2">
        <v>0.0</v>
      </c>
      <c r="M16" s="7"/>
      <c r="N16" s="7"/>
    </row>
    <row r="17">
      <c r="A17" s="12">
        <v>45996.0</v>
      </c>
      <c r="B17" s="6" t="s">
        <v>63</v>
      </c>
      <c r="C17" s="2">
        <v>1.1</v>
      </c>
      <c r="D17" s="16">
        <f t="shared" si="3"/>
        <v>12.81</v>
      </c>
      <c r="E17" s="17">
        <f>D17/B1</f>
        <v>0.6405</v>
      </c>
      <c r="F17" s="16">
        <f t="shared" si="4"/>
        <v>16.71</v>
      </c>
      <c r="G17" s="17">
        <f>F17/B2</f>
        <v>0.8355</v>
      </c>
      <c r="H17" s="15">
        <f t="shared" si="5"/>
        <v>16.75</v>
      </c>
      <c r="I17" s="14">
        <f>H17/B3</f>
        <v>0.8375</v>
      </c>
      <c r="J17" s="2">
        <v>4.84</v>
      </c>
      <c r="K17" s="2">
        <v>0.0</v>
      </c>
      <c r="L17" s="2">
        <v>0.0</v>
      </c>
      <c r="M17" s="7"/>
      <c r="N17" s="7"/>
    </row>
    <row r="18">
      <c r="A18" s="12">
        <v>45997.0</v>
      </c>
      <c r="B18" s="6" t="s">
        <v>61</v>
      </c>
      <c r="C18" s="2">
        <v>1.01</v>
      </c>
      <c r="D18" s="16">
        <f t="shared" si="3"/>
        <v>11.8</v>
      </c>
      <c r="E18" s="17">
        <f>D18/B1</f>
        <v>0.59</v>
      </c>
      <c r="F18" s="16">
        <f t="shared" si="4"/>
        <v>16.71</v>
      </c>
      <c r="G18" s="17">
        <f>F18/B2</f>
        <v>0.8355</v>
      </c>
      <c r="H18" s="15">
        <f t="shared" si="5"/>
        <v>16.75</v>
      </c>
      <c r="I18" s="14">
        <f>H18/B3</f>
        <v>0.8375</v>
      </c>
      <c r="J18" s="2">
        <v>4.84</v>
      </c>
      <c r="K18" s="2">
        <v>0.0</v>
      </c>
      <c r="L18" s="2">
        <v>0.0</v>
      </c>
      <c r="M18" s="7"/>
      <c r="N18" s="7"/>
    </row>
    <row r="19">
      <c r="A19" s="12">
        <v>45997.0</v>
      </c>
      <c r="B19" s="6" t="s">
        <v>62</v>
      </c>
      <c r="C19" s="2">
        <v>0.91</v>
      </c>
      <c r="D19" s="16">
        <f t="shared" si="3"/>
        <v>11.8</v>
      </c>
      <c r="E19" s="17">
        <f>D19/B1</f>
        <v>0.59</v>
      </c>
      <c r="F19" s="16">
        <f t="shared" si="4"/>
        <v>15.8</v>
      </c>
      <c r="G19" s="17">
        <f>F19/B2</f>
        <v>0.79</v>
      </c>
      <c r="H19" s="15">
        <f t="shared" si="5"/>
        <v>16.75</v>
      </c>
      <c r="I19" s="14">
        <f>H19/B3</f>
        <v>0.8375</v>
      </c>
      <c r="J19" s="2">
        <v>4.84</v>
      </c>
      <c r="K19" s="2">
        <v>0.0</v>
      </c>
      <c r="L19" s="2">
        <v>0.0</v>
      </c>
      <c r="M19" s="7"/>
      <c r="N19" s="7"/>
    </row>
    <row r="20">
      <c r="A20" s="12">
        <v>45997.0</v>
      </c>
      <c r="B20" s="6" t="s">
        <v>63</v>
      </c>
      <c r="C20" s="2">
        <v>1.17</v>
      </c>
      <c r="D20" s="16">
        <f t="shared" si="3"/>
        <v>11.8</v>
      </c>
      <c r="E20" s="17">
        <f>D20/B1</f>
        <v>0.59</v>
      </c>
      <c r="F20" s="16">
        <f t="shared" si="4"/>
        <v>15.8</v>
      </c>
      <c r="G20" s="17">
        <f>F20/B2</f>
        <v>0.79</v>
      </c>
      <c r="H20" s="15">
        <f t="shared" si="5"/>
        <v>15.58</v>
      </c>
      <c r="I20" s="14">
        <f>H20/B3</f>
        <v>0.779</v>
      </c>
      <c r="J20" s="2">
        <v>4.84</v>
      </c>
      <c r="K20" s="2">
        <v>0.0</v>
      </c>
      <c r="L20" s="2">
        <v>0.0</v>
      </c>
      <c r="M20" s="7"/>
      <c r="N20" s="7"/>
    </row>
    <row r="21">
      <c r="A21" s="12">
        <v>45998.0</v>
      </c>
      <c r="B21" s="6" t="s">
        <v>61</v>
      </c>
      <c r="C21" s="2">
        <v>0.0</v>
      </c>
      <c r="D21" s="16">
        <f t="shared" si="3"/>
        <v>11.8</v>
      </c>
      <c r="E21" s="17">
        <f>D21/B1</f>
        <v>0.59</v>
      </c>
      <c r="F21" s="16">
        <f t="shared" si="4"/>
        <v>15.8</v>
      </c>
      <c r="G21" s="17">
        <f>F21/B2</f>
        <v>0.79</v>
      </c>
      <c r="H21" s="15">
        <f t="shared" si="5"/>
        <v>15.58</v>
      </c>
      <c r="I21" s="14">
        <f>H21/B3</f>
        <v>0.779</v>
      </c>
      <c r="J21" s="2">
        <v>4.84</v>
      </c>
      <c r="K21" s="2">
        <v>0.0</v>
      </c>
      <c r="L21" s="2">
        <v>0.0</v>
      </c>
      <c r="M21" s="7"/>
      <c r="N21" s="7"/>
    </row>
    <row r="22">
      <c r="A22" s="12">
        <v>45998.0</v>
      </c>
      <c r="B22" s="6" t="s">
        <v>62</v>
      </c>
      <c r="C22" s="2">
        <v>1.26</v>
      </c>
      <c r="D22" s="16">
        <f t="shared" si="3"/>
        <v>11.8</v>
      </c>
      <c r="E22" s="17">
        <f>D22/B1</f>
        <v>0.59</v>
      </c>
      <c r="F22" s="16">
        <f t="shared" si="4"/>
        <v>14.54</v>
      </c>
      <c r="G22" s="17">
        <f>F22/B2</f>
        <v>0.727</v>
      </c>
      <c r="H22" s="15">
        <f t="shared" si="5"/>
        <v>15.58</v>
      </c>
      <c r="I22" s="14">
        <f>H22/B3</f>
        <v>0.779</v>
      </c>
      <c r="J22" s="2">
        <v>4.84</v>
      </c>
      <c r="K22" s="2">
        <v>0.0</v>
      </c>
      <c r="L22" s="2">
        <v>0.0</v>
      </c>
      <c r="M22" s="7"/>
      <c r="N22" s="7"/>
    </row>
    <row r="23">
      <c r="A23" s="12">
        <v>45998.0</v>
      </c>
      <c r="B23" s="6" t="s">
        <v>63</v>
      </c>
      <c r="C23" s="2">
        <v>1.0</v>
      </c>
      <c r="D23" s="16">
        <f t="shared" si="3"/>
        <v>11.8</v>
      </c>
      <c r="E23" s="17">
        <f>D23/B1</f>
        <v>0.59</v>
      </c>
      <c r="F23" s="16">
        <f t="shared" si="4"/>
        <v>14.54</v>
      </c>
      <c r="G23" s="17">
        <f>F23/B2</f>
        <v>0.727</v>
      </c>
      <c r="H23" s="15">
        <f t="shared" si="5"/>
        <v>14.58</v>
      </c>
      <c r="I23" s="14">
        <f>H23/B3</f>
        <v>0.729</v>
      </c>
      <c r="J23" s="2">
        <v>4.84</v>
      </c>
      <c r="K23" s="2">
        <v>0.0</v>
      </c>
      <c r="L23" s="2">
        <v>0.0</v>
      </c>
      <c r="M23" s="7"/>
      <c r="N23" s="7"/>
    </row>
    <row r="24">
      <c r="A24" s="12">
        <v>45999.0</v>
      </c>
      <c r="B24" s="6" t="s">
        <v>61</v>
      </c>
      <c r="C24" s="2">
        <v>0.0</v>
      </c>
      <c r="D24" s="16">
        <f t="shared" si="3"/>
        <v>11.8</v>
      </c>
      <c r="E24" s="17">
        <f>D24/B1</f>
        <v>0.59</v>
      </c>
      <c r="F24" s="16">
        <f t="shared" si="4"/>
        <v>14.54</v>
      </c>
      <c r="G24" s="17">
        <f>F24/B2</f>
        <v>0.727</v>
      </c>
      <c r="H24" s="15">
        <f t="shared" si="5"/>
        <v>14.58</v>
      </c>
      <c r="I24" s="14">
        <f>H24/B3</f>
        <v>0.729</v>
      </c>
      <c r="J24" s="2">
        <v>4.84</v>
      </c>
      <c r="K24" s="2">
        <v>0.0</v>
      </c>
      <c r="L24" s="2">
        <v>0.0</v>
      </c>
      <c r="M24" s="7"/>
      <c r="N24" s="7"/>
    </row>
    <row r="25">
      <c r="A25" s="12">
        <v>45999.0</v>
      </c>
      <c r="B25" s="6" t="s">
        <v>62</v>
      </c>
      <c r="C25" s="2">
        <v>0.0</v>
      </c>
      <c r="D25" s="16">
        <f t="shared" si="3"/>
        <v>11.8</v>
      </c>
      <c r="E25" s="17">
        <f>D25/B1</f>
        <v>0.59</v>
      </c>
      <c r="F25" s="16">
        <f t="shared" si="4"/>
        <v>14.54</v>
      </c>
      <c r="G25" s="17">
        <f>F25/B2</f>
        <v>0.727</v>
      </c>
      <c r="H25" s="15">
        <f t="shared" si="5"/>
        <v>14.58</v>
      </c>
      <c r="I25" s="14">
        <f>H25/B3</f>
        <v>0.729</v>
      </c>
      <c r="J25" s="2">
        <v>4.84</v>
      </c>
      <c r="K25" s="2">
        <v>0.0</v>
      </c>
      <c r="L25" s="2">
        <v>0.0</v>
      </c>
      <c r="M25" s="7"/>
      <c r="N25" s="7"/>
    </row>
    <row r="26">
      <c r="A26" s="12">
        <v>45999.0</v>
      </c>
      <c r="B26" s="6" t="s">
        <v>63</v>
      </c>
      <c r="C26" s="2">
        <v>0.0</v>
      </c>
      <c r="D26" s="16">
        <f t="shared" si="3"/>
        <v>11.8</v>
      </c>
      <c r="E26" s="17">
        <f>D26/B1</f>
        <v>0.59</v>
      </c>
      <c r="F26" s="16">
        <f t="shared" si="4"/>
        <v>14.54</v>
      </c>
      <c r="G26" s="17">
        <f>F26/B2</f>
        <v>0.727</v>
      </c>
      <c r="H26" s="15">
        <f t="shared" si="5"/>
        <v>14.58</v>
      </c>
      <c r="I26" s="14">
        <f>H26/B3</f>
        <v>0.729</v>
      </c>
      <c r="J26" s="2">
        <v>4.84</v>
      </c>
      <c r="K26" s="2">
        <v>0.0</v>
      </c>
      <c r="L26" s="2">
        <v>0.0</v>
      </c>
      <c r="M26" s="7"/>
      <c r="N26" s="7"/>
    </row>
    <row r="27">
      <c r="A27" s="12">
        <v>46000.0</v>
      </c>
      <c r="B27" s="6" t="s">
        <v>61</v>
      </c>
      <c r="C27" s="2">
        <v>0.0</v>
      </c>
      <c r="D27" s="16">
        <f t="shared" si="3"/>
        <v>11.8</v>
      </c>
      <c r="E27" s="17">
        <f>D27/B1</f>
        <v>0.59</v>
      </c>
      <c r="F27" s="16">
        <f t="shared" si="4"/>
        <v>14.54</v>
      </c>
      <c r="G27" s="17">
        <f>F27/B2</f>
        <v>0.727</v>
      </c>
      <c r="H27" s="15">
        <f t="shared" si="5"/>
        <v>14.58</v>
      </c>
      <c r="I27" s="14">
        <f>H27/B3</f>
        <v>0.729</v>
      </c>
      <c r="J27" s="2">
        <v>4.84</v>
      </c>
      <c r="K27" s="2">
        <v>0.0</v>
      </c>
      <c r="L27" s="2">
        <v>0.0</v>
      </c>
      <c r="M27" s="7"/>
      <c r="N27" s="7"/>
    </row>
    <row r="28">
      <c r="A28" s="12">
        <v>46000.0</v>
      </c>
      <c r="B28" s="6" t="s">
        <v>62</v>
      </c>
      <c r="C28" s="2">
        <v>1.32</v>
      </c>
      <c r="D28" s="16">
        <f t="shared" si="3"/>
        <v>11.8</v>
      </c>
      <c r="E28" s="17">
        <f>D28/B1</f>
        <v>0.59</v>
      </c>
      <c r="F28" s="16">
        <f t="shared" si="4"/>
        <v>13.22</v>
      </c>
      <c r="G28" s="17">
        <f>F28/B2</f>
        <v>0.661</v>
      </c>
      <c r="H28" s="15">
        <f t="shared" si="5"/>
        <v>14.58</v>
      </c>
      <c r="I28" s="14">
        <f>H28/B3</f>
        <v>0.729</v>
      </c>
      <c r="J28" s="2">
        <v>4.84</v>
      </c>
      <c r="K28" s="2">
        <v>0.0</v>
      </c>
      <c r="L28" s="2">
        <v>0.0</v>
      </c>
      <c r="M28" s="7"/>
      <c r="N28" s="7"/>
    </row>
    <row r="29">
      <c r="A29" s="12">
        <v>46000.0</v>
      </c>
      <c r="B29" s="6" t="s">
        <v>63</v>
      </c>
      <c r="C29" s="2">
        <v>1.22</v>
      </c>
      <c r="D29" s="16">
        <f t="shared" si="3"/>
        <v>11.8</v>
      </c>
      <c r="E29" s="17">
        <f>D29/B1</f>
        <v>0.59</v>
      </c>
      <c r="F29" s="16">
        <f t="shared" si="4"/>
        <v>13.22</v>
      </c>
      <c r="G29" s="17">
        <f>F29/B2</f>
        <v>0.661</v>
      </c>
      <c r="H29" s="15">
        <f t="shared" si="5"/>
        <v>13.36</v>
      </c>
      <c r="I29" s="14">
        <f>H29/B3</f>
        <v>0.668</v>
      </c>
      <c r="J29" s="2">
        <v>4.84</v>
      </c>
      <c r="K29" s="2">
        <v>0.0</v>
      </c>
      <c r="L29" s="2">
        <v>0.0</v>
      </c>
      <c r="M29" s="7"/>
      <c r="N29" s="7"/>
    </row>
    <row r="30">
      <c r="A30" s="12">
        <v>46001.0</v>
      </c>
      <c r="B30" s="6" t="s">
        <v>61</v>
      </c>
      <c r="C30" s="2">
        <v>0.0</v>
      </c>
      <c r="D30" s="16">
        <f t="shared" si="3"/>
        <v>11.8</v>
      </c>
      <c r="E30" s="17">
        <f>D30/B1</f>
        <v>0.59</v>
      </c>
      <c r="F30" s="16">
        <f t="shared" si="4"/>
        <v>13.22</v>
      </c>
      <c r="G30" s="17">
        <f>F30/B2</f>
        <v>0.661</v>
      </c>
      <c r="H30" s="15">
        <f t="shared" si="5"/>
        <v>13.36</v>
      </c>
      <c r="I30" s="14">
        <f>H30/B3</f>
        <v>0.668</v>
      </c>
      <c r="J30" s="2">
        <v>4.84</v>
      </c>
      <c r="K30" s="2">
        <v>0.0</v>
      </c>
      <c r="L30" s="2">
        <v>0.0</v>
      </c>
      <c r="M30" s="7"/>
      <c r="N30" s="7"/>
    </row>
    <row r="31">
      <c r="A31" s="12">
        <v>46001.0</v>
      </c>
      <c r="B31" s="6" t="s">
        <v>62</v>
      </c>
      <c r="C31" s="2">
        <v>1.35</v>
      </c>
      <c r="D31" s="16">
        <f t="shared" si="3"/>
        <v>11.8</v>
      </c>
      <c r="E31" s="17">
        <f>D31/B1</f>
        <v>0.59</v>
      </c>
      <c r="F31" s="16">
        <f t="shared" si="4"/>
        <v>11.87</v>
      </c>
      <c r="G31" s="17">
        <f>F31/B2</f>
        <v>0.5935</v>
      </c>
      <c r="H31" s="15">
        <f t="shared" si="5"/>
        <v>13.36</v>
      </c>
      <c r="I31" s="14">
        <f>H31/B3</f>
        <v>0.668</v>
      </c>
      <c r="J31" s="2">
        <v>4.84</v>
      </c>
      <c r="K31" s="2">
        <v>0.0</v>
      </c>
      <c r="L31" s="2">
        <v>0.0</v>
      </c>
      <c r="M31" s="7"/>
      <c r="N31" s="7"/>
    </row>
    <row r="32">
      <c r="A32" s="12">
        <v>46001.0</v>
      </c>
      <c r="B32" s="6" t="s">
        <v>63</v>
      </c>
      <c r="C32" s="2">
        <v>1.27</v>
      </c>
      <c r="D32" s="16">
        <f t="shared" si="3"/>
        <v>11.8</v>
      </c>
      <c r="E32" s="17">
        <f>D32/B1</f>
        <v>0.59</v>
      </c>
      <c r="F32" s="16">
        <f t="shared" si="4"/>
        <v>11.87</v>
      </c>
      <c r="G32" s="17">
        <f>F32/B2</f>
        <v>0.5935</v>
      </c>
      <c r="H32" s="15">
        <f t="shared" si="5"/>
        <v>12.09</v>
      </c>
      <c r="I32" s="14">
        <f>H32/B3</f>
        <v>0.6045</v>
      </c>
      <c r="J32" s="2">
        <v>4.84</v>
      </c>
      <c r="K32" s="2">
        <v>0.0</v>
      </c>
      <c r="L32" s="2">
        <v>0.0</v>
      </c>
      <c r="M32" s="7"/>
      <c r="N32" s="7"/>
    </row>
    <row r="33">
      <c r="A33" s="12">
        <v>46002.0</v>
      </c>
      <c r="B33" s="6" t="s">
        <v>61</v>
      </c>
      <c r="C33" s="2">
        <v>0.0</v>
      </c>
      <c r="D33" s="16">
        <f t="shared" si="3"/>
        <v>11.8</v>
      </c>
      <c r="E33" s="17">
        <f>D33/B1</f>
        <v>0.59</v>
      </c>
      <c r="F33" s="16">
        <f t="shared" si="4"/>
        <v>11.87</v>
      </c>
      <c r="G33" s="17">
        <f>F33/B2</f>
        <v>0.5935</v>
      </c>
      <c r="H33" s="15">
        <f t="shared" si="5"/>
        <v>12.09</v>
      </c>
      <c r="I33" s="14">
        <f>H33/B3</f>
        <v>0.6045</v>
      </c>
      <c r="J33" s="2">
        <v>4.84</v>
      </c>
      <c r="K33" s="2">
        <v>0.0</v>
      </c>
      <c r="L33" s="2">
        <v>0.0</v>
      </c>
      <c r="M33" s="7"/>
      <c r="N33" s="7"/>
    </row>
    <row r="34">
      <c r="A34" s="12">
        <v>46002.0</v>
      </c>
      <c r="B34" s="6" t="s">
        <v>62</v>
      </c>
      <c r="C34" s="2">
        <v>1.32</v>
      </c>
      <c r="D34" s="16">
        <f t="shared" si="3"/>
        <v>11.8</v>
      </c>
      <c r="E34" s="17">
        <f>D34/B1</f>
        <v>0.59</v>
      </c>
      <c r="F34" s="16">
        <f t="shared" si="4"/>
        <v>10.55</v>
      </c>
      <c r="G34" s="17">
        <f>F34/B2</f>
        <v>0.5275</v>
      </c>
      <c r="H34" s="15">
        <f t="shared" si="5"/>
        <v>12.09</v>
      </c>
      <c r="I34" s="14">
        <f>H34/B3</f>
        <v>0.6045</v>
      </c>
      <c r="J34" s="2">
        <v>4.84</v>
      </c>
      <c r="K34" s="2">
        <v>0.0</v>
      </c>
      <c r="L34" s="2">
        <v>0.0</v>
      </c>
      <c r="M34" s="7"/>
      <c r="N34" s="7"/>
    </row>
    <row r="35">
      <c r="A35" s="12">
        <v>46002.0</v>
      </c>
      <c r="B35" s="6" t="s">
        <v>63</v>
      </c>
      <c r="C35" s="2">
        <v>1.3</v>
      </c>
      <c r="D35" s="16">
        <f t="shared" si="3"/>
        <v>11.8</v>
      </c>
      <c r="E35" s="17">
        <f>D35/B1</f>
        <v>0.59</v>
      </c>
      <c r="F35" s="16">
        <f t="shared" si="4"/>
        <v>10.55</v>
      </c>
      <c r="G35" s="17">
        <f>F35/B2</f>
        <v>0.5275</v>
      </c>
      <c r="H35" s="15">
        <f t="shared" si="5"/>
        <v>10.79</v>
      </c>
      <c r="I35" s="14">
        <f>H35/B3</f>
        <v>0.5395</v>
      </c>
      <c r="J35" s="2">
        <v>4.84</v>
      </c>
      <c r="K35" s="2">
        <v>0.0</v>
      </c>
      <c r="L35" s="2">
        <v>0.0</v>
      </c>
      <c r="M35" s="7"/>
      <c r="N35" s="7"/>
    </row>
    <row r="36">
      <c r="A36" s="12">
        <v>46003.0</v>
      </c>
      <c r="B36" s="6" t="s">
        <v>61</v>
      </c>
      <c r="C36" s="2">
        <v>0.0</v>
      </c>
      <c r="D36" s="16">
        <f t="shared" si="3"/>
        <v>11.8</v>
      </c>
      <c r="E36" s="17">
        <f>D36/B1</f>
        <v>0.59</v>
      </c>
      <c r="F36" s="16">
        <f t="shared" si="4"/>
        <v>10.55</v>
      </c>
      <c r="G36" s="17">
        <f>F36/B2</f>
        <v>0.5275</v>
      </c>
      <c r="H36" s="15">
        <f t="shared" si="5"/>
        <v>10.79</v>
      </c>
      <c r="I36" s="14">
        <f>H36/B3</f>
        <v>0.5395</v>
      </c>
      <c r="J36" s="2">
        <v>4.84</v>
      </c>
      <c r="K36" s="2">
        <v>0.0</v>
      </c>
      <c r="L36" s="2">
        <v>0.0</v>
      </c>
      <c r="M36" s="7"/>
      <c r="N36" s="7"/>
    </row>
    <row r="37">
      <c r="A37" s="12">
        <v>46003.0</v>
      </c>
      <c r="B37" s="6" t="s">
        <v>62</v>
      </c>
      <c r="C37" s="2">
        <v>0.0</v>
      </c>
      <c r="D37" s="16">
        <f t="shared" si="3"/>
        <v>11.8</v>
      </c>
      <c r="E37" s="17">
        <f>D37/B1</f>
        <v>0.59</v>
      </c>
      <c r="F37" s="16">
        <f t="shared" si="4"/>
        <v>10.55</v>
      </c>
      <c r="G37" s="17">
        <f>F37/B2</f>
        <v>0.5275</v>
      </c>
      <c r="H37" s="15">
        <f t="shared" si="5"/>
        <v>10.79</v>
      </c>
      <c r="I37" s="14">
        <f>H37/B3</f>
        <v>0.5395</v>
      </c>
      <c r="J37" s="2">
        <v>4.84</v>
      </c>
      <c r="K37" s="2">
        <v>0.0</v>
      </c>
      <c r="L37" s="2">
        <v>0.0</v>
      </c>
      <c r="M37" s="7"/>
      <c r="N37" s="7"/>
    </row>
    <row r="38">
      <c r="A38" s="12">
        <v>46003.0</v>
      </c>
      <c r="B38" s="6" t="s">
        <v>63</v>
      </c>
      <c r="C38" s="2">
        <v>0.0</v>
      </c>
      <c r="D38" s="16">
        <f t="shared" si="3"/>
        <v>11.8</v>
      </c>
      <c r="E38" s="17">
        <f>D38/B1</f>
        <v>0.59</v>
      </c>
      <c r="F38" s="16">
        <f t="shared" si="4"/>
        <v>10.55</v>
      </c>
      <c r="G38" s="17">
        <f>F38/B2</f>
        <v>0.5275</v>
      </c>
      <c r="H38" s="15">
        <f t="shared" si="5"/>
        <v>10.79</v>
      </c>
      <c r="I38" s="14">
        <f>H38/B3</f>
        <v>0.5395</v>
      </c>
      <c r="J38" s="2">
        <v>4.84</v>
      </c>
      <c r="K38" s="2">
        <v>0.0</v>
      </c>
      <c r="L38" s="2">
        <v>0.0</v>
      </c>
      <c r="M38" s="7"/>
      <c r="N38" s="7"/>
    </row>
    <row r="39">
      <c r="A39" s="12">
        <v>46004.0</v>
      </c>
      <c r="B39" s="6" t="s">
        <v>61</v>
      </c>
      <c r="C39" s="2">
        <v>1.61</v>
      </c>
      <c r="D39" s="16">
        <f t="shared" si="3"/>
        <v>10.19</v>
      </c>
      <c r="E39" s="17">
        <f>D39/B1</f>
        <v>0.5095</v>
      </c>
      <c r="F39" s="16">
        <f t="shared" si="4"/>
        <v>10.55</v>
      </c>
      <c r="G39" s="17">
        <f>F39/B2</f>
        <v>0.5275</v>
      </c>
      <c r="H39" s="15">
        <f t="shared" si="5"/>
        <v>10.79</v>
      </c>
      <c r="I39" s="14">
        <f>H39/B3</f>
        <v>0.5395</v>
      </c>
      <c r="J39" s="2">
        <v>4.84</v>
      </c>
      <c r="K39" s="2">
        <v>0.0</v>
      </c>
      <c r="L39" s="2">
        <v>0.0</v>
      </c>
      <c r="M39" s="7"/>
      <c r="N39" s="7"/>
    </row>
    <row r="40">
      <c r="A40" s="12">
        <v>46004.0</v>
      </c>
      <c r="B40" s="6" t="s">
        <v>62</v>
      </c>
      <c r="C40" s="2">
        <v>1.61</v>
      </c>
      <c r="D40" s="16">
        <f t="shared" si="3"/>
        <v>10.19</v>
      </c>
      <c r="E40" s="17">
        <f>D40/B1</f>
        <v>0.5095</v>
      </c>
      <c r="F40" s="16">
        <f t="shared" si="4"/>
        <v>8.94</v>
      </c>
      <c r="G40" s="17">
        <f>F40/B2</f>
        <v>0.447</v>
      </c>
      <c r="H40" s="15">
        <f t="shared" si="5"/>
        <v>10.79</v>
      </c>
      <c r="I40" s="14">
        <f>H40/B3</f>
        <v>0.5395</v>
      </c>
      <c r="J40" s="2">
        <v>4.84</v>
      </c>
      <c r="K40" s="2">
        <v>0.0</v>
      </c>
      <c r="L40" s="2">
        <v>0.0</v>
      </c>
      <c r="M40" s="7"/>
      <c r="N40" s="7"/>
    </row>
    <row r="41">
      <c r="A41" s="12">
        <v>46004.0</v>
      </c>
      <c r="B41" s="6" t="s">
        <v>63</v>
      </c>
      <c r="C41" s="2">
        <v>1.53</v>
      </c>
      <c r="D41" s="16">
        <f t="shared" si="3"/>
        <v>10.19</v>
      </c>
      <c r="E41" s="17">
        <f>D41/B1</f>
        <v>0.5095</v>
      </c>
      <c r="F41" s="16">
        <f t="shared" si="4"/>
        <v>8.94</v>
      </c>
      <c r="G41" s="17">
        <f>F41/B2</f>
        <v>0.447</v>
      </c>
      <c r="H41" s="15">
        <f t="shared" si="5"/>
        <v>9.26</v>
      </c>
      <c r="I41" s="14">
        <f>H41/B3</f>
        <v>0.463</v>
      </c>
      <c r="J41" s="2">
        <v>4.84</v>
      </c>
      <c r="K41" s="2">
        <v>0.0</v>
      </c>
      <c r="L41" s="2">
        <v>0.0</v>
      </c>
      <c r="M41" s="7"/>
      <c r="N41" s="7"/>
    </row>
    <row r="42">
      <c r="A42" s="12">
        <v>46005.0</v>
      </c>
      <c r="B42" s="6" t="s">
        <v>61</v>
      </c>
      <c r="C42" s="2">
        <v>0.0</v>
      </c>
      <c r="D42" s="16">
        <f t="shared" si="3"/>
        <v>10.19</v>
      </c>
      <c r="E42" s="17">
        <f>D42/B1</f>
        <v>0.5095</v>
      </c>
      <c r="F42" s="16">
        <f t="shared" si="4"/>
        <v>8.94</v>
      </c>
      <c r="G42" s="17">
        <f>F42/B2</f>
        <v>0.447</v>
      </c>
      <c r="H42" s="15">
        <f t="shared" si="5"/>
        <v>9.26</v>
      </c>
      <c r="I42" s="14">
        <f>H42/B3</f>
        <v>0.463</v>
      </c>
      <c r="J42" s="2">
        <v>4.84</v>
      </c>
      <c r="K42" s="2">
        <v>0.0</v>
      </c>
      <c r="L42" s="2">
        <v>0.0</v>
      </c>
      <c r="M42" s="7"/>
      <c r="N42" s="7"/>
    </row>
    <row r="43">
      <c r="A43" s="12">
        <v>46005.0</v>
      </c>
      <c r="B43" s="6" t="s">
        <v>62</v>
      </c>
      <c r="C43" s="2">
        <v>1.19</v>
      </c>
      <c r="D43" s="16">
        <f t="shared" si="3"/>
        <v>10.19</v>
      </c>
      <c r="E43" s="17">
        <f>D43/B1</f>
        <v>0.5095</v>
      </c>
      <c r="F43" s="16">
        <f t="shared" si="4"/>
        <v>7.75</v>
      </c>
      <c r="G43" s="17">
        <f>F43/B2</f>
        <v>0.3875</v>
      </c>
      <c r="H43" s="15">
        <f t="shared" si="5"/>
        <v>9.26</v>
      </c>
      <c r="I43" s="14">
        <f>H43/B3</f>
        <v>0.463</v>
      </c>
      <c r="J43" s="2">
        <v>4.84</v>
      </c>
      <c r="K43" s="2">
        <v>0.0</v>
      </c>
      <c r="L43" s="2">
        <v>0.0</v>
      </c>
      <c r="M43" s="7"/>
      <c r="N43" s="7"/>
    </row>
    <row r="44">
      <c r="A44" s="12">
        <v>46005.0</v>
      </c>
      <c r="B44" s="6" t="s">
        <v>63</v>
      </c>
      <c r="C44" s="2">
        <v>1.26</v>
      </c>
      <c r="D44" s="16">
        <f t="shared" si="3"/>
        <v>10.19</v>
      </c>
      <c r="E44" s="17">
        <f>D44/B1</f>
        <v>0.5095</v>
      </c>
      <c r="F44" s="16">
        <f t="shared" si="4"/>
        <v>7.75</v>
      </c>
      <c r="G44" s="17">
        <f>F44/B2</f>
        <v>0.3875</v>
      </c>
      <c r="H44" s="15">
        <f t="shared" si="5"/>
        <v>8</v>
      </c>
      <c r="I44" s="14">
        <f>H44/B3</f>
        <v>0.4</v>
      </c>
      <c r="J44" s="2">
        <v>4.84</v>
      </c>
      <c r="K44" s="2">
        <v>0.0</v>
      </c>
      <c r="L44" s="2">
        <v>0.0</v>
      </c>
      <c r="M44" s="7"/>
      <c r="N44" s="7"/>
    </row>
    <row r="45">
      <c r="A45" s="12">
        <v>46006.0</v>
      </c>
      <c r="B45" s="6" t="s">
        <v>61</v>
      </c>
      <c r="C45" s="2">
        <v>0.0</v>
      </c>
      <c r="D45" s="16">
        <f t="shared" si="3"/>
        <v>10.19</v>
      </c>
      <c r="E45" s="17">
        <f>D45/B1</f>
        <v>0.5095</v>
      </c>
      <c r="F45" s="16">
        <f t="shared" si="4"/>
        <v>7.75</v>
      </c>
      <c r="G45" s="17">
        <f>F45/B2</f>
        <v>0.3875</v>
      </c>
      <c r="H45" s="15">
        <f t="shared" si="5"/>
        <v>8</v>
      </c>
      <c r="I45" s="14">
        <f>H45/B3</f>
        <v>0.4</v>
      </c>
      <c r="J45" s="2">
        <v>4.84</v>
      </c>
      <c r="K45" s="2">
        <v>0.0</v>
      </c>
      <c r="L45" s="2">
        <v>0.0</v>
      </c>
      <c r="M45" s="7"/>
      <c r="N45" s="7"/>
    </row>
    <row r="46">
      <c r="A46" s="12">
        <v>46006.0</v>
      </c>
      <c r="B46" s="6" t="s">
        <v>62</v>
      </c>
      <c r="C46" s="2">
        <v>0.0</v>
      </c>
      <c r="D46" s="16">
        <f t="shared" si="3"/>
        <v>10.19</v>
      </c>
      <c r="E46" s="17">
        <f>D46/B1</f>
        <v>0.5095</v>
      </c>
      <c r="F46" s="16">
        <f t="shared" si="4"/>
        <v>7.75</v>
      </c>
      <c r="G46" s="17">
        <f>F46/B2</f>
        <v>0.3875</v>
      </c>
      <c r="H46" s="15">
        <f t="shared" si="5"/>
        <v>8</v>
      </c>
      <c r="I46" s="14">
        <f>H46/B3</f>
        <v>0.4</v>
      </c>
      <c r="J46" s="2">
        <v>4.84</v>
      </c>
      <c r="K46" s="2">
        <v>0.0</v>
      </c>
      <c r="L46" s="2">
        <v>0.0</v>
      </c>
      <c r="M46" s="7"/>
      <c r="N46" s="7"/>
    </row>
    <row r="47">
      <c r="A47" s="12">
        <v>46006.0</v>
      </c>
      <c r="B47" s="6" t="s">
        <v>63</v>
      </c>
      <c r="C47" s="2">
        <v>0.0</v>
      </c>
      <c r="D47" s="16">
        <f t="shared" si="3"/>
        <v>10.19</v>
      </c>
      <c r="E47" s="17">
        <f>D47/B1</f>
        <v>0.5095</v>
      </c>
      <c r="F47" s="16">
        <f t="shared" si="4"/>
        <v>7.75</v>
      </c>
      <c r="G47" s="17">
        <f>F47/B2</f>
        <v>0.3875</v>
      </c>
      <c r="H47" s="15">
        <f t="shared" si="5"/>
        <v>8</v>
      </c>
      <c r="I47" s="14">
        <f>H47/B3</f>
        <v>0.4</v>
      </c>
      <c r="J47" s="2">
        <v>4.84</v>
      </c>
      <c r="K47" s="2">
        <v>0.0</v>
      </c>
      <c r="L47" s="2">
        <v>0.0</v>
      </c>
      <c r="M47" s="7"/>
      <c r="N47" s="7"/>
    </row>
    <row r="48">
      <c r="A48" s="12">
        <v>46007.0</v>
      </c>
      <c r="B48" s="6" t="s">
        <v>61</v>
      </c>
      <c r="C48" s="2">
        <v>0.0</v>
      </c>
      <c r="D48" s="16">
        <f t="shared" si="3"/>
        <v>10.19</v>
      </c>
      <c r="E48" s="17">
        <f>D48/B1</f>
        <v>0.5095</v>
      </c>
      <c r="F48" s="16">
        <f t="shared" si="4"/>
        <v>7.75</v>
      </c>
      <c r="G48" s="17">
        <f>F48/B2</f>
        <v>0.3875</v>
      </c>
      <c r="H48" s="15">
        <f t="shared" si="5"/>
        <v>8</v>
      </c>
      <c r="I48" s="14">
        <f>H48/B3</f>
        <v>0.4</v>
      </c>
      <c r="J48" s="2">
        <v>4.84</v>
      </c>
      <c r="K48" s="2">
        <v>0.0</v>
      </c>
      <c r="L48" s="2">
        <v>0.0</v>
      </c>
      <c r="M48" s="7"/>
      <c r="N48" s="7"/>
    </row>
    <row r="49">
      <c r="A49" s="12">
        <v>46007.0</v>
      </c>
      <c r="B49" s="6" t="s">
        <v>62</v>
      </c>
      <c r="C49" s="2">
        <v>1.38</v>
      </c>
      <c r="D49" s="16">
        <f t="shared" si="3"/>
        <v>10.19</v>
      </c>
      <c r="E49" s="17">
        <f>D49/B1</f>
        <v>0.5095</v>
      </c>
      <c r="F49" s="16">
        <f t="shared" si="4"/>
        <v>6.37</v>
      </c>
      <c r="G49" s="17">
        <f>F49/B2</f>
        <v>0.3185</v>
      </c>
      <c r="H49" s="15">
        <f t="shared" si="5"/>
        <v>8</v>
      </c>
      <c r="I49" s="14">
        <f>H49/B3</f>
        <v>0.4</v>
      </c>
      <c r="J49" s="2">
        <v>4.84</v>
      </c>
      <c r="K49" s="2">
        <v>0.0</v>
      </c>
      <c r="L49" s="2">
        <v>0.0</v>
      </c>
      <c r="M49" s="7"/>
      <c r="N49" s="7"/>
    </row>
    <row r="50">
      <c r="A50" s="12">
        <v>46007.0</v>
      </c>
      <c r="B50" s="6" t="s">
        <v>63</v>
      </c>
      <c r="C50" s="2">
        <v>0.77</v>
      </c>
      <c r="D50" s="16">
        <f t="shared" si="3"/>
        <v>10.19</v>
      </c>
      <c r="E50" s="17">
        <f>D50/B1</f>
        <v>0.5095</v>
      </c>
      <c r="F50" s="16">
        <f t="shared" si="4"/>
        <v>6.37</v>
      </c>
      <c r="G50" s="17">
        <f>F50/B2</f>
        <v>0.3185</v>
      </c>
      <c r="H50" s="15">
        <f t="shared" si="5"/>
        <v>7.23</v>
      </c>
      <c r="I50" s="14">
        <f>H50/B3</f>
        <v>0.3615</v>
      </c>
      <c r="J50" s="2">
        <v>4.84</v>
      </c>
      <c r="K50" s="2">
        <v>0.0</v>
      </c>
      <c r="L50" s="2">
        <v>0.0</v>
      </c>
      <c r="M50" s="7"/>
      <c r="N50" s="7"/>
    </row>
    <row r="51">
      <c r="A51" s="12">
        <v>46008.0</v>
      </c>
      <c r="B51" s="6" t="s">
        <v>61</v>
      </c>
      <c r="C51" s="2">
        <v>1.73</v>
      </c>
      <c r="D51" s="16">
        <f t="shared" si="3"/>
        <v>8.46</v>
      </c>
      <c r="E51" s="17">
        <f>D51/B1</f>
        <v>0.423</v>
      </c>
      <c r="F51" s="16">
        <f t="shared" si="4"/>
        <v>6.37</v>
      </c>
      <c r="G51" s="17">
        <f>F51/B2</f>
        <v>0.3185</v>
      </c>
      <c r="H51" s="15">
        <f t="shared" si="5"/>
        <v>7.23</v>
      </c>
      <c r="I51" s="14">
        <f>H51/B3</f>
        <v>0.3615</v>
      </c>
      <c r="J51" s="2">
        <v>4.84</v>
      </c>
      <c r="K51" s="2">
        <v>0.0</v>
      </c>
      <c r="L51" s="2">
        <v>0.0</v>
      </c>
      <c r="M51" s="7"/>
      <c r="N51" s="7"/>
    </row>
    <row r="52">
      <c r="A52" s="12">
        <v>46008.0</v>
      </c>
      <c r="B52" s="6" t="s">
        <v>62</v>
      </c>
      <c r="C52" s="2">
        <v>1.25</v>
      </c>
      <c r="D52" s="16">
        <f t="shared" si="3"/>
        <v>8.46</v>
      </c>
      <c r="E52" s="17">
        <f>D52/B1</f>
        <v>0.423</v>
      </c>
      <c r="F52" s="16">
        <f t="shared" si="4"/>
        <v>5.12</v>
      </c>
      <c r="G52" s="17">
        <f>F52/B2</f>
        <v>0.256</v>
      </c>
      <c r="H52" s="15">
        <f t="shared" si="5"/>
        <v>7.23</v>
      </c>
      <c r="I52" s="14">
        <f>H52/B3</f>
        <v>0.3615</v>
      </c>
      <c r="J52" s="2">
        <v>4.84</v>
      </c>
      <c r="K52" s="2">
        <v>0.0</v>
      </c>
      <c r="L52" s="2">
        <v>0.0</v>
      </c>
      <c r="M52" s="7"/>
      <c r="N52" s="7"/>
    </row>
    <row r="53">
      <c r="A53" s="12">
        <v>46008.0</v>
      </c>
      <c r="B53" s="6" t="s">
        <v>63</v>
      </c>
      <c r="C53" s="2">
        <v>1.23</v>
      </c>
      <c r="D53" s="16">
        <f t="shared" si="3"/>
        <v>8.46</v>
      </c>
      <c r="E53" s="17">
        <f>D53/B1</f>
        <v>0.423</v>
      </c>
      <c r="F53" s="16">
        <f t="shared" si="4"/>
        <v>5.12</v>
      </c>
      <c r="G53" s="17">
        <f>F53/B2</f>
        <v>0.256</v>
      </c>
      <c r="H53" s="15">
        <f t="shared" si="5"/>
        <v>6</v>
      </c>
      <c r="I53" s="14">
        <f>H53/B3</f>
        <v>0.3</v>
      </c>
      <c r="J53" s="2">
        <v>4.84</v>
      </c>
      <c r="K53" s="2">
        <v>0.0</v>
      </c>
      <c r="L53" s="2">
        <v>0.0</v>
      </c>
      <c r="M53" s="7"/>
      <c r="N53" s="7"/>
    </row>
    <row r="54">
      <c r="A54" s="12">
        <v>46009.0</v>
      </c>
      <c r="B54" s="6" t="s">
        <v>61</v>
      </c>
      <c r="C54" s="2">
        <v>0.0</v>
      </c>
      <c r="D54" s="16">
        <f t="shared" si="3"/>
        <v>8.46</v>
      </c>
      <c r="E54" s="17">
        <f>D54/B1</f>
        <v>0.423</v>
      </c>
      <c r="F54" s="16">
        <f t="shared" si="4"/>
        <v>5.12</v>
      </c>
      <c r="G54" s="17">
        <f>F54/B2</f>
        <v>0.256</v>
      </c>
      <c r="H54" s="15">
        <f t="shared" si="5"/>
        <v>6</v>
      </c>
      <c r="I54" s="14">
        <f>H54/B3</f>
        <v>0.3</v>
      </c>
      <c r="J54" s="2">
        <v>4.84</v>
      </c>
      <c r="K54" s="2">
        <v>0.0</v>
      </c>
      <c r="L54" s="2">
        <v>0.0</v>
      </c>
      <c r="M54" s="7"/>
      <c r="N54" s="7"/>
    </row>
    <row r="55">
      <c r="A55" s="12">
        <v>46009.0</v>
      </c>
      <c r="B55" s="6" t="s">
        <v>62</v>
      </c>
      <c r="C55" s="2">
        <v>0.0</v>
      </c>
      <c r="D55" s="16">
        <f t="shared" si="3"/>
        <v>8.46</v>
      </c>
      <c r="E55" s="17">
        <f>D55/B1</f>
        <v>0.423</v>
      </c>
      <c r="F55" s="16">
        <f t="shared" si="4"/>
        <v>5.12</v>
      </c>
      <c r="G55" s="17">
        <f>F55/B2</f>
        <v>0.256</v>
      </c>
      <c r="H55" s="15">
        <f t="shared" si="5"/>
        <v>6</v>
      </c>
      <c r="I55" s="14">
        <f>H55/B3</f>
        <v>0.3</v>
      </c>
      <c r="J55" s="2">
        <v>4.84</v>
      </c>
      <c r="K55" s="2">
        <v>0.0</v>
      </c>
      <c r="L55" s="2">
        <v>0.0</v>
      </c>
      <c r="M55" s="7"/>
      <c r="N55" s="7"/>
    </row>
    <row r="56">
      <c r="A56" s="12">
        <v>46009.0</v>
      </c>
      <c r="B56" s="6" t="s">
        <v>63</v>
      </c>
      <c r="C56" s="2">
        <v>0.0</v>
      </c>
      <c r="D56" s="16">
        <f t="shared" si="3"/>
        <v>8.46</v>
      </c>
      <c r="E56" s="17">
        <f>D56/B1</f>
        <v>0.423</v>
      </c>
      <c r="F56" s="16">
        <f t="shared" si="4"/>
        <v>5.12</v>
      </c>
      <c r="G56" s="17">
        <f>F56/B2</f>
        <v>0.256</v>
      </c>
      <c r="H56" s="15">
        <f t="shared" si="5"/>
        <v>6</v>
      </c>
      <c r="I56" s="14">
        <f>H56/B3</f>
        <v>0.3</v>
      </c>
      <c r="J56" s="2">
        <v>4.84</v>
      </c>
      <c r="K56" s="2">
        <v>0.0</v>
      </c>
      <c r="L56" s="2">
        <v>0.0</v>
      </c>
      <c r="M56" s="7"/>
      <c r="N56" s="7"/>
    </row>
    <row r="57">
      <c r="A57" s="12">
        <v>46010.0</v>
      </c>
      <c r="B57" s="6" t="s">
        <v>61</v>
      </c>
      <c r="C57" s="2">
        <v>0.0</v>
      </c>
      <c r="D57" s="16">
        <f t="shared" si="3"/>
        <v>8.46</v>
      </c>
      <c r="E57" s="17">
        <f>D57/B1</f>
        <v>0.423</v>
      </c>
      <c r="F57" s="16">
        <f t="shared" si="4"/>
        <v>5.12</v>
      </c>
      <c r="G57" s="17">
        <f>F57/B2</f>
        <v>0.256</v>
      </c>
      <c r="H57" s="15">
        <f t="shared" si="5"/>
        <v>6</v>
      </c>
      <c r="I57" s="14">
        <f>H57/B3</f>
        <v>0.3</v>
      </c>
      <c r="J57" s="2">
        <v>4.84</v>
      </c>
      <c r="K57" s="2">
        <v>0.0</v>
      </c>
      <c r="L57" s="2">
        <v>0.0</v>
      </c>
      <c r="M57" s="7"/>
      <c r="N57" s="7"/>
    </row>
    <row r="58">
      <c r="A58" s="12">
        <v>46010.0</v>
      </c>
      <c r="B58" s="6" t="s">
        <v>62</v>
      </c>
      <c r="C58" s="2">
        <v>1.55</v>
      </c>
      <c r="D58" s="16">
        <f t="shared" si="3"/>
        <v>8.46</v>
      </c>
      <c r="E58" s="17">
        <f>D58/B1</f>
        <v>0.423</v>
      </c>
      <c r="F58" s="16">
        <f t="shared" si="4"/>
        <v>3.57</v>
      </c>
      <c r="G58" s="17">
        <f>F58/B2</f>
        <v>0.1785</v>
      </c>
      <c r="H58" s="15">
        <f t="shared" si="5"/>
        <v>6</v>
      </c>
      <c r="I58" s="14">
        <f>H58/B3</f>
        <v>0.3</v>
      </c>
      <c r="J58" s="2">
        <v>4.84</v>
      </c>
      <c r="K58" s="2">
        <v>0.0</v>
      </c>
      <c r="L58" s="2">
        <v>0.0</v>
      </c>
      <c r="M58" s="7"/>
      <c r="N58" s="7"/>
    </row>
    <row r="59">
      <c r="A59" s="12">
        <v>46010.0</v>
      </c>
      <c r="B59" s="6" t="s">
        <v>63</v>
      </c>
      <c r="C59" s="2">
        <v>1.53</v>
      </c>
      <c r="D59" s="16">
        <f t="shared" si="3"/>
        <v>8.46</v>
      </c>
      <c r="E59" s="17">
        <f>D59/B1</f>
        <v>0.423</v>
      </c>
      <c r="F59" s="16">
        <f t="shared" si="4"/>
        <v>3.57</v>
      </c>
      <c r="G59" s="17">
        <f>F59/B2</f>
        <v>0.1785</v>
      </c>
      <c r="H59" s="15">
        <f t="shared" si="5"/>
        <v>4.47</v>
      </c>
      <c r="I59" s="14">
        <f>H59/B3</f>
        <v>0.2235</v>
      </c>
      <c r="J59" s="2">
        <v>4.84</v>
      </c>
      <c r="K59" s="2">
        <v>0.0</v>
      </c>
      <c r="L59" s="2">
        <v>0.0</v>
      </c>
    </row>
    <row r="60">
      <c r="A60" s="12">
        <v>46011.0</v>
      </c>
      <c r="B60" s="6" t="s">
        <v>61</v>
      </c>
      <c r="C60" s="2">
        <v>0.0</v>
      </c>
      <c r="D60" s="16">
        <f t="shared" si="3"/>
        <v>8.46</v>
      </c>
      <c r="E60" s="17">
        <f>D60/B1</f>
        <v>0.423</v>
      </c>
      <c r="F60" s="16">
        <f t="shared" si="4"/>
        <v>3.57</v>
      </c>
      <c r="G60" s="17">
        <f>F60/B2</f>
        <v>0.1785</v>
      </c>
      <c r="H60" s="15">
        <f t="shared" si="5"/>
        <v>4.47</v>
      </c>
      <c r="I60" s="14">
        <f>H60/B3</f>
        <v>0.2235</v>
      </c>
      <c r="J60" s="2">
        <v>4.84</v>
      </c>
      <c r="K60" s="2">
        <v>0.0</v>
      </c>
      <c r="L60" s="2">
        <v>0.0</v>
      </c>
    </row>
    <row r="61">
      <c r="A61" s="12">
        <v>46011.0</v>
      </c>
      <c r="B61" s="6" t="s">
        <v>62</v>
      </c>
      <c r="C61" s="2">
        <v>1.77</v>
      </c>
      <c r="D61" s="16">
        <f t="shared" si="3"/>
        <v>8.46</v>
      </c>
      <c r="E61" s="17">
        <f>D61/B1</f>
        <v>0.423</v>
      </c>
      <c r="F61" s="16">
        <f t="shared" si="4"/>
        <v>1.8</v>
      </c>
      <c r="G61" s="17">
        <f>F61/B2</f>
        <v>0.09</v>
      </c>
      <c r="H61" s="15">
        <f t="shared" si="5"/>
        <v>4.47</v>
      </c>
      <c r="I61" s="14">
        <f>H61/B3</f>
        <v>0.2235</v>
      </c>
      <c r="J61" s="2">
        <v>4.84</v>
      </c>
      <c r="K61" s="2">
        <v>0.0</v>
      </c>
      <c r="L61" s="2">
        <v>0.0</v>
      </c>
    </row>
    <row r="62">
      <c r="A62" s="12">
        <v>46011.0</v>
      </c>
      <c r="B62" s="6" t="s">
        <v>63</v>
      </c>
      <c r="C62" s="2">
        <v>1.33</v>
      </c>
      <c r="D62" s="16">
        <f t="shared" si="3"/>
        <v>8.46</v>
      </c>
      <c r="E62" s="17">
        <f>D62/B1</f>
        <v>0.423</v>
      </c>
      <c r="F62" s="16">
        <f t="shared" si="4"/>
        <v>1.8</v>
      </c>
      <c r="G62" s="17">
        <f>F62/B2</f>
        <v>0.09</v>
      </c>
      <c r="H62" s="15">
        <f t="shared" si="5"/>
        <v>3.14</v>
      </c>
      <c r="I62" s="14">
        <f>H62/B3</f>
        <v>0.157</v>
      </c>
      <c r="J62" s="2">
        <v>4.84</v>
      </c>
      <c r="K62" s="2">
        <v>0.0</v>
      </c>
      <c r="L62" s="2">
        <v>0.0</v>
      </c>
    </row>
    <row r="63">
      <c r="A63" s="12">
        <v>46012.0</v>
      </c>
      <c r="B63" s="6" t="s">
        <v>61</v>
      </c>
      <c r="C63" s="2">
        <v>1.02</v>
      </c>
      <c r="D63" s="16">
        <f t="shared" si="3"/>
        <v>7.44</v>
      </c>
      <c r="E63" s="17">
        <f>D63/B1</f>
        <v>0.372</v>
      </c>
      <c r="F63" s="16">
        <f t="shared" si="4"/>
        <v>1.8</v>
      </c>
      <c r="G63" s="17">
        <f>F63/B2</f>
        <v>0.09</v>
      </c>
      <c r="H63" s="15">
        <f t="shared" si="5"/>
        <v>3.14</v>
      </c>
      <c r="I63" s="14">
        <f>H63/B3</f>
        <v>0.157</v>
      </c>
      <c r="J63" s="2">
        <v>4.84</v>
      </c>
      <c r="K63" s="2">
        <v>0.0</v>
      </c>
      <c r="L63" s="2">
        <v>0.0</v>
      </c>
    </row>
    <row r="64">
      <c r="A64" s="12">
        <v>46012.0</v>
      </c>
      <c r="B64" s="6" t="s">
        <v>62</v>
      </c>
      <c r="C64" s="2">
        <v>0.0</v>
      </c>
      <c r="D64" s="16">
        <f t="shared" si="3"/>
        <v>7.44</v>
      </c>
      <c r="E64" s="17">
        <f>D64/B1</f>
        <v>0.372</v>
      </c>
      <c r="F64" s="16">
        <f t="shared" si="4"/>
        <v>1.8</v>
      </c>
      <c r="G64" s="17">
        <f>F64/B2</f>
        <v>0.09</v>
      </c>
      <c r="H64" s="15">
        <f t="shared" si="5"/>
        <v>3.14</v>
      </c>
      <c r="I64" s="14">
        <f>H64/B3</f>
        <v>0.157</v>
      </c>
      <c r="J64" s="2">
        <v>4.84</v>
      </c>
      <c r="K64" s="2">
        <v>0.0</v>
      </c>
      <c r="L64" s="2">
        <v>0.0</v>
      </c>
    </row>
    <row r="65">
      <c r="A65" s="12">
        <v>46012.0</v>
      </c>
      <c r="B65" s="6" t="s">
        <v>63</v>
      </c>
      <c r="C65" s="2">
        <v>0.0</v>
      </c>
      <c r="D65" s="16">
        <f t="shared" si="3"/>
        <v>7.44</v>
      </c>
      <c r="E65" s="17">
        <f>D65/B1</f>
        <v>0.372</v>
      </c>
      <c r="F65" s="16">
        <f t="shared" si="4"/>
        <v>1.8</v>
      </c>
      <c r="G65" s="17">
        <f>F65/B2</f>
        <v>0.09</v>
      </c>
      <c r="H65" s="15">
        <f t="shared" si="5"/>
        <v>3.14</v>
      </c>
      <c r="I65" s="14">
        <f>H65/B3</f>
        <v>0.157</v>
      </c>
      <c r="J65" s="2">
        <v>4.84</v>
      </c>
      <c r="K65" s="2">
        <v>0.0</v>
      </c>
      <c r="L65" s="2">
        <v>0.0</v>
      </c>
    </row>
    <row r="66">
      <c r="A66" s="12">
        <v>46013.0</v>
      </c>
      <c r="B66" s="6" t="s">
        <v>61</v>
      </c>
      <c r="C66" s="2">
        <v>0.98</v>
      </c>
      <c r="D66" s="16">
        <f t="shared" si="3"/>
        <v>6.46</v>
      </c>
      <c r="E66" s="17">
        <f>D66/B1</f>
        <v>0.323</v>
      </c>
      <c r="F66" s="16">
        <f t="shared" si="4"/>
        <v>1.8</v>
      </c>
      <c r="G66" s="17">
        <f>F66/B2</f>
        <v>0.09</v>
      </c>
      <c r="H66" s="15">
        <f t="shared" si="5"/>
        <v>3.14</v>
      </c>
      <c r="I66" s="14">
        <f>H66/B3</f>
        <v>0.157</v>
      </c>
      <c r="J66" s="2">
        <v>4.84</v>
      </c>
      <c r="K66" s="2">
        <v>0.0</v>
      </c>
      <c r="L66" s="2">
        <v>0.0</v>
      </c>
    </row>
    <row r="67">
      <c r="A67" s="12">
        <v>46013.0</v>
      </c>
      <c r="B67" s="6" t="s">
        <v>62</v>
      </c>
      <c r="C67" s="2">
        <v>0.0</v>
      </c>
      <c r="D67" s="16">
        <f t="shared" si="3"/>
        <v>6.46</v>
      </c>
      <c r="E67" s="17">
        <f>D67/B1</f>
        <v>0.323</v>
      </c>
      <c r="F67" s="16">
        <f t="shared" si="4"/>
        <v>1.8</v>
      </c>
      <c r="G67" s="17">
        <f>F67/B2</f>
        <v>0.09</v>
      </c>
      <c r="H67" s="15">
        <f t="shared" si="5"/>
        <v>3.14</v>
      </c>
      <c r="I67" s="14">
        <f>H67/B3</f>
        <v>0.157</v>
      </c>
      <c r="J67" s="2">
        <v>4.84</v>
      </c>
      <c r="K67" s="2">
        <v>0.0</v>
      </c>
      <c r="L67" s="2">
        <v>0.0</v>
      </c>
    </row>
    <row r="68">
      <c r="A68" s="12">
        <v>46013.0</v>
      </c>
      <c r="B68" s="6" t="s">
        <v>63</v>
      </c>
      <c r="C68" s="2">
        <v>0.0</v>
      </c>
      <c r="D68" s="16">
        <f t="shared" si="3"/>
        <v>6.46</v>
      </c>
      <c r="E68" s="17">
        <f>D68/B1</f>
        <v>0.323</v>
      </c>
      <c r="F68" s="16">
        <f t="shared" si="4"/>
        <v>1.8</v>
      </c>
      <c r="G68" s="17">
        <f>F68/B2</f>
        <v>0.09</v>
      </c>
      <c r="H68" s="15">
        <f t="shared" si="5"/>
        <v>3.14</v>
      </c>
      <c r="I68" s="14">
        <f>H68/B3</f>
        <v>0.157</v>
      </c>
      <c r="J68" s="2">
        <v>4.84</v>
      </c>
      <c r="K68" s="2">
        <v>0.0</v>
      </c>
      <c r="L68" s="2">
        <v>0.0</v>
      </c>
    </row>
    <row r="69">
      <c r="A69" s="12">
        <v>46014.0</v>
      </c>
      <c r="B69" s="6" t="s">
        <v>61</v>
      </c>
      <c r="C69" s="2">
        <v>0.98</v>
      </c>
      <c r="D69" s="16">
        <f t="shared" si="3"/>
        <v>5.48</v>
      </c>
      <c r="E69" s="17">
        <f>D69/B1</f>
        <v>0.274</v>
      </c>
      <c r="F69" s="16">
        <f t="shared" si="4"/>
        <v>1.8</v>
      </c>
      <c r="G69" s="17">
        <f>F69/B2</f>
        <v>0.09</v>
      </c>
      <c r="H69" s="15">
        <f t="shared" si="5"/>
        <v>3.14</v>
      </c>
      <c r="I69" s="14">
        <f>H69/B3</f>
        <v>0.157</v>
      </c>
      <c r="J69" s="2">
        <v>4.84</v>
      </c>
      <c r="K69" s="2">
        <v>0.0</v>
      </c>
      <c r="L69" s="2">
        <v>0.0</v>
      </c>
    </row>
    <row r="70">
      <c r="A70" s="12">
        <v>46014.0</v>
      </c>
      <c r="B70" s="6" t="s">
        <v>62</v>
      </c>
      <c r="C70" s="2">
        <v>0.0</v>
      </c>
      <c r="D70" s="16">
        <f t="shared" si="3"/>
        <v>5.48</v>
      </c>
      <c r="E70" s="17">
        <f>D70/B1</f>
        <v>0.274</v>
      </c>
      <c r="F70" s="16">
        <f t="shared" si="4"/>
        <v>1.8</v>
      </c>
      <c r="G70" s="17">
        <f>F70/B2</f>
        <v>0.09</v>
      </c>
      <c r="H70" s="15">
        <f t="shared" si="5"/>
        <v>3.14</v>
      </c>
      <c r="I70" s="14">
        <f>H70/B3</f>
        <v>0.157</v>
      </c>
      <c r="J70" s="2">
        <v>4.84</v>
      </c>
      <c r="K70" s="2">
        <v>0.0</v>
      </c>
      <c r="L70" s="2">
        <v>0.0</v>
      </c>
    </row>
    <row r="71">
      <c r="A71" s="12">
        <v>46014.0</v>
      </c>
      <c r="B71" s="6" t="s">
        <v>63</v>
      </c>
      <c r="C71" s="2">
        <v>0.0</v>
      </c>
      <c r="D71" s="16">
        <f t="shared" si="3"/>
        <v>5.48</v>
      </c>
      <c r="E71" s="17">
        <f>D71/B1</f>
        <v>0.274</v>
      </c>
      <c r="F71" s="16">
        <f t="shared" si="4"/>
        <v>1.8</v>
      </c>
      <c r="G71" s="17">
        <f>F71/B2</f>
        <v>0.09</v>
      </c>
      <c r="H71" s="15">
        <f t="shared" si="5"/>
        <v>3.14</v>
      </c>
      <c r="I71" s="14">
        <f>H71/B3</f>
        <v>0.157</v>
      </c>
      <c r="J71" s="2">
        <v>4.84</v>
      </c>
      <c r="K71" s="2">
        <v>0.0</v>
      </c>
      <c r="L71" s="2">
        <v>0.0</v>
      </c>
    </row>
    <row r="72">
      <c r="A72" s="12">
        <v>46015.0</v>
      </c>
      <c r="B72" s="6" t="s">
        <v>61</v>
      </c>
      <c r="C72" s="2">
        <v>0.98</v>
      </c>
      <c r="D72" s="16">
        <f t="shared" si="3"/>
        <v>4.5</v>
      </c>
      <c r="E72" s="17">
        <f>D72/B1</f>
        <v>0.225</v>
      </c>
      <c r="F72" s="16">
        <f t="shared" si="4"/>
        <v>1.8</v>
      </c>
      <c r="G72" s="17">
        <f>F72/B2</f>
        <v>0.09</v>
      </c>
      <c r="H72" s="15">
        <f t="shared" si="5"/>
        <v>3.14</v>
      </c>
      <c r="I72" s="14">
        <f>H72/B3</f>
        <v>0.157</v>
      </c>
      <c r="J72" s="2">
        <v>4.84</v>
      </c>
      <c r="K72" s="2">
        <v>0.0</v>
      </c>
      <c r="L72" s="2">
        <v>0.0</v>
      </c>
    </row>
    <row r="73">
      <c r="A73" s="12">
        <v>46015.0</v>
      </c>
      <c r="B73" s="6" t="s">
        <v>62</v>
      </c>
      <c r="C73" s="2">
        <v>0.0</v>
      </c>
      <c r="D73" s="16">
        <f t="shared" si="3"/>
        <v>4.5</v>
      </c>
      <c r="E73" s="17">
        <f>D73/B1</f>
        <v>0.225</v>
      </c>
      <c r="F73" s="16">
        <f t="shared" si="4"/>
        <v>1.8</v>
      </c>
      <c r="G73" s="17">
        <f>F73/B2</f>
        <v>0.09</v>
      </c>
      <c r="H73" s="15">
        <f t="shared" si="5"/>
        <v>3.14</v>
      </c>
      <c r="I73" s="14">
        <f>H73/B3</f>
        <v>0.157</v>
      </c>
      <c r="J73" s="2">
        <v>4.84</v>
      </c>
      <c r="K73" s="2">
        <v>0.0</v>
      </c>
      <c r="L73" s="2">
        <v>0.0</v>
      </c>
    </row>
    <row r="74">
      <c r="A74" s="12">
        <v>46015.0</v>
      </c>
      <c r="B74" s="6" t="s">
        <v>63</v>
      </c>
      <c r="C74" s="2">
        <v>0.0</v>
      </c>
      <c r="D74" s="16">
        <f t="shared" si="3"/>
        <v>4.5</v>
      </c>
      <c r="E74" s="17">
        <f>D74/B1</f>
        <v>0.225</v>
      </c>
      <c r="F74" s="16">
        <f t="shared" si="4"/>
        <v>1.8</v>
      </c>
      <c r="G74" s="17">
        <f>F74/B2</f>
        <v>0.09</v>
      </c>
      <c r="H74" s="15">
        <f t="shared" si="5"/>
        <v>3.14</v>
      </c>
      <c r="I74" s="14">
        <f>H74/B3</f>
        <v>0.157</v>
      </c>
      <c r="J74" s="2">
        <v>4.84</v>
      </c>
      <c r="K74" s="2">
        <v>0.0</v>
      </c>
      <c r="L74" s="2">
        <v>0.0</v>
      </c>
    </row>
    <row r="75">
      <c r="A75" s="12">
        <v>46016.0</v>
      </c>
      <c r="B75" s="6" t="s">
        <v>61</v>
      </c>
      <c r="C75" s="2">
        <v>0.98</v>
      </c>
      <c r="D75" s="16">
        <f t="shared" si="3"/>
        <v>3.52</v>
      </c>
      <c r="E75" s="17">
        <f>D75/B1</f>
        <v>0.176</v>
      </c>
      <c r="F75" s="16">
        <f t="shared" si="4"/>
        <v>1.8</v>
      </c>
      <c r="G75" s="17">
        <f>F75/B2</f>
        <v>0.09</v>
      </c>
      <c r="H75" s="15">
        <f t="shared" si="5"/>
        <v>3.14</v>
      </c>
      <c r="I75" s="14">
        <f>H75/B3</f>
        <v>0.157</v>
      </c>
      <c r="J75" s="2">
        <v>4.84</v>
      </c>
      <c r="K75" s="2">
        <v>0.0</v>
      </c>
      <c r="L75" s="2">
        <v>0.0</v>
      </c>
    </row>
    <row r="76">
      <c r="A76" s="12">
        <v>46016.0</v>
      </c>
      <c r="B76" s="6" t="s">
        <v>62</v>
      </c>
      <c r="C76" s="2">
        <v>0.0</v>
      </c>
      <c r="D76" s="16">
        <f t="shared" si="3"/>
        <v>3.52</v>
      </c>
      <c r="E76" s="17">
        <f>D76/B1</f>
        <v>0.176</v>
      </c>
      <c r="F76" s="16">
        <f t="shared" si="4"/>
        <v>1.8</v>
      </c>
      <c r="G76" s="17">
        <f>F76/B2</f>
        <v>0.09</v>
      </c>
      <c r="H76" s="15">
        <f t="shared" si="5"/>
        <v>3.14</v>
      </c>
      <c r="I76" s="14">
        <f>H76/B3</f>
        <v>0.157</v>
      </c>
      <c r="J76" s="2">
        <v>4.84</v>
      </c>
      <c r="K76" s="2">
        <v>0.0</v>
      </c>
      <c r="L76" s="2">
        <v>0.0</v>
      </c>
    </row>
    <row r="77">
      <c r="A77" s="12">
        <v>46016.0</v>
      </c>
      <c r="B77" s="6" t="s">
        <v>63</v>
      </c>
      <c r="C77" s="2">
        <v>0.0</v>
      </c>
      <c r="D77" s="16">
        <f t="shared" si="3"/>
        <v>3.52</v>
      </c>
      <c r="E77" s="17">
        <f>D77/B1</f>
        <v>0.176</v>
      </c>
      <c r="F77" s="16">
        <f t="shared" si="4"/>
        <v>1.8</v>
      </c>
      <c r="G77" s="17">
        <f>F77/B2</f>
        <v>0.09</v>
      </c>
      <c r="H77" s="15">
        <f t="shared" si="5"/>
        <v>3.14</v>
      </c>
      <c r="I77" s="14">
        <f>H77/B3</f>
        <v>0.157</v>
      </c>
      <c r="J77" s="2">
        <v>4.84</v>
      </c>
      <c r="K77" s="2">
        <v>0.0</v>
      </c>
      <c r="L77" s="2">
        <v>0.0</v>
      </c>
    </row>
    <row r="78">
      <c r="A78" s="12">
        <v>46017.0</v>
      </c>
      <c r="B78" s="6" t="s">
        <v>61</v>
      </c>
      <c r="C78" s="2">
        <v>1.52</v>
      </c>
      <c r="D78" s="16">
        <f t="shared" si="3"/>
        <v>2</v>
      </c>
      <c r="E78" s="17">
        <f>D78/B1</f>
        <v>0.1</v>
      </c>
      <c r="F78" s="16">
        <f t="shared" si="4"/>
        <v>1.8</v>
      </c>
      <c r="G78" s="17">
        <f>F78/B2</f>
        <v>0.09</v>
      </c>
      <c r="H78" s="15">
        <f t="shared" si="5"/>
        <v>3.14</v>
      </c>
      <c r="I78" s="14">
        <f>H78/B3</f>
        <v>0.157</v>
      </c>
      <c r="J78" s="2">
        <v>4.84</v>
      </c>
      <c r="K78" s="2">
        <v>0.0</v>
      </c>
      <c r="L78" s="2">
        <v>0.0</v>
      </c>
    </row>
    <row r="79">
      <c r="A79" s="12">
        <v>46017.0</v>
      </c>
      <c r="B79" s="6" t="s">
        <v>62</v>
      </c>
      <c r="C79" s="2">
        <v>1.8</v>
      </c>
      <c r="D79" s="16">
        <f t="shared" si="3"/>
        <v>2</v>
      </c>
      <c r="E79" s="17">
        <f>D79/B1</f>
        <v>0.1</v>
      </c>
      <c r="F79" s="16">
        <f t="shared" si="4"/>
        <v>0</v>
      </c>
      <c r="G79" s="17">
        <f>F79/B2</f>
        <v>0</v>
      </c>
      <c r="H79" s="15">
        <f t="shared" si="5"/>
        <v>3.14</v>
      </c>
      <c r="I79" s="14">
        <f>H79/B3</f>
        <v>0.157</v>
      </c>
      <c r="J79" s="2">
        <v>4.84</v>
      </c>
      <c r="K79" s="2">
        <v>0.0</v>
      </c>
      <c r="L79" s="2">
        <v>0.0</v>
      </c>
    </row>
    <row r="80">
      <c r="A80" s="12">
        <v>46017.0</v>
      </c>
      <c r="B80" s="6" t="s">
        <v>63</v>
      </c>
      <c r="C80" s="2">
        <v>1.45</v>
      </c>
      <c r="D80" s="16">
        <f t="shared" si="3"/>
        <v>2</v>
      </c>
      <c r="E80" s="17">
        <f>D80/B1</f>
        <v>0.1</v>
      </c>
      <c r="F80" s="16">
        <f t="shared" si="4"/>
        <v>0</v>
      </c>
      <c r="G80" s="17">
        <f>F80/B2</f>
        <v>0</v>
      </c>
      <c r="H80" s="15">
        <f t="shared" si="5"/>
        <v>1.69</v>
      </c>
      <c r="I80" s="14">
        <f>H80/B3</f>
        <v>0.0845</v>
      </c>
      <c r="J80" s="2">
        <v>4.84</v>
      </c>
      <c r="K80" s="2">
        <v>0.0</v>
      </c>
      <c r="L80" s="2">
        <v>0.0</v>
      </c>
    </row>
    <row r="81">
      <c r="A81" s="12">
        <v>46018.0</v>
      </c>
      <c r="B81" s="6" t="s">
        <v>61</v>
      </c>
      <c r="C81" s="2">
        <v>0.0</v>
      </c>
      <c r="D81" s="16">
        <f t="shared" si="3"/>
        <v>2</v>
      </c>
      <c r="E81" s="17">
        <f>D81/B1</f>
        <v>0.1</v>
      </c>
      <c r="F81" s="16">
        <f t="shared" si="4"/>
        <v>0</v>
      </c>
      <c r="G81" s="17">
        <f>F81/B2</f>
        <v>0</v>
      </c>
      <c r="H81" s="15">
        <f t="shared" si="5"/>
        <v>1.69</v>
      </c>
      <c r="I81" s="14">
        <f>H81/B3</f>
        <v>0.0845</v>
      </c>
      <c r="J81" s="2">
        <v>4.84</v>
      </c>
      <c r="K81" s="2">
        <v>0.0</v>
      </c>
      <c r="L81" s="2">
        <v>0.0</v>
      </c>
    </row>
    <row r="82">
      <c r="A82" s="12">
        <v>46018.0</v>
      </c>
      <c r="B82" s="6" t="s">
        <v>62</v>
      </c>
      <c r="C82" s="2">
        <v>0.0</v>
      </c>
      <c r="D82" s="16">
        <f t="shared" si="3"/>
        <v>2</v>
      </c>
      <c r="E82" s="17">
        <f>D82/B1</f>
        <v>0.1</v>
      </c>
      <c r="F82" s="16">
        <f t="shared" si="4"/>
        <v>0</v>
      </c>
      <c r="G82" s="17">
        <f>F82/B2</f>
        <v>0</v>
      </c>
      <c r="H82" s="15">
        <f t="shared" si="5"/>
        <v>1.69</v>
      </c>
      <c r="I82" s="14">
        <f>H82/B3</f>
        <v>0.0845</v>
      </c>
      <c r="J82" s="2">
        <v>4.84</v>
      </c>
      <c r="K82" s="2">
        <v>0.0</v>
      </c>
      <c r="L82" s="2">
        <v>0.0</v>
      </c>
    </row>
    <row r="83">
      <c r="A83" s="12">
        <v>46018.0</v>
      </c>
      <c r="B83" s="6" t="s">
        <v>63</v>
      </c>
      <c r="C83" s="2">
        <v>1.69</v>
      </c>
      <c r="D83" s="16">
        <f t="shared" si="3"/>
        <v>2</v>
      </c>
      <c r="E83" s="17">
        <f>D83/B1</f>
        <v>0.1</v>
      </c>
      <c r="F83" s="16">
        <f t="shared" si="4"/>
        <v>0</v>
      </c>
      <c r="G83" s="17">
        <f>F83/B2</f>
        <v>0</v>
      </c>
      <c r="H83" s="15">
        <f t="shared" si="5"/>
        <v>0</v>
      </c>
      <c r="I83" s="14">
        <f>H83/B3</f>
        <v>0</v>
      </c>
      <c r="J83" s="2">
        <v>4.84</v>
      </c>
      <c r="K83" s="2">
        <v>0.0</v>
      </c>
      <c r="L83" s="2">
        <v>0.0</v>
      </c>
    </row>
    <row r="84">
      <c r="A84" s="12">
        <v>46019.0</v>
      </c>
      <c r="B84" s="6" t="s">
        <v>61</v>
      </c>
      <c r="C84" s="2">
        <v>2.0</v>
      </c>
      <c r="D84" s="16">
        <f t="shared" si="3"/>
        <v>0</v>
      </c>
      <c r="E84" s="17">
        <f>D84/B1</f>
        <v>0</v>
      </c>
      <c r="F84" s="16">
        <f t="shared" si="4"/>
        <v>0</v>
      </c>
      <c r="G84" s="17">
        <f>F84/B2</f>
        <v>0</v>
      </c>
      <c r="H84" s="15">
        <f t="shared" si="5"/>
        <v>0</v>
      </c>
      <c r="I84" s="14">
        <f>H84/B3</f>
        <v>0</v>
      </c>
      <c r="J84" s="2">
        <v>4.84</v>
      </c>
      <c r="K84" s="2">
        <v>0.0</v>
      </c>
      <c r="L84" s="2">
        <v>0.0</v>
      </c>
    </row>
    <row r="85">
      <c r="A85" s="12">
        <v>46019.0</v>
      </c>
      <c r="B85" s="6" t="s">
        <v>62</v>
      </c>
      <c r="C85" s="2">
        <v>0.0</v>
      </c>
      <c r="D85" s="16">
        <f t="shared" si="3"/>
        <v>0</v>
      </c>
      <c r="E85" s="17">
        <f>D85/B1</f>
        <v>0</v>
      </c>
      <c r="F85" s="16">
        <f t="shared" si="4"/>
        <v>0</v>
      </c>
      <c r="G85" s="17">
        <f>F85/B2</f>
        <v>0</v>
      </c>
      <c r="H85" s="15">
        <f t="shared" si="5"/>
        <v>0</v>
      </c>
      <c r="I85" s="14">
        <f>H85/B3</f>
        <v>0</v>
      </c>
      <c r="J85" s="2">
        <v>4.84</v>
      </c>
      <c r="K85" s="2">
        <v>0.0</v>
      </c>
      <c r="L85" s="2">
        <v>0.0</v>
      </c>
    </row>
    <row r="86">
      <c r="A86" s="12">
        <v>46019.0</v>
      </c>
      <c r="B86" s="6" t="s">
        <v>63</v>
      </c>
      <c r="C86" s="2">
        <v>0.0</v>
      </c>
      <c r="D86" s="16">
        <f t="shared" si="3"/>
        <v>0</v>
      </c>
      <c r="E86" s="17">
        <f>D86/B1</f>
        <v>0</v>
      </c>
      <c r="F86" s="16">
        <f t="shared" si="4"/>
        <v>0</v>
      </c>
      <c r="G86" s="17">
        <f>F86/B2</f>
        <v>0</v>
      </c>
      <c r="H86" s="15">
        <f t="shared" si="5"/>
        <v>0</v>
      </c>
      <c r="I86" s="14">
        <f>H86/B3</f>
        <v>0</v>
      </c>
      <c r="J86" s="2">
        <v>4.84</v>
      </c>
      <c r="K86" s="2">
        <v>0.0</v>
      </c>
      <c r="L86" s="2">
        <v>0.0</v>
      </c>
    </row>
    <row r="87">
      <c r="A87" s="12">
        <v>46020.0</v>
      </c>
      <c r="B87" s="6" t="s">
        <v>61</v>
      </c>
      <c r="C87" s="2">
        <v>0.0</v>
      </c>
      <c r="D87" s="16">
        <f t="shared" si="3"/>
        <v>0</v>
      </c>
      <c r="E87" s="17">
        <f>D87/B1</f>
        <v>0</v>
      </c>
      <c r="F87" s="16">
        <f t="shared" si="4"/>
        <v>0</v>
      </c>
      <c r="G87" s="17">
        <f>F87/B2</f>
        <v>0</v>
      </c>
      <c r="H87" s="15">
        <f t="shared" si="5"/>
        <v>0</v>
      </c>
      <c r="I87" s="14">
        <f>H87/B3</f>
        <v>0</v>
      </c>
      <c r="J87" s="2">
        <v>4.84</v>
      </c>
      <c r="K87" s="2">
        <v>0.0</v>
      </c>
      <c r="L87" s="2">
        <v>0.0</v>
      </c>
    </row>
    <row r="88">
      <c r="A88" s="12">
        <v>46020.0</v>
      </c>
      <c r="B88" s="6" t="s">
        <v>62</v>
      </c>
      <c r="C88" s="2">
        <v>0.0</v>
      </c>
      <c r="D88" s="16">
        <f t="shared" si="3"/>
        <v>0</v>
      </c>
      <c r="E88" s="17">
        <f>D88/B1</f>
        <v>0</v>
      </c>
      <c r="F88" s="16">
        <f t="shared" si="4"/>
        <v>0</v>
      </c>
      <c r="G88" s="17">
        <f>F88/B2</f>
        <v>0</v>
      </c>
      <c r="H88" s="15">
        <f t="shared" si="5"/>
        <v>0</v>
      </c>
      <c r="I88" s="14">
        <f>H88/B3</f>
        <v>0</v>
      </c>
      <c r="J88" s="2">
        <v>4.84</v>
      </c>
      <c r="K88" s="2">
        <v>0.0</v>
      </c>
      <c r="L88" s="2">
        <v>0.0</v>
      </c>
    </row>
    <row r="89">
      <c r="A89" s="12">
        <v>46020.0</v>
      </c>
      <c r="B89" s="6" t="s">
        <v>63</v>
      </c>
      <c r="C89" s="2">
        <v>0.0</v>
      </c>
      <c r="D89" s="16">
        <f t="shared" si="3"/>
        <v>0</v>
      </c>
      <c r="E89" s="17">
        <f>D89/B1</f>
        <v>0</v>
      </c>
      <c r="F89" s="16">
        <f t="shared" si="4"/>
        <v>0</v>
      </c>
      <c r="G89" s="17">
        <f>F89/B2</f>
        <v>0</v>
      </c>
      <c r="H89" s="15">
        <f t="shared" si="5"/>
        <v>0</v>
      </c>
      <c r="I89" s="14">
        <f>H89/B3</f>
        <v>0</v>
      </c>
      <c r="J89" s="2">
        <v>4.84</v>
      </c>
      <c r="K89" s="2">
        <v>0.0</v>
      </c>
      <c r="L89" s="2">
        <v>0.0</v>
      </c>
    </row>
    <row r="90">
      <c r="A90" s="12">
        <v>46021.0</v>
      </c>
      <c r="B90" s="6" t="s">
        <v>61</v>
      </c>
      <c r="C90" s="2">
        <v>0.0</v>
      </c>
      <c r="D90" s="16">
        <f t="shared" si="3"/>
        <v>0</v>
      </c>
      <c r="E90" s="17">
        <f>D90/B1</f>
        <v>0</v>
      </c>
      <c r="F90" s="16">
        <f t="shared" si="4"/>
        <v>0</v>
      </c>
      <c r="G90" s="17">
        <f>F90/B2</f>
        <v>0</v>
      </c>
      <c r="H90" s="15">
        <f t="shared" si="5"/>
        <v>0</v>
      </c>
      <c r="I90" s="14">
        <f>H90/B3</f>
        <v>0</v>
      </c>
      <c r="J90" s="2">
        <v>4.84</v>
      </c>
      <c r="K90" s="2">
        <v>0.0</v>
      </c>
      <c r="L90" s="2">
        <v>0.0</v>
      </c>
    </row>
    <row r="91">
      <c r="A91" s="12">
        <v>46021.0</v>
      </c>
      <c r="B91" s="6" t="s">
        <v>62</v>
      </c>
      <c r="C91" s="2">
        <v>0.0</v>
      </c>
      <c r="D91" s="16">
        <f t="shared" si="3"/>
        <v>0</v>
      </c>
      <c r="E91" s="17">
        <f>D91/B1</f>
        <v>0</v>
      </c>
      <c r="F91" s="16">
        <f t="shared" si="4"/>
        <v>0</v>
      </c>
      <c r="G91" s="17">
        <f>F91/B2</f>
        <v>0</v>
      </c>
      <c r="H91" s="15">
        <f t="shared" si="5"/>
        <v>0</v>
      </c>
      <c r="I91" s="14">
        <f>H91/B3</f>
        <v>0</v>
      </c>
      <c r="J91" s="2">
        <v>4.84</v>
      </c>
      <c r="K91" s="2">
        <v>0.0</v>
      </c>
      <c r="L91" s="2">
        <v>0.0</v>
      </c>
    </row>
    <row r="92">
      <c r="A92" s="12">
        <v>46021.0</v>
      </c>
      <c r="B92" s="6" t="s">
        <v>63</v>
      </c>
      <c r="C92" s="2">
        <v>0.0</v>
      </c>
      <c r="D92" s="16">
        <f t="shared" si="3"/>
        <v>0</v>
      </c>
      <c r="E92" s="17">
        <f>D92/B1</f>
        <v>0</v>
      </c>
      <c r="F92" s="16">
        <f t="shared" si="4"/>
        <v>0</v>
      </c>
      <c r="G92" s="17">
        <f>F92/B2</f>
        <v>0</v>
      </c>
      <c r="H92" s="15">
        <f t="shared" si="5"/>
        <v>0</v>
      </c>
      <c r="I92" s="14">
        <f>H92/B3</f>
        <v>0</v>
      </c>
      <c r="J92" s="2">
        <v>4.84</v>
      </c>
      <c r="K92" s="2">
        <v>0.0</v>
      </c>
      <c r="L92" s="2">
        <v>0.0</v>
      </c>
    </row>
    <row r="93">
      <c r="A93" s="12">
        <v>46022.0</v>
      </c>
      <c r="B93" s="6" t="s">
        <v>61</v>
      </c>
      <c r="C93" s="2">
        <v>0.0</v>
      </c>
      <c r="D93" s="16">
        <f t="shared" si="3"/>
        <v>0</v>
      </c>
      <c r="E93" s="17">
        <f>D93/B1</f>
        <v>0</v>
      </c>
      <c r="F93" s="16">
        <f t="shared" si="4"/>
        <v>0</v>
      </c>
      <c r="G93" s="17">
        <f>F93/B2</f>
        <v>0</v>
      </c>
      <c r="H93" s="15">
        <f t="shared" si="5"/>
        <v>0</v>
      </c>
      <c r="I93" s="14">
        <f>H93/B3</f>
        <v>0</v>
      </c>
      <c r="J93" s="2">
        <v>4.84</v>
      </c>
      <c r="K93" s="2">
        <v>0.0</v>
      </c>
      <c r="L93" s="2">
        <v>0.0</v>
      </c>
    </row>
    <row r="94">
      <c r="A94" s="12">
        <v>46022.0</v>
      </c>
      <c r="B94" s="6" t="s">
        <v>62</v>
      </c>
      <c r="C94" s="2">
        <v>0.0</v>
      </c>
      <c r="D94" s="16">
        <f t="shared" si="3"/>
        <v>0</v>
      </c>
      <c r="E94" s="17">
        <f>D94/B1</f>
        <v>0</v>
      </c>
      <c r="F94" s="16">
        <f t="shared" si="4"/>
        <v>0</v>
      </c>
      <c r="G94" s="17">
        <f>F94/B2</f>
        <v>0</v>
      </c>
      <c r="H94" s="15">
        <f t="shared" si="5"/>
        <v>0</v>
      </c>
      <c r="I94" s="14">
        <f>H94/B3</f>
        <v>0</v>
      </c>
      <c r="J94" s="2">
        <v>4.84</v>
      </c>
      <c r="K94" s="2">
        <v>0.0</v>
      </c>
      <c r="L94" s="2">
        <v>0.0</v>
      </c>
    </row>
    <row r="95">
      <c r="A95" s="12">
        <v>46022.0</v>
      </c>
      <c r="B95" s="6" t="s">
        <v>63</v>
      </c>
      <c r="C95" s="2">
        <v>0.0</v>
      </c>
      <c r="D95" s="16">
        <f t="shared" si="3"/>
        <v>0</v>
      </c>
      <c r="E95" s="17">
        <f>D95/B1</f>
        <v>0</v>
      </c>
      <c r="F95" s="16">
        <f t="shared" si="4"/>
        <v>0</v>
      </c>
      <c r="G95" s="17">
        <f>F95/B2</f>
        <v>0</v>
      </c>
      <c r="H95" s="15">
        <f t="shared" si="5"/>
        <v>0</v>
      </c>
      <c r="I95" s="14">
        <f>H95/B3</f>
        <v>0</v>
      </c>
      <c r="J95" s="2">
        <v>4.84</v>
      </c>
      <c r="K95" s="2">
        <v>0.0</v>
      </c>
      <c r="L95" s="2">
        <v>0.0</v>
      </c>
    </row>
    <row r="96">
      <c r="A96" s="12">
        <v>46023.0</v>
      </c>
      <c r="B96" s="6" t="s">
        <v>61</v>
      </c>
      <c r="C96" s="2">
        <v>0.0</v>
      </c>
      <c r="D96" s="16">
        <f t="shared" si="3"/>
        <v>0</v>
      </c>
      <c r="E96" s="17">
        <f>D96/B1</f>
        <v>0</v>
      </c>
      <c r="F96" s="16">
        <f t="shared" si="4"/>
        <v>0</v>
      </c>
      <c r="G96" s="17">
        <f>F96/B2</f>
        <v>0</v>
      </c>
      <c r="H96" s="15">
        <f t="shared" si="5"/>
        <v>0</v>
      </c>
      <c r="I96" s="14">
        <f>H96/B3</f>
        <v>0</v>
      </c>
      <c r="J96" s="2">
        <v>4.84</v>
      </c>
      <c r="K96" s="2">
        <v>0.0</v>
      </c>
      <c r="L96" s="2">
        <v>0.0</v>
      </c>
    </row>
    <row r="97">
      <c r="A97" s="12">
        <v>46023.0</v>
      </c>
      <c r="B97" s="6" t="s">
        <v>62</v>
      </c>
      <c r="C97" s="2">
        <v>0.0</v>
      </c>
      <c r="D97" s="16">
        <f t="shared" si="3"/>
        <v>0</v>
      </c>
      <c r="E97" s="17">
        <f>D97/B1</f>
        <v>0</v>
      </c>
      <c r="F97" s="16">
        <f t="shared" si="4"/>
        <v>0</v>
      </c>
      <c r="G97" s="17">
        <f>F97/B2</f>
        <v>0</v>
      </c>
      <c r="H97" s="15">
        <f t="shared" si="5"/>
        <v>0</v>
      </c>
      <c r="I97" s="14">
        <f>H97/B3</f>
        <v>0</v>
      </c>
      <c r="J97" s="2">
        <v>4.84</v>
      </c>
      <c r="K97" s="2">
        <v>0.0</v>
      </c>
      <c r="L97" s="2">
        <v>0.0</v>
      </c>
    </row>
    <row r="98">
      <c r="A98" s="12">
        <v>46023.0</v>
      </c>
      <c r="B98" s="6" t="s">
        <v>63</v>
      </c>
      <c r="C98" s="2">
        <v>0.0</v>
      </c>
      <c r="D98" s="16">
        <f t="shared" si="3"/>
        <v>0</v>
      </c>
      <c r="E98" s="17">
        <f>D98/B1</f>
        <v>0</v>
      </c>
      <c r="F98" s="16">
        <f t="shared" si="4"/>
        <v>0</v>
      </c>
      <c r="G98" s="17">
        <f>F98/B2</f>
        <v>0</v>
      </c>
      <c r="H98" s="15">
        <f t="shared" si="5"/>
        <v>0</v>
      </c>
      <c r="I98" s="14">
        <f>H98/B3</f>
        <v>0</v>
      </c>
      <c r="J98" s="2">
        <v>4.84</v>
      </c>
      <c r="K98" s="2">
        <v>0.0</v>
      </c>
      <c r="L98" s="2">
        <v>0.0</v>
      </c>
    </row>
  </sheetData>
  <dataValidations>
    <dataValidation type="list" allowBlank="1" showErrorMessage="1" sqref="B6:B98">
      <formula1>"WW,FLA,MAC1+"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75"/>
    <col customWidth="1" min="2" max="2" width="22.63"/>
    <col customWidth="1" min="3" max="3" width="10.25"/>
    <col customWidth="1" min="4" max="4" width="17.0"/>
    <col customWidth="1" min="5" max="5" width="15.0"/>
    <col customWidth="1" min="6" max="6" width="17.0"/>
    <col customWidth="1" min="7" max="7" width="16.13"/>
    <col customWidth="1" min="8" max="9" width="16.38"/>
    <col customWidth="1" min="10" max="10" width="12.63"/>
    <col customWidth="1" min="11" max="11" width="14.88"/>
    <col customWidth="1" min="12" max="12" width="13.0"/>
  </cols>
  <sheetData>
    <row r="1">
      <c r="A1" s="1" t="s">
        <v>111</v>
      </c>
      <c r="B1" s="2">
        <v>20.0</v>
      </c>
      <c r="C1" s="2">
        <f>D284</f>
        <v>0</v>
      </c>
      <c r="D1" s="5">
        <f t="shared" ref="D1:D4" si="1">C1/B1</f>
        <v>0</v>
      </c>
      <c r="G1" s="1" t="s">
        <v>1</v>
      </c>
      <c r="H1" s="3">
        <f>IFERROR(__xludf.DUMMYFUNCTION("COUNTUNIQUE(A6:A284)"),93.0)</f>
        <v>93</v>
      </c>
      <c r="I1" s="3"/>
      <c r="J1" s="6"/>
      <c r="K1" s="3"/>
      <c r="L1" s="3"/>
      <c r="M1" s="7"/>
      <c r="N1" s="7"/>
    </row>
    <row r="2">
      <c r="A2" s="1" t="s">
        <v>103</v>
      </c>
      <c r="B2" s="2">
        <v>20.0</v>
      </c>
      <c r="C2" s="4">
        <f>F284</f>
        <v>0</v>
      </c>
      <c r="D2" s="5">
        <f t="shared" si="1"/>
        <v>0</v>
      </c>
      <c r="G2" s="1" t="s">
        <v>5</v>
      </c>
      <c r="H2" s="3">
        <f>(B1+B2+B3)/F4</f>
        <v>93</v>
      </c>
      <c r="I2" s="3"/>
      <c r="J2" s="3"/>
      <c r="K2" s="3"/>
      <c r="L2" s="3"/>
      <c r="M2" s="7"/>
      <c r="N2" s="7"/>
    </row>
    <row r="3">
      <c r="A3" s="1" t="s">
        <v>112</v>
      </c>
      <c r="B3" s="2">
        <v>20.0</v>
      </c>
      <c r="C3" s="4">
        <f>H284</f>
        <v>0</v>
      </c>
      <c r="D3" s="8">
        <f t="shared" si="1"/>
        <v>0</v>
      </c>
      <c r="E3" s="3"/>
      <c r="F3" s="6"/>
      <c r="G3" s="3"/>
      <c r="H3" s="3"/>
      <c r="I3" s="3"/>
      <c r="J3" s="3"/>
      <c r="K3" s="3"/>
      <c r="L3" s="3"/>
      <c r="M3" s="7"/>
      <c r="N3" s="7"/>
    </row>
    <row r="4">
      <c r="A4" s="3"/>
      <c r="B4" s="9">
        <f t="shared" ref="B4:C4" si="2">SUM(B1:B3)</f>
        <v>60</v>
      </c>
      <c r="C4" s="9">
        <f t="shared" si="2"/>
        <v>0</v>
      </c>
      <c r="D4" s="5">
        <f t="shared" si="1"/>
        <v>0</v>
      </c>
      <c r="E4" s="1" t="s">
        <v>7</v>
      </c>
      <c r="F4" s="3">
        <f>SUM(C6:C284)/H1</f>
        <v>0.6451612903</v>
      </c>
      <c r="G4" s="3"/>
      <c r="H4" s="3"/>
      <c r="I4" s="3"/>
      <c r="J4" s="3"/>
      <c r="K4" s="3"/>
      <c r="L4" s="3"/>
      <c r="M4" s="7"/>
      <c r="N4" s="7"/>
    </row>
    <row r="5">
      <c r="A5" s="10" t="s">
        <v>8</v>
      </c>
      <c r="B5" s="10" t="s">
        <v>9</v>
      </c>
      <c r="C5" s="10" t="s">
        <v>10</v>
      </c>
      <c r="D5" s="10" t="s">
        <v>113</v>
      </c>
      <c r="E5" s="10" t="s">
        <v>113</v>
      </c>
      <c r="F5" s="10" t="s">
        <v>67</v>
      </c>
      <c r="G5" s="10" t="s">
        <v>67</v>
      </c>
      <c r="H5" s="10" t="s">
        <v>114</v>
      </c>
      <c r="I5" s="10" t="s">
        <v>114</v>
      </c>
      <c r="J5" s="10" t="s">
        <v>115</v>
      </c>
      <c r="K5" s="10" t="s">
        <v>70</v>
      </c>
      <c r="L5" s="10" t="s">
        <v>116</v>
      </c>
      <c r="M5" s="7"/>
      <c r="N5" s="7"/>
    </row>
    <row r="6">
      <c r="A6" s="12">
        <v>46021.0</v>
      </c>
      <c r="B6" s="6" t="s">
        <v>61</v>
      </c>
      <c r="C6" s="2">
        <v>0.84</v>
      </c>
      <c r="D6" s="4">
        <f>IF(B6="WW",B1-C6,B1)</f>
        <v>19.16</v>
      </c>
      <c r="E6" s="13">
        <f>D6/B1</f>
        <v>0.958</v>
      </c>
      <c r="F6" s="2">
        <f>IF(B6="FLA",B2-C6,B2)</f>
        <v>20</v>
      </c>
      <c r="G6" s="14">
        <f>F6/B2</f>
        <v>1</v>
      </c>
      <c r="H6" s="15">
        <f>IF(B6="MAC1+",B3-C6,B3)</f>
        <v>20</v>
      </c>
      <c r="I6" s="14">
        <f>H6/B3</f>
        <v>1</v>
      </c>
      <c r="J6" s="2">
        <v>0.0</v>
      </c>
      <c r="K6" s="2">
        <v>0.0</v>
      </c>
      <c r="L6" s="2">
        <v>0.0</v>
      </c>
      <c r="M6" s="7"/>
      <c r="N6" s="7"/>
    </row>
    <row r="7">
      <c r="A7" s="12">
        <v>46021.0</v>
      </c>
      <c r="B7" s="6" t="s">
        <v>62</v>
      </c>
      <c r="C7" s="2">
        <v>0.0</v>
      </c>
      <c r="D7" s="16">
        <f t="shared" ref="D7:D284" si="3">IF(B7="WW",D6-C7,D6)</f>
        <v>19.16</v>
      </c>
      <c r="E7" s="17">
        <f>D7/B1</f>
        <v>0.958</v>
      </c>
      <c r="F7" s="16">
        <f t="shared" ref="F7:F284" si="4">IF(B7="FLA",F6-C7,F6)</f>
        <v>20</v>
      </c>
      <c r="G7" s="17">
        <f>F7/B2</f>
        <v>1</v>
      </c>
      <c r="H7" s="15">
        <f t="shared" ref="H7:H284" si="5">IF(B7="MAC1+",H6-C7,H6)</f>
        <v>20</v>
      </c>
      <c r="I7" s="14">
        <f>H7/B3</f>
        <v>1</v>
      </c>
      <c r="J7" s="2">
        <v>0.0</v>
      </c>
      <c r="K7" s="2">
        <v>0.0</v>
      </c>
      <c r="L7" s="2">
        <v>0.0</v>
      </c>
      <c r="M7" s="7"/>
      <c r="N7" s="7"/>
    </row>
    <row r="8">
      <c r="A8" s="12">
        <v>46021.0</v>
      </c>
      <c r="B8" s="6" t="s">
        <v>63</v>
      </c>
      <c r="C8" s="2">
        <v>4.4</v>
      </c>
      <c r="D8" s="16">
        <f t="shared" si="3"/>
        <v>19.16</v>
      </c>
      <c r="E8" s="17">
        <f>D8/B1</f>
        <v>0.958</v>
      </c>
      <c r="F8" s="16">
        <f t="shared" si="4"/>
        <v>20</v>
      </c>
      <c r="G8" s="17">
        <f>F8/B2</f>
        <v>1</v>
      </c>
      <c r="H8" s="15">
        <f t="shared" si="5"/>
        <v>15.6</v>
      </c>
      <c r="I8" s="14">
        <f>H8/B3</f>
        <v>0.78</v>
      </c>
      <c r="J8" s="2">
        <v>0.0</v>
      </c>
      <c r="K8" s="2">
        <v>0.0</v>
      </c>
      <c r="L8" s="2">
        <v>0.0</v>
      </c>
      <c r="M8" s="7"/>
      <c r="N8" s="7"/>
    </row>
    <row r="9">
      <c r="A9" s="12">
        <v>46022.0</v>
      </c>
      <c r="B9" s="6" t="s">
        <v>61</v>
      </c>
      <c r="C9" s="2">
        <v>1.37</v>
      </c>
      <c r="D9" s="16">
        <f t="shared" si="3"/>
        <v>17.79</v>
      </c>
      <c r="E9" s="17">
        <f>D9/B1</f>
        <v>0.8895</v>
      </c>
      <c r="F9" s="16">
        <f t="shared" si="4"/>
        <v>20</v>
      </c>
      <c r="G9" s="17">
        <f>F9/B2</f>
        <v>1</v>
      </c>
      <c r="H9" s="15">
        <f t="shared" si="5"/>
        <v>15.6</v>
      </c>
      <c r="I9" s="14">
        <f>H9/B3</f>
        <v>0.78</v>
      </c>
      <c r="J9" s="2">
        <v>0.0</v>
      </c>
      <c r="K9" s="2">
        <v>0.0</v>
      </c>
      <c r="L9" s="2">
        <v>0.0</v>
      </c>
      <c r="M9" s="7"/>
      <c r="N9" s="7"/>
    </row>
    <row r="10">
      <c r="A10" s="12">
        <v>46022.0</v>
      </c>
      <c r="B10" s="6" t="s">
        <v>62</v>
      </c>
      <c r="C10" s="2">
        <v>0.0</v>
      </c>
      <c r="D10" s="16">
        <f t="shared" si="3"/>
        <v>17.79</v>
      </c>
      <c r="E10" s="17">
        <f>D10/B1</f>
        <v>0.8895</v>
      </c>
      <c r="F10" s="16">
        <f t="shared" si="4"/>
        <v>20</v>
      </c>
      <c r="G10" s="17">
        <f>F10/B2</f>
        <v>1</v>
      </c>
      <c r="H10" s="15">
        <f t="shared" si="5"/>
        <v>15.6</v>
      </c>
      <c r="I10" s="14">
        <f>H10/B3</f>
        <v>0.78</v>
      </c>
      <c r="J10" s="2">
        <v>0.0</v>
      </c>
      <c r="K10" s="2">
        <v>0.0</v>
      </c>
      <c r="L10" s="2">
        <v>0.0</v>
      </c>
      <c r="M10" s="7"/>
      <c r="N10" s="7"/>
    </row>
    <row r="11">
      <c r="A11" s="12">
        <v>46022.0</v>
      </c>
      <c r="B11" s="6" t="s">
        <v>63</v>
      </c>
      <c r="C11" s="2">
        <v>1.37</v>
      </c>
      <c r="D11" s="16">
        <f t="shared" si="3"/>
        <v>17.79</v>
      </c>
      <c r="E11" s="17">
        <f>D11/B1</f>
        <v>0.8895</v>
      </c>
      <c r="F11" s="16">
        <f t="shared" si="4"/>
        <v>20</v>
      </c>
      <c r="G11" s="17">
        <f>F11/B2</f>
        <v>1</v>
      </c>
      <c r="H11" s="15">
        <f t="shared" si="5"/>
        <v>14.23</v>
      </c>
      <c r="I11" s="14">
        <f>H11/B3</f>
        <v>0.7115</v>
      </c>
      <c r="J11" s="2">
        <v>0.0</v>
      </c>
      <c r="K11" s="2">
        <v>0.0</v>
      </c>
      <c r="L11" s="2">
        <v>0.0</v>
      </c>
      <c r="M11" s="7"/>
      <c r="N11" s="7"/>
    </row>
    <row r="12">
      <c r="A12" s="12">
        <v>46023.0</v>
      </c>
      <c r="B12" s="6" t="s">
        <v>61</v>
      </c>
      <c r="C12" s="2">
        <v>0.0</v>
      </c>
      <c r="D12" s="16">
        <f t="shared" si="3"/>
        <v>17.79</v>
      </c>
      <c r="E12" s="17">
        <f>D12/B1</f>
        <v>0.8895</v>
      </c>
      <c r="F12" s="16">
        <f t="shared" si="4"/>
        <v>20</v>
      </c>
      <c r="G12" s="17">
        <f>F12/B2</f>
        <v>1</v>
      </c>
      <c r="H12" s="15">
        <f t="shared" si="5"/>
        <v>14.23</v>
      </c>
      <c r="I12" s="14">
        <f>H12/B3</f>
        <v>0.7115</v>
      </c>
      <c r="J12" s="2">
        <v>0.0</v>
      </c>
      <c r="K12" s="2">
        <v>0.0</v>
      </c>
      <c r="L12" s="2">
        <v>0.0</v>
      </c>
      <c r="M12" s="7"/>
      <c r="N12" s="7"/>
    </row>
    <row r="13">
      <c r="A13" s="12">
        <v>46023.0</v>
      </c>
      <c r="B13" s="6" t="s">
        <v>62</v>
      </c>
      <c r="C13" s="2">
        <v>1.0</v>
      </c>
      <c r="D13" s="16">
        <f t="shared" si="3"/>
        <v>17.79</v>
      </c>
      <c r="E13" s="17">
        <f>D13/B1</f>
        <v>0.8895</v>
      </c>
      <c r="F13" s="16">
        <f t="shared" si="4"/>
        <v>19</v>
      </c>
      <c r="G13" s="17">
        <f>F13/B2</f>
        <v>0.95</v>
      </c>
      <c r="H13" s="15">
        <f t="shared" si="5"/>
        <v>14.23</v>
      </c>
      <c r="I13" s="14">
        <f>H13/B3</f>
        <v>0.7115</v>
      </c>
      <c r="J13" s="2">
        <v>0.0</v>
      </c>
      <c r="K13" s="2">
        <v>0.0</v>
      </c>
      <c r="L13" s="2">
        <v>0.0</v>
      </c>
      <c r="M13" s="7"/>
      <c r="N13" s="7"/>
    </row>
    <row r="14">
      <c r="A14" s="12">
        <v>46023.0</v>
      </c>
      <c r="B14" s="6" t="s">
        <v>63</v>
      </c>
      <c r="C14" s="2">
        <v>1.0</v>
      </c>
      <c r="D14" s="16">
        <f t="shared" si="3"/>
        <v>17.79</v>
      </c>
      <c r="E14" s="17">
        <f>D14/B1</f>
        <v>0.8895</v>
      </c>
      <c r="F14" s="16">
        <f t="shared" si="4"/>
        <v>19</v>
      </c>
      <c r="G14" s="17">
        <f>F14/B2</f>
        <v>0.95</v>
      </c>
      <c r="H14" s="15">
        <f t="shared" si="5"/>
        <v>13.23</v>
      </c>
      <c r="I14" s="14">
        <f>H14/B3</f>
        <v>0.6615</v>
      </c>
      <c r="J14" s="2">
        <v>0.0</v>
      </c>
      <c r="K14" s="2">
        <v>0.0</v>
      </c>
      <c r="L14" s="2">
        <v>0.0</v>
      </c>
      <c r="M14" s="7"/>
      <c r="N14" s="7"/>
    </row>
    <row r="15">
      <c r="A15" s="12">
        <v>46024.0</v>
      </c>
      <c r="B15" s="6" t="s">
        <v>61</v>
      </c>
      <c r="C15" s="2">
        <v>0.0</v>
      </c>
      <c r="D15" s="16">
        <f t="shared" si="3"/>
        <v>17.79</v>
      </c>
      <c r="E15" s="17">
        <f>D15/B1</f>
        <v>0.8895</v>
      </c>
      <c r="F15" s="16">
        <f t="shared" si="4"/>
        <v>19</v>
      </c>
      <c r="G15" s="17">
        <f>F15/B2</f>
        <v>0.95</v>
      </c>
      <c r="H15" s="15">
        <f t="shared" si="5"/>
        <v>13.23</v>
      </c>
      <c r="I15" s="14">
        <f>H15/B3</f>
        <v>0.6615</v>
      </c>
      <c r="J15" s="2">
        <v>0.0</v>
      </c>
      <c r="K15" s="2">
        <v>0.0</v>
      </c>
      <c r="L15" s="2">
        <v>0.0</v>
      </c>
      <c r="M15" s="7"/>
      <c r="N15" s="7"/>
    </row>
    <row r="16">
      <c r="A16" s="12">
        <v>46024.0</v>
      </c>
      <c r="B16" s="6" t="s">
        <v>62</v>
      </c>
      <c r="C16" s="2">
        <v>0.0</v>
      </c>
      <c r="D16" s="16">
        <f t="shared" si="3"/>
        <v>17.79</v>
      </c>
      <c r="E16" s="17">
        <f>D16/B1</f>
        <v>0.8895</v>
      </c>
      <c r="F16" s="16">
        <f t="shared" si="4"/>
        <v>19</v>
      </c>
      <c r="G16" s="17">
        <f>F16/B2</f>
        <v>0.95</v>
      </c>
      <c r="H16" s="15">
        <f t="shared" si="5"/>
        <v>13.23</v>
      </c>
      <c r="I16" s="14">
        <f>H16/B3</f>
        <v>0.6615</v>
      </c>
      <c r="J16" s="2">
        <v>0.0</v>
      </c>
      <c r="K16" s="2">
        <v>0.0</v>
      </c>
      <c r="L16" s="2">
        <v>0.0</v>
      </c>
      <c r="M16" s="7"/>
      <c r="N16" s="7"/>
    </row>
    <row r="17">
      <c r="A17" s="12">
        <v>46024.0</v>
      </c>
      <c r="B17" s="6" t="s">
        <v>63</v>
      </c>
      <c r="C17" s="2">
        <v>0.0</v>
      </c>
      <c r="D17" s="16">
        <f t="shared" si="3"/>
        <v>17.79</v>
      </c>
      <c r="E17" s="17">
        <f>D17/B1</f>
        <v>0.8895</v>
      </c>
      <c r="F17" s="16">
        <f t="shared" si="4"/>
        <v>19</v>
      </c>
      <c r="G17" s="17">
        <f>F17/B2</f>
        <v>0.95</v>
      </c>
      <c r="H17" s="15">
        <f t="shared" si="5"/>
        <v>13.23</v>
      </c>
      <c r="I17" s="14">
        <f>H17/B3</f>
        <v>0.6615</v>
      </c>
      <c r="J17" s="2">
        <v>0.0</v>
      </c>
      <c r="K17" s="2">
        <v>0.0</v>
      </c>
      <c r="L17" s="2">
        <v>0.0</v>
      </c>
      <c r="M17" s="7"/>
      <c r="N17" s="7"/>
    </row>
    <row r="18">
      <c r="A18" s="12">
        <v>46025.0</v>
      </c>
      <c r="B18" s="6" t="s">
        <v>61</v>
      </c>
      <c r="C18" s="2">
        <v>0.0</v>
      </c>
      <c r="D18" s="16">
        <f t="shared" si="3"/>
        <v>17.79</v>
      </c>
      <c r="E18" s="17">
        <f>D18/B1</f>
        <v>0.8895</v>
      </c>
      <c r="F18" s="16">
        <f t="shared" si="4"/>
        <v>19</v>
      </c>
      <c r="G18" s="17">
        <f>F18/B2</f>
        <v>0.95</v>
      </c>
      <c r="H18" s="15">
        <f t="shared" si="5"/>
        <v>13.23</v>
      </c>
      <c r="I18" s="14">
        <f>H18/B3</f>
        <v>0.6615</v>
      </c>
      <c r="J18" s="2">
        <v>0.0</v>
      </c>
      <c r="K18" s="2">
        <v>0.0</v>
      </c>
      <c r="L18" s="2">
        <v>0.0</v>
      </c>
      <c r="M18" s="7"/>
      <c r="N18" s="7"/>
    </row>
    <row r="19">
      <c r="A19" s="12">
        <v>46025.0</v>
      </c>
      <c r="B19" s="6" t="s">
        <v>62</v>
      </c>
      <c r="C19" s="2">
        <v>0.0</v>
      </c>
      <c r="D19" s="16">
        <f t="shared" si="3"/>
        <v>17.79</v>
      </c>
      <c r="E19" s="17">
        <f>D19/B1</f>
        <v>0.8895</v>
      </c>
      <c r="F19" s="16">
        <f t="shared" si="4"/>
        <v>19</v>
      </c>
      <c r="G19" s="17">
        <f>F19/B2</f>
        <v>0.95</v>
      </c>
      <c r="H19" s="15">
        <f t="shared" si="5"/>
        <v>13.23</v>
      </c>
      <c r="I19" s="14">
        <f>H19/B3</f>
        <v>0.6615</v>
      </c>
      <c r="J19" s="2">
        <v>0.0</v>
      </c>
      <c r="K19" s="2">
        <v>0.0</v>
      </c>
      <c r="L19" s="2">
        <v>0.0</v>
      </c>
      <c r="M19" s="7"/>
      <c r="N19" s="7"/>
    </row>
    <row r="20">
      <c r="A20" s="12">
        <v>46025.0</v>
      </c>
      <c r="B20" s="6" t="s">
        <v>63</v>
      </c>
      <c r="C20" s="2">
        <v>0.0</v>
      </c>
      <c r="D20" s="16">
        <f t="shared" si="3"/>
        <v>17.79</v>
      </c>
      <c r="E20" s="17">
        <f>D20/B1</f>
        <v>0.8895</v>
      </c>
      <c r="F20" s="16">
        <f t="shared" si="4"/>
        <v>19</v>
      </c>
      <c r="G20" s="17">
        <f>F20/B2</f>
        <v>0.95</v>
      </c>
      <c r="H20" s="15">
        <f t="shared" si="5"/>
        <v>13.23</v>
      </c>
      <c r="I20" s="14">
        <f>H20/B3</f>
        <v>0.6615</v>
      </c>
      <c r="J20" s="2">
        <v>0.0</v>
      </c>
      <c r="K20" s="2">
        <v>0.0</v>
      </c>
      <c r="L20" s="2">
        <v>0.0</v>
      </c>
      <c r="M20" s="7"/>
      <c r="N20" s="7"/>
    </row>
    <row r="21">
      <c r="A21" s="12">
        <v>46026.0</v>
      </c>
      <c r="B21" s="6" t="s">
        <v>61</v>
      </c>
      <c r="C21" s="2">
        <v>1.34</v>
      </c>
      <c r="D21" s="16">
        <f t="shared" si="3"/>
        <v>16.45</v>
      </c>
      <c r="E21" s="17">
        <f>D21/B1</f>
        <v>0.8225</v>
      </c>
      <c r="F21" s="16">
        <f t="shared" si="4"/>
        <v>19</v>
      </c>
      <c r="G21" s="17">
        <f>F21/B2</f>
        <v>0.95</v>
      </c>
      <c r="H21" s="15">
        <f t="shared" si="5"/>
        <v>13.23</v>
      </c>
      <c r="I21" s="14">
        <f>H21/B3</f>
        <v>0.6615</v>
      </c>
      <c r="J21" s="2">
        <v>0.0</v>
      </c>
      <c r="K21" s="2">
        <v>0.0</v>
      </c>
      <c r="L21" s="2">
        <v>0.0</v>
      </c>
      <c r="M21" s="7"/>
      <c r="N21" s="7"/>
    </row>
    <row r="22">
      <c r="A22" s="12">
        <v>46026.0</v>
      </c>
      <c r="B22" s="6" t="s">
        <v>62</v>
      </c>
      <c r="C22" s="2">
        <v>1.39</v>
      </c>
      <c r="D22" s="16">
        <f t="shared" si="3"/>
        <v>16.45</v>
      </c>
      <c r="E22" s="17">
        <f>D22/B1</f>
        <v>0.8225</v>
      </c>
      <c r="F22" s="16">
        <f t="shared" si="4"/>
        <v>17.61</v>
      </c>
      <c r="G22" s="17">
        <f>F22/B2</f>
        <v>0.8805</v>
      </c>
      <c r="H22" s="15">
        <f t="shared" si="5"/>
        <v>13.23</v>
      </c>
      <c r="I22" s="14">
        <f>H22/B3</f>
        <v>0.6615</v>
      </c>
      <c r="J22" s="2">
        <v>0.0</v>
      </c>
      <c r="K22" s="2">
        <v>0.0</v>
      </c>
      <c r="L22" s="2">
        <v>0.0</v>
      </c>
      <c r="M22" s="7"/>
      <c r="N22" s="7"/>
    </row>
    <row r="23">
      <c r="A23" s="12">
        <v>46026.0</v>
      </c>
      <c r="B23" s="6" t="s">
        <v>63</v>
      </c>
      <c r="C23" s="2">
        <v>0.0</v>
      </c>
      <c r="D23" s="16">
        <f t="shared" si="3"/>
        <v>16.45</v>
      </c>
      <c r="E23" s="17">
        <f>D23/B1</f>
        <v>0.8225</v>
      </c>
      <c r="F23" s="16">
        <f t="shared" si="4"/>
        <v>17.61</v>
      </c>
      <c r="G23" s="17">
        <f>F23/B2</f>
        <v>0.8805</v>
      </c>
      <c r="H23" s="15">
        <f t="shared" si="5"/>
        <v>13.23</v>
      </c>
      <c r="I23" s="14">
        <f>H23/B3</f>
        <v>0.6615</v>
      </c>
      <c r="J23" s="2">
        <v>0.0</v>
      </c>
      <c r="K23" s="2">
        <v>0.0</v>
      </c>
      <c r="L23" s="2">
        <v>0.0</v>
      </c>
      <c r="M23" s="7"/>
      <c r="N23" s="7"/>
    </row>
    <row r="24">
      <c r="A24" s="12">
        <v>46027.0</v>
      </c>
      <c r="B24" s="6" t="s">
        <v>61</v>
      </c>
      <c r="C24" s="2">
        <v>0.0</v>
      </c>
      <c r="D24" s="16">
        <f t="shared" si="3"/>
        <v>16.45</v>
      </c>
      <c r="E24" s="17">
        <f>D24/B1</f>
        <v>0.8225</v>
      </c>
      <c r="F24" s="16">
        <f t="shared" si="4"/>
        <v>17.61</v>
      </c>
      <c r="G24" s="17">
        <f>F24/B2</f>
        <v>0.8805</v>
      </c>
      <c r="H24" s="15">
        <f t="shared" si="5"/>
        <v>13.23</v>
      </c>
      <c r="I24" s="14">
        <f>H24/B3</f>
        <v>0.6615</v>
      </c>
      <c r="J24" s="2">
        <v>0.0</v>
      </c>
      <c r="K24" s="2">
        <v>0.0</v>
      </c>
      <c r="L24" s="2">
        <v>0.0</v>
      </c>
      <c r="M24" s="7"/>
      <c r="N24" s="7"/>
    </row>
    <row r="25">
      <c r="A25" s="12">
        <v>46027.0</v>
      </c>
      <c r="B25" s="6" t="s">
        <v>62</v>
      </c>
      <c r="C25" s="2">
        <v>0.0</v>
      </c>
      <c r="D25" s="16">
        <f t="shared" si="3"/>
        <v>16.45</v>
      </c>
      <c r="E25" s="17">
        <f>D25/B1</f>
        <v>0.8225</v>
      </c>
      <c r="F25" s="16">
        <f t="shared" si="4"/>
        <v>17.61</v>
      </c>
      <c r="G25" s="17">
        <f>F25/B2</f>
        <v>0.8805</v>
      </c>
      <c r="H25" s="15">
        <f t="shared" si="5"/>
        <v>13.23</v>
      </c>
      <c r="I25" s="14">
        <f>H25/B3</f>
        <v>0.6615</v>
      </c>
      <c r="J25" s="2">
        <v>0.0</v>
      </c>
      <c r="K25" s="2">
        <v>0.0</v>
      </c>
      <c r="L25" s="2">
        <v>0.0</v>
      </c>
      <c r="M25" s="7"/>
      <c r="N25" s="7"/>
    </row>
    <row r="26">
      <c r="A26" s="12">
        <v>46027.0</v>
      </c>
      <c r="B26" s="6" t="s">
        <v>63</v>
      </c>
      <c r="C26" s="2">
        <v>0.0</v>
      </c>
      <c r="D26" s="16">
        <f t="shared" si="3"/>
        <v>16.45</v>
      </c>
      <c r="E26" s="17">
        <f>D26/B1</f>
        <v>0.8225</v>
      </c>
      <c r="F26" s="16">
        <f t="shared" si="4"/>
        <v>17.61</v>
      </c>
      <c r="G26" s="17">
        <f>F26/B2</f>
        <v>0.8805</v>
      </c>
      <c r="H26" s="15">
        <f t="shared" si="5"/>
        <v>13.23</v>
      </c>
      <c r="I26" s="14">
        <f>H26/B3</f>
        <v>0.6615</v>
      </c>
      <c r="J26" s="2">
        <v>0.0</v>
      </c>
      <c r="K26" s="2">
        <v>0.0</v>
      </c>
      <c r="L26" s="2">
        <v>0.0</v>
      </c>
      <c r="M26" s="7"/>
      <c r="N26" s="7"/>
    </row>
    <row r="27">
      <c r="A27" s="12">
        <v>46028.0</v>
      </c>
      <c r="B27" s="6" t="s">
        <v>61</v>
      </c>
      <c r="C27" s="2">
        <v>0.0</v>
      </c>
      <c r="D27" s="16">
        <f t="shared" si="3"/>
        <v>16.45</v>
      </c>
      <c r="E27" s="17">
        <f>D27/B1</f>
        <v>0.8225</v>
      </c>
      <c r="F27" s="16">
        <f t="shared" si="4"/>
        <v>17.61</v>
      </c>
      <c r="G27" s="17">
        <f>F27/B2</f>
        <v>0.8805</v>
      </c>
      <c r="H27" s="15">
        <f t="shared" si="5"/>
        <v>13.23</v>
      </c>
      <c r="I27" s="14">
        <f>H27/B3</f>
        <v>0.6615</v>
      </c>
      <c r="J27" s="2">
        <v>0.0</v>
      </c>
      <c r="K27" s="2">
        <v>0.0</v>
      </c>
      <c r="L27" s="2">
        <v>0.0</v>
      </c>
      <c r="M27" s="7"/>
      <c r="N27" s="7"/>
    </row>
    <row r="28">
      <c r="A28" s="12">
        <v>46028.0</v>
      </c>
      <c r="B28" s="6" t="s">
        <v>62</v>
      </c>
      <c r="C28" s="2">
        <v>0.0</v>
      </c>
      <c r="D28" s="16">
        <f t="shared" si="3"/>
        <v>16.45</v>
      </c>
      <c r="E28" s="17">
        <f>D28/B1</f>
        <v>0.8225</v>
      </c>
      <c r="F28" s="16">
        <f t="shared" si="4"/>
        <v>17.61</v>
      </c>
      <c r="G28" s="17">
        <f>F28/B2</f>
        <v>0.8805</v>
      </c>
      <c r="H28" s="15">
        <f t="shared" si="5"/>
        <v>13.23</v>
      </c>
      <c r="I28" s="14">
        <f>H28/B3</f>
        <v>0.6615</v>
      </c>
      <c r="J28" s="2">
        <v>0.0</v>
      </c>
      <c r="K28" s="2">
        <v>0.0</v>
      </c>
      <c r="L28" s="2">
        <v>0.0</v>
      </c>
      <c r="M28" s="7"/>
      <c r="N28" s="7"/>
    </row>
    <row r="29">
      <c r="A29" s="12">
        <v>46028.0</v>
      </c>
      <c r="B29" s="6" t="s">
        <v>63</v>
      </c>
      <c r="C29" s="2">
        <v>0.0</v>
      </c>
      <c r="D29" s="16">
        <f t="shared" si="3"/>
        <v>16.45</v>
      </c>
      <c r="E29" s="17">
        <f>D29/B1</f>
        <v>0.8225</v>
      </c>
      <c r="F29" s="16">
        <f t="shared" si="4"/>
        <v>17.61</v>
      </c>
      <c r="G29" s="17">
        <f>F29/B2</f>
        <v>0.8805</v>
      </c>
      <c r="H29" s="15">
        <f t="shared" si="5"/>
        <v>13.23</v>
      </c>
      <c r="I29" s="14">
        <f>H29/B3</f>
        <v>0.6615</v>
      </c>
      <c r="J29" s="2">
        <v>0.0</v>
      </c>
      <c r="K29" s="2">
        <v>0.0</v>
      </c>
      <c r="L29" s="2">
        <v>0.0</v>
      </c>
      <c r="M29" s="7"/>
      <c r="N29" s="7"/>
    </row>
    <row r="30">
      <c r="A30" s="12">
        <v>46029.0</v>
      </c>
      <c r="B30" s="6" t="s">
        <v>61</v>
      </c>
      <c r="C30" s="2">
        <v>0.0</v>
      </c>
      <c r="D30" s="16">
        <f t="shared" si="3"/>
        <v>16.45</v>
      </c>
      <c r="E30" s="17">
        <f>D30/B1</f>
        <v>0.8225</v>
      </c>
      <c r="F30" s="16">
        <f t="shared" si="4"/>
        <v>17.61</v>
      </c>
      <c r="G30" s="17">
        <f>F30/B2</f>
        <v>0.8805</v>
      </c>
      <c r="H30" s="15">
        <f t="shared" si="5"/>
        <v>13.23</v>
      </c>
      <c r="I30" s="14">
        <f>H30/B3</f>
        <v>0.6615</v>
      </c>
      <c r="J30" s="2">
        <v>0.0</v>
      </c>
      <c r="K30" s="2">
        <v>0.0</v>
      </c>
      <c r="L30" s="2">
        <v>0.0</v>
      </c>
      <c r="M30" s="7"/>
      <c r="N30" s="7"/>
    </row>
    <row r="31">
      <c r="A31" s="12">
        <v>46029.0</v>
      </c>
      <c r="B31" s="6" t="s">
        <v>62</v>
      </c>
      <c r="C31" s="2">
        <v>0.0</v>
      </c>
      <c r="D31" s="16">
        <f t="shared" si="3"/>
        <v>16.45</v>
      </c>
      <c r="E31" s="17">
        <f>D31/B1</f>
        <v>0.8225</v>
      </c>
      <c r="F31" s="16">
        <f t="shared" si="4"/>
        <v>17.61</v>
      </c>
      <c r="G31" s="17">
        <f>F31/B2</f>
        <v>0.8805</v>
      </c>
      <c r="H31" s="15">
        <f t="shared" si="5"/>
        <v>13.23</v>
      </c>
      <c r="I31" s="14">
        <f>H31/B3</f>
        <v>0.6615</v>
      </c>
      <c r="J31" s="2">
        <v>0.0</v>
      </c>
      <c r="K31" s="2">
        <v>0.0</v>
      </c>
      <c r="L31" s="2">
        <v>0.0</v>
      </c>
      <c r="M31" s="7"/>
      <c r="N31" s="7"/>
    </row>
    <row r="32">
      <c r="A32" s="12">
        <v>46029.0</v>
      </c>
      <c r="B32" s="6" t="s">
        <v>63</v>
      </c>
      <c r="C32" s="2">
        <v>0.0</v>
      </c>
      <c r="D32" s="16">
        <f t="shared" si="3"/>
        <v>16.45</v>
      </c>
      <c r="E32" s="17">
        <f>D32/B1</f>
        <v>0.8225</v>
      </c>
      <c r="F32" s="16">
        <f t="shared" si="4"/>
        <v>17.61</v>
      </c>
      <c r="G32" s="17">
        <f>F32/B2</f>
        <v>0.8805</v>
      </c>
      <c r="H32" s="15">
        <f t="shared" si="5"/>
        <v>13.23</v>
      </c>
      <c r="I32" s="14">
        <f>H32/B3</f>
        <v>0.6615</v>
      </c>
      <c r="J32" s="2">
        <v>0.0</v>
      </c>
      <c r="K32" s="2">
        <v>0.0</v>
      </c>
      <c r="L32" s="2">
        <v>0.0</v>
      </c>
      <c r="M32" s="7"/>
      <c r="N32" s="7"/>
    </row>
    <row r="33">
      <c r="A33" s="12">
        <v>46030.0</v>
      </c>
      <c r="B33" s="6" t="s">
        <v>61</v>
      </c>
      <c r="C33" s="2">
        <v>0.0</v>
      </c>
      <c r="D33" s="16">
        <f t="shared" si="3"/>
        <v>16.45</v>
      </c>
      <c r="E33" s="17">
        <f>D33/B1</f>
        <v>0.8225</v>
      </c>
      <c r="F33" s="16">
        <f t="shared" si="4"/>
        <v>17.61</v>
      </c>
      <c r="G33" s="17">
        <f>F33/B2</f>
        <v>0.8805</v>
      </c>
      <c r="H33" s="15">
        <f t="shared" si="5"/>
        <v>13.23</v>
      </c>
      <c r="I33" s="14">
        <f>H33/B3</f>
        <v>0.6615</v>
      </c>
      <c r="J33" s="2">
        <v>0.0</v>
      </c>
      <c r="K33" s="2">
        <v>0.0</v>
      </c>
      <c r="L33" s="2">
        <v>0.0</v>
      </c>
      <c r="M33" s="7"/>
      <c r="N33" s="7"/>
    </row>
    <row r="34">
      <c r="A34" s="12">
        <v>46030.0</v>
      </c>
      <c r="B34" s="6" t="s">
        <v>62</v>
      </c>
      <c r="C34" s="2">
        <v>0.0</v>
      </c>
      <c r="D34" s="16">
        <f t="shared" si="3"/>
        <v>16.45</v>
      </c>
      <c r="E34" s="17">
        <f>D34/B1</f>
        <v>0.8225</v>
      </c>
      <c r="F34" s="16">
        <f t="shared" si="4"/>
        <v>17.61</v>
      </c>
      <c r="G34" s="17">
        <f>F34/B2</f>
        <v>0.8805</v>
      </c>
      <c r="H34" s="15">
        <f t="shared" si="5"/>
        <v>13.23</v>
      </c>
      <c r="I34" s="14">
        <f>H34/B3</f>
        <v>0.6615</v>
      </c>
      <c r="J34" s="2">
        <v>0.0</v>
      </c>
      <c r="K34" s="2">
        <v>0.0</v>
      </c>
      <c r="L34" s="2">
        <v>0.0</v>
      </c>
      <c r="M34" s="7"/>
      <c r="N34" s="7"/>
    </row>
    <row r="35">
      <c r="A35" s="12">
        <v>46030.0</v>
      </c>
      <c r="B35" s="6" t="s">
        <v>63</v>
      </c>
      <c r="C35" s="2">
        <v>0.0</v>
      </c>
      <c r="D35" s="16">
        <f t="shared" si="3"/>
        <v>16.45</v>
      </c>
      <c r="E35" s="17">
        <f>D35/B1</f>
        <v>0.8225</v>
      </c>
      <c r="F35" s="16">
        <f t="shared" si="4"/>
        <v>17.61</v>
      </c>
      <c r="G35" s="17">
        <f>F35/B2</f>
        <v>0.8805</v>
      </c>
      <c r="H35" s="15">
        <f t="shared" si="5"/>
        <v>13.23</v>
      </c>
      <c r="I35" s="14">
        <f>H35/B3</f>
        <v>0.6615</v>
      </c>
      <c r="J35" s="2">
        <v>0.0</v>
      </c>
      <c r="K35" s="2">
        <v>0.0</v>
      </c>
      <c r="L35" s="2">
        <v>0.0</v>
      </c>
      <c r="M35" s="7"/>
      <c r="N35" s="7"/>
    </row>
    <row r="36">
      <c r="A36" s="12">
        <v>46031.0</v>
      </c>
      <c r="B36" s="6" t="s">
        <v>61</v>
      </c>
      <c r="C36" s="2">
        <v>1.46</v>
      </c>
      <c r="D36" s="16">
        <f t="shared" si="3"/>
        <v>14.99</v>
      </c>
      <c r="E36" s="17">
        <f>D36/B1</f>
        <v>0.7495</v>
      </c>
      <c r="F36" s="16">
        <f t="shared" si="4"/>
        <v>17.61</v>
      </c>
      <c r="G36" s="17">
        <f>F36/B2</f>
        <v>0.8805</v>
      </c>
      <c r="H36" s="15">
        <f t="shared" si="5"/>
        <v>13.23</v>
      </c>
      <c r="I36" s="14">
        <f>H36/B3</f>
        <v>0.6615</v>
      </c>
      <c r="J36" s="2">
        <v>0.0</v>
      </c>
      <c r="K36" s="2">
        <v>0.0</v>
      </c>
      <c r="L36" s="2">
        <v>0.0</v>
      </c>
      <c r="M36" s="7"/>
      <c r="N36" s="7"/>
    </row>
    <row r="37">
      <c r="A37" s="12">
        <v>46031.0</v>
      </c>
      <c r="B37" s="6" t="s">
        <v>62</v>
      </c>
      <c r="C37" s="2">
        <v>0.0</v>
      </c>
      <c r="D37" s="16">
        <f t="shared" si="3"/>
        <v>14.99</v>
      </c>
      <c r="E37" s="17">
        <f>D37/B1</f>
        <v>0.7495</v>
      </c>
      <c r="F37" s="16">
        <f t="shared" si="4"/>
        <v>17.61</v>
      </c>
      <c r="G37" s="17">
        <f>F37/B2</f>
        <v>0.8805</v>
      </c>
      <c r="H37" s="15">
        <f t="shared" si="5"/>
        <v>13.23</v>
      </c>
      <c r="I37" s="14">
        <f>H37/B3</f>
        <v>0.6615</v>
      </c>
      <c r="J37" s="2">
        <v>0.0</v>
      </c>
      <c r="K37" s="2">
        <v>0.0</v>
      </c>
      <c r="L37" s="2">
        <v>0.0</v>
      </c>
      <c r="M37" s="7"/>
      <c r="N37" s="7"/>
    </row>
    <row r="38">
      <c r="A38" s="12">
        <v>46031.0</v>
      </c>
      <c r="B38" s="6" t="s">
        <v>63</v>
      </c>
      <c r="C38" s="2">
        <v>1.39</v>
      </c>
      <c r="D38" s="16">
        <f t="shared" si="3"/>
        <v>14.99</v>
      </c>
      <c r="E38" s="17">
        <f>D38/B1</f>
        <v>0.7495</v>
      </c>
      <c r="F38" s="16">
        <f t="shared" si="4"/>
        <v>17.61</v>
      </c>
      <c r="G38" s="17">
        <f>F38/B2</f>
        <v>0.8805</v>
      </c>
      <c r="H38" s="15">
        <f t="shared" si="5"/>
        <v>11.84</v>
      </c>
      <c r="I38" s="14">
        <f>H38/B3</f>
        <v>0.592</v>
      </c>
      <c r="J38" s="2">
        <v>0.0</v>
      </c>
      <c r="K38" s="2">
        <v>0.0</v>
      </c>
      <c r="L38" s="2">
        <v>0.0</v>
      </c>
      <c r="M38" s="7"/>
      <c r="N38" s="7"/>
    </row>
    <row r="39">
      <c r="A39" s="12">
        <v>46032.0</v>
      </c>
      <c r="B39" s="6" t="s">
        <v>61</v>
      </c>
      <c r="C39" s="2">
        <v>0.0</v>
      </c>
      <c r="D39" s="16">
        <f t="shared" si="3"/>
        <v>14.99</v>
      </c>
      <c r="E39" s="17">
        <f>D39/B1</f>
        <v>0.7495</v>
      </c>
      <c r="F39" s="16">
        <f t="shared" si="4"/>
        <v>17.61</v>
      </c>
      <c r="G39" s="17">
        <f>F39/B2</f>
        <v>0.8805</v>
      </c>
      <c r="H39" s="15">
        <f t="shared" si="5"/>
        <v>11.84</v>
      </c>
      <c r="I39" s="14">
        <f>H39/B3</f>
        <v>0.592</v>
      </c>
      <c r="J39" s="2">
        <v>0.0</v>
      </c>
      <c r="K39" s="2">
        <v>0.0</v>
      </c>
      <c r="L39" s="2">
        <v>0.0</v>
      </c>
      <c r="M39" s="7"/>
      <c r="N39" s="7"/>
    </row>
    <row r="40">
      <c r="A40" s="12">
        <v>46032.0</v>
      </c>
      <c r="B40" s="6" t="s">
        <v>62</v>
      </c>
      <c r="C40" s="2">
        <v>1.47</v>
      </c>
      <c r="D40" s="16">
        <f t="shared" si="3"/>
        <v>14.99</v>
      </c>
      <c r="E40" s="17">
        <f>D40/B1</f>
        <v>0.7495</v>
      </c>
      <c r="F40" s="16">
        <f t="shared" si="4"/>
        <v>16.14</v>
      </c>
      <c r="G40" s="17">
        <f>F40/B2</f>
        <v>0.807</v>
      </c>
      <c r="H40" s="15">
        <f t="shared" si="5"/>
        <v>11.84</v>
      </c>
      <c r="I40" s="14">
        <f>H40/B3</f>
        <v>0.592</v>
      </c>
      <c r="J40" s="2">
        <v>0.0</v>
      </c>
      <c r="K40" s="2">
        <v>0.0</v>
      </c>
      <c r="L40" s="2">
        <v>0.0</v>
      </c>
      <c r="M40" s="7"/>
      <c r="N40" s="7"/>
    </row>
    <row r="41">
      <c r="A41" s="12">
        <v>46032.0</v>
      </c>
      <c r="B41" s="6" t="s">
        <v>63</v>
      </c>
      <c r="C41" s="2">
        <v>0.0</v>
      </c>
      <c r="D41" s="16">
        <f t="shared" si="3"/>
        <v>14.99</v>
      </c>
      <c r="E41" s="17">
        <f>D41/B1</f>
        <v>0.7495</v>
      </c>
      <c r="F41" s="16">
        <f t="shared" si="4"/>
        <v>16.14</v>
      </c>
      <c r="G41" s="17">
        <f>F41/B2</f>
        <v>0.807</v>
      </c>
      <c r="H41" s="15">
        <f t="shared" si="5"/>
        <v>11.84</v>
      </c>
      <c r="I41" s="14">
        <f>H41/B3</f>
        <v>0.592</v>
      </c>
      <c r="J41" s="2">
        <v>0.0</v>
      </c>
      <c r="K41" s="2">
        <v>0.0</v>
      </c>
      <c r="L41" s="2">
        <v>0.0</v>
      </c>
      <c r="M41" s="7"/>
      <c r="N41" s="7"/>
    </row>
    <row r="42">
      <c r="A42" s="12">
        <v>46033.0</v>
      </c>
      <c r="B42" s="6" t="s">
        <v>61</v>
      </c>
      <c r="C42" s="2">
        <v>0.0</v>
      </c>
      <c r="D42" s="16">
        <f t="shared" si="3"/>
        <v>14.99</v>
      </c>
      <c r="E42" s="17">
        <f>D42/B1</f>
        <v>0.7495</v>
      </c>
      <c r="F42" s="16">
        <f t="shared" si="4"/>
        <v>16.14</v>
      </c>
      <c r="G42" s="17">
        <f>F42/B2</f>
        <v>0.807</v>
      </c>
      <c r="H42" s="15">
        <f t="shared" si="5"/>
        <v>11.84</v>
      </c>
      <c r="I42" s="14">
        <f>H42/B3</f>
        <v>0.592</v>
      </c>
      <c r="J42" s="2">
        <v>0.0</v>
      </c>
      <c r="K42" s="2">
        <v>0.0</v>
      </c>
      <c r="L42" s="2">
        <v>0.0</v>
      </c>
      <c r="M42" s="7"/>
      <c r="N42" s="7"/>
    </row>
    <row r="43">
      <c r="A43" s="12">
        <v>46033.0</v>
      </c>
      <c r="B43" s="6" t="s">
        <v>62</v>
      </c>
      <c r="C43" s="2">
        <v>0.0</v>
      </c>
      <c r="D43" s="16">
        <f t="shared" si="3"/>
        <v>14.99</v>
      </c>
      <c r="E43" s="17">
        <f>D43/B1</f>
        <v>0.7495</v>
      </c>
      <c r="F43" s="16">
        <f t="shared" si="4"/>
        <v>16.14</v>
      </c>
      <c r="G43" s="17">
        <f>F43/B2</f>
        <v>0.807</v>
      </c>
      <c r="H43" s="15">
        <f t="shared" si="5"/>
        <v>11.84</v>
      </c>
      <c r="I43" s="14">
        <f>H43/B3</f>
        <v>0.592</v>
      </c>
      <c r="J43" s="2">
        <v>0.0</v>
      </c>
      <c r="K43" s="2">
        <v>0.0</v>
      </c>
      <c r="L43" s="2">
        <v>0.0</v>
      </c>
      <c r="M43" s="7"/>
      <c r="N43" s="7"/>
    </row>
    <row r="44">
      <c r="A44" s="12">
        <v>46033.0</v>
      </c>
      <c r="B44" s="6" t="s">
        <v>63</v>
      </c>
      <c r="C44" s="2">
        <v>0.0</v>
      </c>
      <c r="D44" s="16">
        <f t="shared" si="3"/>
        <v>14.99</v>
      </c>
      <c r="E44" s="17">
        <f>D44/B1</f>
        <v>0.7495</v>
      </c>
      <c r="F44" s="16">
        <f t="shared" si="4"/>
        <v>16.14</v>
      </c>
      <c r="G44" s="17">
        <f>F44/B2</f>
        <v>0.807</v>
      </c>
      <c r="H44" s="15">
        <f t="shared" si="5"/>
        <v>11.84</v>
      </c>
      <c r="I44" s="14">
        <f>H44/B3</f>
        <v>0.592</v>
      </c>
      <c r="J44" s="2">
        <v>0.0</v>
      </c>
      <c r="K44" s="2">
        <v>0.0</v>
      </c>
      <c r="L44" s="2">
        <v>0.0</v>
      </c>
      <c r="M44" s="7"/>
      <c r="N44" s="7"/>
    </row>
    <row r="45">
      <c r="A45" s="12">
        <v>46034.0</v>
      </c>
      <c r="B45" s="6" t="s">
        <v>61</v>
      </c>
      <c r="C45" s="2">
        <v>0.0</v>
      </c>
      <c r="D45" s="16">
        <f t="shared" si="3"/>
        <v>14.99</v>
      </c>
      <c r="E45" s="17">
        <f>D45/B1</f>
        <v>0.7495</v>
      </c>
      <c r="F45" s="16">
        <f t="shared" si="4"/>
        <v>16.14</v>
      </c>
      <c r="G45" s="17">
        <f>F45/B2</f>
        <v>0.807</v>
      </c>
      <c r="H45" s="15">
        <f t="shared" si="5"/>
        <v>11.84</v>
      </c>
      <c r="I45" s="14">
        <f>H45/B3</f>
        <v>0.592</v>
      </c>
      <c r="J45" s="2">
        <v>0.0</v>
      </c>
      <c r="K45" s="2">
        <v>0.0</v>
      </c>
      <c r="L45" s="2">
        <v>0.0</v>
      </c>
      <c r="M45" s="7"/>
      <c r="N45" s="7"/>
    </row>
    <row r="46">
      <c r="A46" s="12">
        <v>46034.0</v>
      </c>
      <c r="B46" s="6" t="s">
        <v>62</v>
      </c>
      <c r="C46" s="2">
        <v>0.0</v>
      </c>
      <c r="D46" s="16">
        <f t="shared" si="3"/>
        <v>14.99</v>
      </c>
      <c r="E46" s="17">
        <f>D46/B1</f>
        <v>0.7495</v>
      </c>
      <c r="F46" s="16">
        <f t="shared" si="4"/>
        <v>16.14</v>
      </c>
      <c r="G46" s="17">
        <f>F46/B2</f>
        <v>0.807</v>
      </c>
      <c r="H46" s="15">
        <f t="shared" si="5"/>
        <v>11.84</v>
      </c>
      <c r="I46" s="14">
        <f>H46/B3</f>
        <v>0.592</v>
      </c>
      <c r="J46" s="2">
        <v>0.0</v>
      </c>
      <c r="K46" s="2">
        <v>0.0</v>
      </c>
      <c r="L46" s="2">
        <v>0.0</v>
      </c>
      <c r="M46" s="7"/>
      <c r="N46" s="7"/>
    </row>
    <row r="47">
      <c r="A47" s="12">
        <v>46034.0</v>
      </c>
      <c r="B47" s="6" t="s">
        <v>63</v>
      </c>
      <c r="C47" s="2">
        <v>0.0</v>
      </c>
      <c r="D47" s="16">
        <f t="shared" si="3"/>
        <v>14.99</v>
      </c>
      <c r="E47" s="17">
        <f>D47/B1</f>
        <v>0.7495</v>
      </c>
      <c r="F47" s="16">
        <f t="shared" si="4"/>
        <v>16.14</v>
      </c>
      <c r="G47" s="17">
        <f>F47/B2</f>
        <v>0.807</v>
      </c>
      <c r="H47" s="15">
        <f t="shared" si="5"/>
        <v>11.84</v>
      </c>
      <c r="I47" s="14">
        <f>H47/B3</f>
        <v>0.592</v>
      </c>
      <c r="J47" s="2">
        <v>0.0</v>
      </c>
      <c r="K47" s="2">
        <v>0.0</v>
      </c>
      <c r="L47" s="2">
        <v>0.0</v>
      </c>
      <c r="M47" s="7"/>
      <c r="N47" s="7"/>
    </row>
    <row r="48">
      <c r="A48" s="12">
        <v>46035.0</v>
      </c>
      <c r="B48" s="6" t="s">
        <v>61</v>
      </c>
      <c r="C48" s="2">
        <v>0.0</v>
      </c>
      <c r="D48" s="16">
        <f t="shared" si="3"/>
        <v>14.99</v>
      </c>
      <c r="E48" s="17">
        <f>D48/B1</f>
        <v>0.7495</v>
      </c>
      <c r="F48" s="16">
        <f t="shared" si="4"/>
        <v>16.14</v>
      </c>
      <c r="G48" s="17">
        <f>F48/B2</f>
        <v>0.807</v>
      </c>
      <c r="H48" s="15">
        <f t="shared" si="5"/>
        <v>11.84</v>
      </c>
      <c r="I48" s="14">
        <f>H48/B3</f>
        <v>0.592</v>
      </c>
      <c r="J48" s="2">
        <v>0.0</v>
      </c>
      <c r="K48" s="2">
        <v>0.0</v>
      </c>
      <c r="L48" s="2">
        <v>0.0</v>
      </c>
      <c r="M48" s="7"/>
      <c r="N48" s="7"/>
    </row>
    <row r="49">
      <c r="A49" s="12">
        <v>46035.0</v>
      </c>
      <c r="B49" s="6" t="s">
        <v>62</v>
      </c>
      <c r="C49" s="2">
        <v>0.0</v>
      </c>
      <c r="D49" s="16">
        <f t="shared" si="3"/>
        <v>14.99</v>
      </c>
      <c r="E49" s="17">
        <f>D49/B1</f>
        <v>0.7495</v>
      </c>
      <c r="F49" s="16">
        <f t="shared" si="4"/>
        <v>16.14</v>
      </c>
      <c r="G49" s="17">
        <f>F49/B2</f>
        <v>0.807</v>
      </c>
      <c r="H49" s="15">
        <f t="shared" si="5"/>
        <v>11.84</v>
      </c>
      <c r="I49" s="14">
        <f>H49/B3</f>
        <v>0.592</v>
      </c>
      <c r="J49" s="2">
        <v>0.0</v>
      </c>
      <c r="K49" s="2">
        <v>0.0</v>
      </c>
      <c r="L49" s="2">
        <v>0.0</v>
      </c>
      <c r="M49" s="7"/>
      <c r="N49" s="7"/>
    </row>
    <row r="50">
      <c r="A50" s="12">
        <v>46035.0</v>
      </c>
      <c r="B50" s="6" t="s">
        <v>63</v>
      </c>
      <c r="C50" s="2">
        <v>0.0</v>
      </c>
      <c r="D50" s="16">
        <f t="shared" si="3"/>
        <v>14.99</v>
      </c>
      <c r="E50" s="17">
        <f>D50/B1</f>
        <v>0.7495</v>
      </c>
      <c r="F50" s="16">
        <f t="shared" si="4"/>
        <v>16.14</v>
      </c>
      <c r="G50" s="17">
        <f>F50/B2</f>
        <v>0.807</v>
      </c>
      <c r="H50" s="15">
        <f t="shared" si="5"/>
        <v>11.84</v>
      </c>
      <c r="I50" s="14">
        <f>H50/B3</f>
        <v>0.592</v>
      </c>
      <c r="J50" s="2">
        <v>0.0</v>
      </c>
      <c r="K50" s="2">
        <v>0.0</v>
      </c>
      <c r="L50" s="2">
        <v>0.0</v>
      </c>
      <c r="M50" s="7"/>
      <c r="N50" s="7"/>
    </row>
    <row r="51">
      <c r="A51" s="12">
        <v>46036.0</v>
      </c>
      <c r="B51" s="6" t="s">
        <v>61</v>
      </c>
      <c r="C51" s="2">
        <v>1.41</v>
      </c>
      <c r="D51" s="16">
        <f t="shared" si="3"/>
        <v>13.58</v>
      </c>
      <c r="E51" s="17">
        <f>D51/B1</f>
        <v>0.679</v>
      </c>
      <c r="F51" s="16">
        <f t="shared" si="4"/>
        <v>16.14</v>
      </c>
      <c r="G51" s="17">
        <f>F51/B2</f>
        <v>0.807</v>
      </c>
      <c r="H51" s="15">
        <f t="shared" si="5"/>
        <v>11.84</v>
      </c>
      <c r="I51" s="14">
        <f>H51/B3</f>
        <v>0.592</v>
      </c>
      <c r="J51" s="2">
        <v>0.0</v>
      </c>
      <c r="K51" s="2">
        <v>0.0</v>
      </c>
      <c r="L51" s="2">
        <v>0.0</v>
      </c>
      <c r="M51" s="7"/>
      <c r="N51" s="7"/>
    </row>
    <row r="52">
      <c r="A52" s="12">
        <v>46036.0</v>
      </c>
      <c r="B52" s="6" t="s">
        <v>62</v>
      </c>
      <c r="C52" s="2">
        <v>1.52</v>
      </c>
      <c r="D52" s="16">
        <f t="shared" si="3"/>
        <v>13.58</v>
      </c>
      <c r="E52" s="17">
        <f>D52/B1</f>
        <v>0.679</v>
      </c>
      <c r="F52" s="16">
        <f t="shared" si="4"/>
        <v>14.62</v>
      </c>
      <c r="G52" s="17">
        <f>F52/B2</f>
        <v>0.731</v>
      </c>
      <c r="H52" s="15">
        <f t="shared" si="5"/>
        <v>11.84</v>
      </c>
      <c r="I52" s="14">
        <f>H52/B3</f>
        <v>0.592</v>
      </c>
      <c r="J52" s="2">
        <v>0.0</v>
      </c>
      <c r="K52" s="2">
        <v>0.0</v>
      </c>
      <c r="L52" s="2">
        <v>0.0</v>
      </c>
      <c r="M52" s="7"/>
      <c r="N52" s="7"/>
    </row>
    <row r="53">
      <c r="A53" s="12">
        <v>46036.0</v>
      </c>
      <c r="B53" s="6" t="s">
        <v>63</v>
      </c>
      <c r="C53" s="2">
        <v>0.0</v>
      </c>
      <c r="D53" s="16">
        <f t="shared" si="3"/>
        <v>13.58</v>
      </c>
      <c r="E53" s="17">
        <f>D53/B1</f>
        <v>0.679</v>
      </c>
      <c r="F53" s="16">
        <f t="shared" si="4"/>
        <v>14.62</v>
      </c>
      <c r="G53" s="17">
        <f>F53/B2</f>
        <v>0.731</v>
      </c>
      <c r="H53" s="15">
        <f t="shared" si="5"/>
        <v>11.84</v>
      </c>
      <c r="I53" s="14">
        <f>H53/B3</f>
        <v>0.592</v>
      </c>
      <c r="J53" s="2">
        <v>0.0</v>
      </c>
      <c r="K53" s="2">
        <v>0.0</v>
      </c>
      <c r="L53" s="2">
        <v>0.0</v>
      </c>
      <c r="M53" s="7"/>
      <c r="N53" s="7"/>
    </row>
    <row r="54">
      <c r="A54" s="12">
        <v>46037.0</v>
      </c>
      <c r="B54" s="6" t="s">
        <v>61</v>
      </c>
      <c r="C54" s="2">
        <v>0.0</v>
      </c>
      <c r="D54" s="16">
        <f t="shared" si="3"/>
        <v>13.58</v>
      </c>
      <c r="E54" s="17">
        <f>D54/B1</f>
        <v>0.679</v>
      </c>
      <c r="F54" s="16">
        <f t="shared" si="4"/>
        <v>14.62</v>
      </c>
      <c r="G54" s="17">
        <f>F54/B2</f>
        <v>0.731</v>
      </c>
      <c r="H54" s="15">
        <f t="shared" si="5"/>
        <v>11.84</v>
      </c>
      <c r="I54" s="14">
        <f>H54/B3</f>
        <v>0.592</v>
      </c>
      <c r="J54" s="2">
        <v>0.0</v>
      </c>
      <c r="K54" s="2">
        <v>0.0</v>
      </c>
      <c r="L54" s="2">
        <v>0.0</v>
      </c>
      <c r="M54" s="7"/>
      <c r="N54" s="7"/>
    </row>
    <row r="55">
      <c r="A55" s="12">
        <v>46037.0</v>
      </c>
      <c r="B55" s="6" t="s">
        <v>62</v>
      </c>
      <c r="C55" s="2">
        <v>0.0</v>
      </c>
      <c r="D55" s="16">
        <f t="shared" si="3"/>
        <v>13.58</v>
      </c>
      <c r="E55" s="17">
        <f>D55/B1</f>
        <v>0.679</v>
      </c>
      <c r="F55" s="16">
        <f t="shared" si="4"/>
        <v>14.62</v>
      </c>
      <c r="G55" s="17">
        <f>F55/B2</f>
        <v>0.731</v>
      </c>
      <c r="H55" s="15">
        <f t="shared" si="5"/>
        <v>11.84</v>
      </c>
      <c r="I55" s="14">
        <f>H55/B3</f>
        <v>0.592</v>
      </c>
      <c r="J55" s="2">
        <v>0.0</v>
      </c>
      <c r="K55" s="2">
        <v>0.0</v>
      </c>
      <c r="L55" s="2">
        <v>0.0</v>
      </c>
      <c r="M55" s="7"/>
      <c r="N55" s="7"/>
    </row>
    <row r="56">
      <c r="A56" s="12">
        <v>46037.0</v>
      </c>
      <c r="B56" s="6" t="s">
        <v>63</v>
      </c>
      <c r="C56" s="2">
        <v>0.0</v>
      </c>
      <c r="D56" s="16">
        <f t="shared" si="3"/>
        <v>13.58</v>
      </c>
      <c r="E56" s="17">
        <f>D56/B1</f>
        <v>0.679</v>
      </c>
      <c r="F56" s="16">
        <f t="shared" si="4"/>
        <v>14.62</v>
      </c>
      <c r="G56" s="17">
        <f>F56/B2</f>
        <v>0.731</v>
      </c>
      <c r="H56" s="15">
        <f t="shared" si="5"/>
        <v>11.84</v>
      </c>
      <c r="I56" s="14">
        <f>H56/B3</f>
        <v>0.592</v>
      </c>
      <c r="J56" s="2">
        <v>0.0</v>
      </c>
      <c r="K56" s="2">
        <v>0.0</v>
      </c>
      <c r="L56" s="2">
        <v>0.0</v>
      </c>
      <c r="M56" s="7"/>
      <c r="N56" s="7"/>
    </row>
    <row r="57">
      <c r="A57" s="12">
        <v>46038.0</v>
      </c>
      <c r="B57" s="6" t="s">
        <v>61</v>
      </c>
      <c r="C57" s="2">
        <v>0.0</v>
      </c>
      <c r="D57" s="16">
        <f t="shared" si="3"/>
        <v>13.58</v>
      </c>
      <c r="E57" s="17">
        <f>D57/B1</f>
        <v>0.679</v>
      </c>
      <c r="F57" s="16">
        <f t="shared" si="4"/>
        <v>14.62</v>
      </c>
      <c r="G57" s="17">
        <f>F57/B2</f>
        <v>0.731</v>
      </c>
      <c r="H57" s="15">
        <f t="shared" si="5"/>
        <v>11.84</v>
      </c>
      <c r="I57" s="14">
        <f>H57/B3</f>
        <v>0.592</v>
      </c>
      <c r="J57" s="2">
        <v>0.0</v>
      </c>
      <c r="K57" s="2">
        <v>0.0</v>
      </c>
      <c r="L57" s="2">
        <v>0.0</v>
      </c>
      <c r="M57" s="7"/>
      <c r="N57" s="7"/>
    </row>
    <row r="58">
      <c r="A58" s="12">
        <v>46038.0</v>
      </c>
      <c r="B58" s="6" t="s">
        <v>62</v>
      </c>
      <c r="C58" s="2">
        <v>0.0</v>
      </c>
      <c r="D58" s="16">
        <f t="shared" si="3"/>
        <v>13.58</v>
      </c>
      <c r="E58" s="17">
        <f>D58/B1</f>
        <v>0.679</v>
      </c>
      <c r="F58" s="16">
        <f t="shared" si="4"/>
        <v>14.62</v>
      </c>
      <c r="G58" s="17">
        <f>F58/B2</f>
        <v>0.731</v>
      </c>
      <c r="H58" s="15">
        <f t="shared" si="5"/>
        <v>11.84</v>
      </c>
      <c r="I58" s="14">
        <f>H58/B3</f>
        <v>0.592</v>
      </c>
      <c r="J58" s="2">
        <v>0.0</v>
      </c>
      <c r="K58" s="2">
        <v>0.0</v>
      </c>
      <c r="L58" s="2">
        <v>0.0</v>
      </c>
      <c r="M58" s="7"/>
      <c r="N58" s="7"/>
    </row>
    <row r="59">
      <c r="A59" s="12">
        <v>46038.0</v>
      </c>
      <c r="B59" s="6" t="s">
        <v>63</v>
      </c>
      <c r="C59" s="2">
        <v>0.0</v>
      </c>
      <c r="D59" s="16">
        <f t="shared" si="3"/>
        <v>13.58</v>
      </c>
      <c r="E59" s="17">
        <f>D59/B1</f>
        <v>0.679</v>
      </c>
      <c r="F59" s="16">
        <f t="shared" si="4"/>
        <v>14.62</v>
      </c>
      <c r="G59" s="17">
        <f>F59/B2</f>
        <v>0.731</v>
      </c>
      <c r="H59" s="15">
        <f t="shared" si="5"/>
        <v>11.84</v>
      </c>
      <c r="I59" s="14">
        <f>H59/B3</f>
        <v>0.592</v>
      </c>
      <c r="J59" s="2">
        <v>0.0</v>
      </c>
      <c r="K59" s="2">
        <v>0.0</v>
      </c>
      <c r="L59" s="2">
        <v>0.0</v>
      </c>
    </row>
    <row r="60">
      <c r="A60" s="12">
        <v>46039.0</v>
      </c>
      <c r="B60" s="6" t="s">
        <v>61</v>
      </c>
      <c r="C60" s="2">
        <v>1.76</v>
      </c>
      <c r="D60" s="16">
        <f t="shared" si="3"/>
        <v>11.82</v>
      </c>
      <c r="E60" s="17">
        <f>D60/B1</f>
        <v>0.591</v>
      </c>
      <c r="F60" s="16">
        <f t="shared" si="4"/>
        <v>14.62</v>
      </c>
      <c r="G60" s="17">
        <f>F60/B2</f>
        <v>0.731</v>
      </c>
      <c r="H60" s="15">
        <f t="shared" si="5"/>
        <v>11.84</v>
      </c>
      <c r="I60" s="14">
        <f>H60/B3</f>
        <v>0.592</v>
      </c>
      <c r="J60" s="2">
        <v>0.0</v>
      </c>
      <c r="K60" s="2">
        <v>0.0</v>
      </c>
      <c r="L60" s="2">
        <v>0.0</v>
      </c>
    </row>
    <row r="61">
      <c r="A61" s="12">
        <v>46039.0</v>
      </c>
      <c r="B61" s="6" t="s">
        <v>62</v>
      </c>
      <c r="C61" s="2">
        <v>1.71</v>
      </c>
      <c r="D61" s="16">
        <f t="shared" si="3"/>
        <v>11.82</v>
      </c>
      <c r="E61" s="17">
        <f>D61/B1</f>
        <v>0.591</v>
      </c>
      <c r="F61" s="16">
        <f t="shared" si="4"/>
        <v>12.91</v>
      </c>
      <c r="G61" s="17">
        <f>F61/B2</f>
        <v>0.6455</v>
      </c>
      <c r="H61" s="15">
        <f t="shared" si="5"/>
        <v>11.84</v>
      </c>
      <c r="I61" s="14">
        <f>H61/B3</f>
        <v>0.592</v>
      </c>
      <c r="J61" s="2">
        <v>0.0</v>
      </c>
      <c r="K61" s="2">
        <v>0.0</v>
      </c>
      <c r="L61" s="2">
        <v>0.0</v>
      </c>
    </row>
    <row r="62">
      <c r="A62" s="12">
        <v>46039.0</v>
      </c>
      <c r="B62" s="6" t="s">
        <v>63</v>
      </c>
      <c r="C62" s="2">
        <v>1.59</v>
      </c>
      <c r="D62" s="16">
        <f t="shared" si="3"/>
        <v>11.82</v>
      </c>
      <c r="E62" s="17">
        <f>D62/B1</f>
        <v>0.591</v>
      </c>
      <c r="F62" s="16">
        <f t="shared" si="4"/>
        <v>12.91</v>
      </c>
      <c r="G62" s="17">
        <f>F62/B2</f>
        <v>0.6455</v>
      </c>
      <c r="H62" s="15">
        <f t="shared" si="5"/>
        <v>10.25</v>
      </c>
      <c r="I62" s="14">
        <f>H62/B3</f>
        <v>0.5125</v>
      </c>
      <c r="J62" s="2">
        <v>0.0</v>
      </c>
      <c r="K62" s="2">
        <v>0.0</v>
      </c>
      <c r="L62" s="2">
        <v>0.0</v>
      </c>
    </row>
    <row r="63">
      <c r="A63" s="12">
        <v>46040.0</v>
      </c>
      <c r="B63" s="6" t="s">
        <v>61</v>
      </c>
      <c r="C63" s="2">
        <v>1.6</v>
      </c>
      <c r="D63" s="16">
        <f t="shared" si="3"/>
        <v>10.22</v>
      </c>
      <c r="E63" s="17">
        <f>D63/B1</f>
        <v>0.511</v>
      </c>
      <c r="F63" s="16">
        <f t="shared" si="4"/>
        <v>12.91</v>
      </c>
      <c r="G63" s="17">
        <f>F63/B2</f>
        <v>0.6455</v>
      </c>
      <c r="H63" s="15">
        <f t="shared" si="5"/>
        <v>10.25</v>
      </c>
      <c r="I63" s="14">
        <f>H63/B3</f>
        <v>0.5125</v>
      </c>
      <c r="J63" s="2">
        <v>0.0</v>
      </c>
      <c r="K63" s="2">
        <v>0.0</v>
      </c>
      <c r="L63" s="2">
        <v>0.0</v>
      </c>
    </row>
    <row r="64">
      <c r="A64" s="12">
        <v>46040.0</v>
      </c>
      <c r="B64" s="6" t="s">
        <v>62</v>
      </c>
      <c r="C64" s="2">
        <v>1.58</v>
      </c>
      <c r="D64" s="16">
        <f t="shared" si="3"/>
        <v>10.22</v>
      </c>
      <c r="E64" s="17">
        <f>D64/B1</f>
        <v>0.511</v>
      </c>
      <c r="F64" s="16">
        <f t="shared" si="4"/>
        <v>11.33</v>
      </c>
      <c r="G64" s="17">
        <f>F64/B2</f>
        <v>0.5665</v>
      </c>
      <c r="H64" s="15">
        <f t="shared" si="5"/>
        <v>10.25</v>
      </c>
      <c r="I64" s="14">
        <f>H64/B3</f>
        <v>0.5125</v>
      </c>
      <c r="J64" s="2">
        <v>0.0</v>
      </c>
      <c r="K64" s="2">
        <v>0.0</v>
      </c>
      <c r="L64" s="2">
        <v>0.0</v>
      </c>
    </row>
    <row r="65">
      <c r="A65" s="12">
        <v>46040.0</v>
      </c>
      <c r="B65" s="6" t="s">
        <v>63</v>
      </c>
      <c r="C65" s="2">
        <v>0.0</v>
      </c>
      <c r="D65" s="16">
        <f t="shared" si="3"/>
        <v>10.22</v>
      </c>
      <c r="E65" s="17">
        <f>D65/B1</f>
        <v>0.511</v>
      </c>
      <c r="F65" s="16">
        <f t="shared" si="4"/>
        <v>11.33</v>
      </c>
      <c r="G65" s="17">
        <f>F65/B2</f>
        <v>0.5665</v>
      </c>
      <c r="H65" s="15">
        <f t="shared" si="5"/>
        <v>10.25</v>
      </c>
      <c r="I65" s="14">
        <f>H65/B3</f>
        <v>0.5125</v>
      </c>
      <c r="J65" s="2">
        <v>0.0</v>
      </c>
      <c r="K65" s="2">
        <v>0.0</v>
      </c>
      <c r="L65" s="2">
        <v>0.0</v>
      </c>
    </row>
    <row r="66">
      <c r="A66" s="12">
        <v>46041.0</v>
      </c>
      <c r="B66" s="6" t="s">
        <v>61</v>
      </c>
      <c r="C66" s="2">
        <v>0.0</v>
      </c>
      <c r="D66" s="16">
        <f t="shared" si="3"/>
        <v>10.22</v>
      </c>
      <c r="E66" s="17">
        <f>D66/B1</f>
        <v>0.511</v>
      </c>
      <c r="F66" s="16">
        <f t="shared" si="4"/>
        <v>11.33</v>
      </c>
      <c r="G66" s="17">
        <f>F66/B2</f>
        <v>0.5665</v>
      </c>
      <c r="H66" s="15">
        <f t="shared" si="5"/>
        <v>10.25</v>
      </c>
      <c r="I66" s="14">
        <f>H66/B3</f>
        <v>0.5125</v>
      </c>
      <c r="J66" s="2">
        <v>0.0</v>
      </c>
      <c r="K66" s="2">
        <v>0.0</v>
      </c>
      <c r="L66" s="2">
        <v>0.0</v>
      </c>
    </row>
    <row r="67">
      <c r="A67" s="12">
        <v>46041.0</v>
      </c>
      <c r="B67" s="6" t="s">
        <v>62</v>
      </c>
      <c r="C67" s="2">
        <v>0.0</v>
      </c>
      <c r="D67" s="16">
        <f t="shared" si="3"/>
        <v>10.22</v>
      </c>
      <c r="E67" s="17">
        <f>D67/B1</f>
        <v>0.511</v>
      </c>
      <c r="F67" s="16">
        <f t="shared" si="4"/>
        <v>11.33</v>
      </c>
      <c r="G67" s="17">
        <f>F67/B2</f>
        <v>0.5665</v>
      </c>
      <c r="H67" s="15">
        <f t="shared" si="5"/>
        <v>10.25</v>
      </c>
      <c r="I67" s="14">
        <f>H67/B3</f>
        <v>0.5125</v>
      </c>
      <c r="J67" s="2">
        <v>0.0</v>
      </c>
      <c r="K67" s="2">
        <v>0.0</v>
      </c>
      <c r="L67" s="2">
        <v>0.0</v>
      </c>
    </row>
    <row r="68">
      <c r="A68" s="12">
        <v>46041.0</v>
      </c>
      <c r="B68" s="6" t="s">
        <v>63</v>
      </c>
      <c r="C68" s="2">
        <v>0.0</v>
      </c>
      <c r="D68" s="16">
        <f t="shared" si="3"/>
        <v>10.22</v>
      </c>
      <c r="E68" s="17">
        <f>D68/B1</f>
        <v>0.511</v>
      </c>
      <c r="F68" s="16">
        <f t="shared" si="4"/>
        <v>11.33</v>
      </c>
      <c r="G68" s="17">
        <f>F68/B2</f>
        <v>0.5665</v>
      </c>
      <c r="H68" s="15">
        <f t="shared" si="5"/>
        <v>10.25</v>
      </c>
      <c r="I68" s="14">
        <f>H68/B3</f>
        <v>0.5125</v>
      </c>
      <c r="J68" s="2">
        <v>0.0</v>
      </c>
      <c r="K68" s="2">
        <v>0.0</v>
      </c>
      <c r="L68" s="2">
        <v>0.0</v>
      </c>
    </row>
    <row r="69">
      <c r="A69" s="12">
        <v>46042.0</v>
      </c>
      <c r="B69" s="6" t="s">
        <v>61</v>
      </c>
      <c r="C69" s="2">
        <v>0.0</v>
      </c>
      <c r="D69" s="16">
        <f t="shared" si="3"/>
        <v>10.22</v>
      </c>
      <c r="E69" s="17">
        <f>D69/B1</f>
        <v>0.511</v>
      </c>
      <c r="F69" s="16">
        <f t="shared" si="4"/>
        <v>11.33</v>
      </c>
      <c r="G69" s="17">
        <f>F69/B2</f>
        <v>0.5665</v>
      </c>
      <c r="H69" s="15">
        <f t="shared" si="5"/>
        <v>10.25</v>
      </c>
      <c r="I69" s="14">
        <f>H69/B3</f>
        <v>0.5125</v>
      </c>
      <c r="J69" s="2">
        <v>0.0</v>
      </c>
      <c r="K69" s="2">
        <v>0.0</v>
      </c>
      <c r="L69" s="2">
        <v>0.0</v>
      </c>
    </row>
    <row r="70">
      <c r="A70" s="12">
        <v>46042.0</v>
      </c>
      <c r="B70" s="6" t="s">
        <v>62</v>
      </c>
      <c r="C70" s="2">
        <v>0.0</v>
      </c>
      <c r="D70" s="16">
        <f t="shared" si="3"/>
        <v>10.22</v>
      </c>
      <c r="E70" s="17">
        <f>D70/B1</f>
        <v>0.511</v>
      </c>
      <c r="F70" s="16">
        <f t="shared" si="4"/>
        <v>11.33</v>
      </c>
      <c r="G70" s="17">
        <f>F70/B2</f>
        <v>0.5665</v>
      </c>
      <c r="H70" s="15">
        <f t="shared" si="5"/>
        <v>10.25</v>
      </c>
      <c r="I70" s="14">
        <f>H70/B3</f>
        <v>0.5125</v>
      </c>
      <c r="J70" s="2">
        <v>0.0</v>
      </c>
      <c r="K70" s="2">
        <v>0.0</v>
      </c>
      <c r="L70" s="2">
        <v>0.0</v>
      </c>
    </row>
    <row r="71">
      <c r="A71" s="12">
        <v>46042.0</v>
      </c>
      <c r="B71" s="6" t="s">
        <v>63</v>
      </c>
      <c r="C71" s="2">
        <v>0.0</v>
      </c>
      <c r="D71" s="16">
        <f t="shared" si="3"/>
        <v>10.22</v>
      </c>
      <c r="E71" s="17">
        <f>D71/B1</f>
        <v>0.511</v>
      </c>
      <c r="F71" s="16">
        <f t="shared" si="4"/>
        <v>11.33</v>
      </c>
      <c r="G71" s="17">
        <f>F71/B2</f>
        <v>0.5665</v>
      </c>
      <c r="H71" s="15">
        <f t="shared" si="5"/>
        <v>10.25</v>
      </c>
      <c r="I71" s="14">
        <f>H71/B3</f>
        <v>0.5125</v>
      </c>
      <c r="J71" s="2">
        <v>0.0</v>
      </c>
      <c r="K71" s="2">
        <v>0.0</v>
      </c>
      <c r="L71" s="2">
        <v>0.0</v>
      </c>
    </row>
    <row r="72">
      <c r="A72" s="12">
        <v>46043.0</v>
      </c>
      <c r="B72" s="6" t="s">
        <v>61</v>
      </c>
      <c r="C72" s="2">
        <v>0.0</v>
      </c>
      <c r="D72" s="16">
        <f t="shared" si="3"/>
        <v>10.22</v>
      </c>
      <c r="E72" s="17">
        <f>D72/B1</f>
        <v>0.511</v>
      </c>
      <c r="F72" s="16">
        <f t="shared" si="4"/>
        <v>11.33</v>
      </c>
      <c r="G72" s="17">
        <f>F72/B2</f>
        <v>0.5665</v>
      </c>
      <c r="H72" s="15">
        <f t="shared" si="5"/>
        <v>10.25</v>
      </c>
      <c r="I72" s="14">
        <f>H72/B3</f>
        <v>0.5125</v>
      </c>
      <c r="J72" s="2">
        <v>0.0</v>
      </c>
      <c r="K72" s="2">
        <v>0.0</v>
      </c>
      <c r="L72" s="2">
        <v>0.0</v>
      </c>
    </row>
    <row r="73">
      <c r="A73" s="12">
        <v>46043.0</v>
      </c>
      <c r="B73" s="6" t="s">
        <v>62</v>
      </c>
      <c r="C73" s="2">
        <v>0.0</v>
      </c>
      <c r="D73" s="16">
        <f t="shared" si="3"/>
        <v>10.22</v>
      </c>
      <c r="E73" s="17">
        <f>D73/B1</f>
        <v>0.511</v>
      </c>
      <c r="F73" s="16">
        <f t="shared" si="4"/>
        <v>11.33</v>
      </c>
      <c r="G73" s="17">
        <f>F73/B2</f>
        <v>0.5665</v>
      </c>
      <c r="H73" s="15">
        <f t="shared" si="5"/>
        <v>10.25</v>
      </c>
      <c r="I73" s="14">
        <f>H73/B3</f>
        <v>0.5125</v>
      </c>
      <c r="J73" s="2">
        <v>0.0</v>
      </c>
      <c r="K73" s="2">
        <v>0.0</v>
      </c>
      <c r="L73" s="2">
        <v>0.0</v>
      </c>
    </row>
    <row r="74">
      <c r="A74" s="12">
        <v>46043.0</v>
      </c>
      <c r="B74" s="6" t="s">
        <v>63</v>
      </c>
      <c r="C74" s="2">
        <v>0.0</v>
      </c>
      <c r="D74" s="16">
        <f t="shared" si="3"/>
        <v>10.22</v>
      </c>
      <c r="E74" s="17">
        <f>D74/B1</f>
        <v>0.511</v>
      </c>
      <c r="F74" s="16">
        <f t="shared" si="4"/>
        <v>11.33</v>
      </c>
      <c r="G74" s="17">
        <f>F74/B2</f>
        <v>0.5665</v>
      </c>
      <c r="H74" s="15">
        <f t="shared" si="5"/>
        <v>10.25</v>
      </c>
      <c r="I74" s="14">
        <f>H74/B3</f>
        <v>0.5125</v>
      </c>
      <c r="J74" s="2">
        <v>0.0</v>
      </c>
      <c r="K74" s="2">
        <v>0.0</v>
      </c>
      <c r="L74" s="2">
        <v>0.0</v>
      </c>
    </row>
    <row r="75">
      <c r="A75" s="12">
        <v>46044.0</v>
      </c>
      <c r="B75" s="6" t="s">
        <v>61</v>
      </c>
      <c r="C75" s="2">
        <v>0.0</v>
      </c>
      <c r="D75" s="16">
        <f t="shared" si="3"/>
        <v>10.22</v>
      </c>
      <c r="E75" s="17">
        <f>D75/B1</f>
        <v>0.511</v>
      </c>
      <c r="F75" s="16">
        <f t="shared" si="4"/>
        <v>11.33</v>
      </c>
      <c r="G75" s="17">
        <f>F75/B2</f>
        <v>0.5665</v>
      </c>
      <c r="H75" s="15">
        <f t="shared" si="5"/>
        <v>10.25</v>
      </c>
      <c r="I75" s="14">
        <f>H75/B3</f>
        <v>0.5125</v>
      </c>
      <c r="J75" s="2">
        <v>0.0</v>
      </c>
      <c r="K75" s="2">
        <v>0.0</v>
      </c>
      <c r="L75" s="2">
        <v>0.0</v>
      </c>
    </row>
    <row r="76">
      <c r="A76" s="12">
        <v>46044.0</v>
      </c>
      <c r="B76" s="6" t="s">
        <v>62</v>
      </c>
      <c r="C76" s="2">
        <v>0.0</v>
      </c>
      <c r="D76" s="16">
        <f t="shared" si="3"/>
        <v>10.22</v>
      </c>
      <c r="E76" s="17">
        <f>D76/B1</f>
        <v>0.511</v>
      </c>
      <c r="F76" s="16">
        <f t="shared" si="4"/>
        <v>11.33</v>
      </c>
      <c r="G76" s="17">
        <f>F76/B2</f>
        <v>0.5665</v>
      </c>
      <c r="H76" s="15">
        <f t="shared" si="5"/>
        <v>10.25</v>
      </c>
      <c r="I76" s="14">
        <f>H76/B3</f>
        <v>0.5125</v>
      </c>
      <c r="J76" s="2">
        <v>0.0</v>
      </c>
      <c r="K76" s="2">
        <v>0.0</v>
      </c>
      <c r="L76" s="2">
        <v>0.0</v>
      </c>
    </row>
    <row r="77">
      <c r="A77" s="12">
        <v>46044.0</v>
      </c>
      <c r="B77" s="6" t="s">
        <v>63</v>
      </c>
      <c r="C77" s="2">
        <v>0.0</v>
      </c>
      <c r="D77" s="16">
        <f t="shared" si="3"/>
        <v>10.22</v>
      </c>
      <c r="E77" s="17">
        <f>D77/B1</f>
        <v>0.511</v>
      </c>
      <c r="F77" s="16">
        <f t="shared" si="4"/>
        <v>11.33</v>
      </c>
      <c r="G77" s="17">
        <f>F77/B2</f>
        <v>0.5665</v>
      </c>
      <c r="H77" s="15">
        <f t="shared" si="5"/>
        <v>10.25</v>
      </c>
      <c r="I77" s="14">
        <f>H77/B3</f>
        <v>0.5125</v>
      </c>
      <c r="J77" s="2">
        <v>0.0</v>
      </c>
      <c r="K77" s="2">
        <v>0.0</v>
      </c>
      <c r="L77" s="2">
        <v>0.0</v>
      </c>
    </row>
    <row r="78">
      <c r="A78" s="12">
        <v>46045.0</v>
      </c>
      <c r="B78" s="6" t="s">
        <v>61</v>
      </c>
      <c r="C78" s="2">
        <v>0.0</v>
      </c>
      <c r="D78" s="16">
        <f t="shared" si="3"/>
        <v>10.22</v>
      </c>
      <c r="E78" s="17">
        <f>D78/B1</f>
        <v>0.511</v>
      </c>
      <c r="F78" s="16">
        <f t="shared" si="4"/>
        <v>11.33</v>
      </c>
      <c r="G78" s="17">
        <f>F78/B2</f>
        <v>0.5665</v>
      </c>
      <c r="H78" s="15">
        <f t="shared" si="5"/>
        <v>10.25</v>
      </c>
      <c r="I78" s="14">
        <f>H78/B3</f>
        <v>0.5125</v>
      </c>
      <c r="J78" s="2">
        <v>0.0</v>
      </c>
      <c r="K78" s="2">
        <v>0.0</v>
      </c>
      <c r="L78" s="2">
        <v>0.0</v>
      </c>
    </row>
    <row r="79">
      <c r="A79" s="12">
        <v>46045.0</v>
      </c>
      <c r="B79" s="6" t="s">
        <v>62</v>
      </c>
      <c r="C79" s="2">
        <v>0.0</v>
      </c>
      <c r="D79" s="16">
        <f t="shared" si="3"/>
        <v>10.22</v>
      </c>
      <c r="E79" s="17">
        <f>D79/B1</f>
        <v>0.511</v>
      </c>
      <c r="F79" s="16">
        <f t="shared" si="4"/>
        <v>11.33</v>
      </c>
      <c r="G79" s="17">
        <f>F79/B2</f>
        <v>0.5665</v>
      </c>
      <c r="H79" s="15">
        <f t="shared" si="5"/>
        <v>10.25</v>
      </c>
      <c r="I79" s="14">
        <f>H79/B3</f>
        <v>0.5125</v>
      </c>
      <c r="J79" s="2">
        <v>0.0</v>
      </c>
      <c r="K79" s="2">
        <v>0.0</v>
      </c>
      <c r="L79" s="2">
        <v>0.0</v>
      </c>
    </row>
    <row r="80">
      <c r="A80" s="12">
        <v>46045.0</v>
      </c>
      <c r="B80" s="6" t="s">
        <v>63</v>
      </c>
      <c r="C80" s="2">
        <v>0.0</v>
      </c>
      <c r="D80" s="16">
        <f t="shared" si="3"/>
        <v>10.22</v>
      </c>
      <c r="E80" s="17">
        <f>D80/B1</f>
        <v>0.511</v>
      </c>
      <c r="F80" s="16">
        <f t="shared" si="4"/>
        <v>11.33</v>
      </c>
      <c r="G80" s="17">
        <f>F80/B2</f>
        <v>0.5665</v>
      </c>
      <c r="H80" s="15">
        <f t="shared" si="5"/>
        <v>10.25</v>
      </c>
      <c r="I80" s="14">
        <f>H80/B3</f>
        <v>0.5125</v>
      </c>
      <c r="J80" s="2">
        <v>0.0</v>
      </c>
      <c r="K80" s="2">
        <v>0.0</v>
      </c>
      <c r="L80" s="2">
        <v>0.0</v>
      </c>
    </row>
    <row r="81">
      <c r="A81" s="12">
        <v>46046.0</v>
      </c>
      <c r="B81" s="6" t="s">
        <v>61</v>
      </c>
      <c r="C81" s="2">
        <v>1.25</v>
      </c>
      <c r="D81" s="16">
        <f t="shared" si="3"/>
        <v>8.97</v>
      </c>
      <c r="E81" s="17">
        <f>D81/B1</f>
        <v>0.4485</v>
      </c>
      <c r="F81" s="16">
        <f t="shared" si="4"/>
        <v>11.33</v>
      </c>
      <c r="G81" s="17">
        <f>F81/B2</f>
        <v>0.5665</v>
      </c>
      <c r="H81" s="15">
        <f t="shared" si="5"/>
        <v>10.25</v>
      </c>
      <c r="I81" s="14">
        <f>H81/B3</f>
        <v>0.5125</v>
      </c>
      <c r="J81" s="2">
        <v>0.0</v>
      </c>
      <c r="K81" s="2">
        <v>0.0</v>
      </c>
      <c r="L81" s="2">
        <v>0.0</v>
      </c>
    </row>
    <row r="82">
      <c r="A82" s="12">
        <v>46046.0</v>
      </c>
      <c r="B82" s="6" t="s">
        <v>62</v>
      </c>
      <c r="C82" s="2">
        <v>0.0</v>
      </c>
      <c r="D82" s="16">
        <f t="shared" si="3"/>
        <v>8.97</v>
      </c>
      <c r="E82" s="17">
        <f>D82/B1</f>
        <v>0.4485</v>
      </c>
      <c r="F82" s="16">
        <f t="shared" si="4"/>
        <v>11.33</v>
      </c>
      <c r="G82" s="17">
        <f>F82/B2</f>
        <v>0.5665</v>
      </c>
      <c r="H82" s="15">
        <f t="shared" si="5"/>
        <v>10.25</v>
      </c>
      <c r="I82" s="14">
        <f>H82/B3</f>
        <v>0.5125</v>
      </c>
      <c r="J82" s="2">
        <v>0.0</v>
      </c>
      <c r="K82" s="2">
        <v>0.0</v>
      </c>
      <c r="L82" s="2">
        <v>0.0</v>
      </c>
    </row>
    <row r="83">
      <c r="A83" s="12">
        <v>46046.0</v>
      </c>
      <c r="B83" s="6" t="s">
        <v>63</v>
      </c>
      <c r="C83" s="2">
        <v>0.0</v>
      </c>
      <c r="D83" s="16">
        <f t="shared" si="3"/>
        <v>8.97</v>
      </c>
      <c r="E83" s="17">
        <f>D83/B1</f>
        <v>0.4485</v>
      </c>
      <c r="F83" s="16">
        <f t="shared" si="4"/>
        <v>11.33</v>
      </c>
      <c r="G83" s="17">
        <f>F83/B2</f>
        <v>0.5665</v>
      </c>
      <c r="H83" s="15">
        <f t="shared" si="5"/>
        <v>10.25</v>
      </c>
      <c r="I83" s="14">
        <f>H83/B3</f>
        <v>0.5125</v>
      </c>
      <c r="J83" s="2">
        <v>0.0</v>
      </c>
      <c r="K83" s="2">
        <v>0.0</v>
      </c>
      <c r="L83" s="2">
        <v>0.0</v>
      </c>
    </row>
    <row r="84">
      <c r="A84" s="12">
        <v>46047.0</v>
      </c>
      <c r="B84" s="6" t="s">
        <v>61</v>
      </c>
      <c r="C84" s="2">
        <v>1.05</v>
      </c>
      <c r="D84" s="16">
        <f t="shared" si="3"/>
        <v>7.92</v>
      </c>
      <c r="E84" s="17">
        <f>D84/B1</f>
        <v>0.396</v>
      </c>
      <c r="F84" s="16">
        <f t="shared" si="4"/>
        <v>11.33</v>
      </c>
      <c r="G84" s="17">
        <f>F84/B2</f>
        <v>0.5665</v>
      </c>
      <c r="H84" s="15">
        <f t="shared" si="5"/>
        <v>10.25</v>
      </c>
      <c r="I84" s="14">
        <f>H84/B3</f>
        <v>0.5125</v>
      </c>
      <c r="J84" s="2">
        <v>0.0</v>
      </c>
      <c r="K84" s="2">
        <v>0.0</v>
      </c>
      <c r="L84" s="2">
        <v>0.0</v>
      </c>
    </row>
    <row r="85">
      <c r="A85" s="12">
        <v>46047.0</v>
      </c>
      <c r="B85" s="6" t="s">
        <v>62</v>
      </c>
      <c r="C85" s="2">
        <v>0.9</v>
      </c>
      <c r="D85" s="16">
        <f t="shared" si="3"/>
        <v>7.92</v>
      </c>
      <c r="E85" s="17">
        <f>D85/B1</f>
        <v>0.396</v>
      </c>
      <c r="F85" s="16">
        <f t="shared" si="4"/>
        <v>10.43</v>
      </c>
      <c r="G85" s="17">
        <f>F85/B2</f>
        <v>0.5215</v>
      </c>
      <c r="H85" s="15">
        <f t="shared" si="5"/>
        <v>10.25</v>
      </c>
      <c r="I85" s="14">
        <f>H85/B3</f>
        <v>0.5125</v>
      </c>
      <c r="J85" s="2">
        <v>0.0</v>
      </c>
      <c r="K85" s="2">
        <v>0.0</v>
      </c>
      <c r="L85" s="2">
        <v>0.0</v>
      </c>
    </row>
    <row r="86">
      <c r="A86" s="12">
        <v>46047.0</v>
      </c>
      <c r="B86" s="6" t="s">
        <v>63</v>
      </c>
      <c r="C86" s="2">
        <v>0.0</v>
      </c>
      <c r="D86" s="16">
        <f t="shared" si="3"/>
        <v>7.92</v>
      </c>
      <c r="E86" s="17">
        <f>D86/B1</f>
        <v>0.396</v>
      </c>
      <c r="F86" s="16">
        <f t="shared" si="4"/>
        <v>10.43</v>
      </c>
      <c r="G86" s="17">
        <f>F86/B2</f>
        <v>0.5215</v>
      </c>
      <c r="H86" s="15">
        <f t="shared" si="5"/>
        <v>10.25</v>
      </c>
      <c r="I86" s="14">
        <f>H86/B3</f>
        <v>0.5125</v>
      </c>
      <c r="J86" s="2">
        <v>0.0</v>
      </c>
      <c r="K86" s="2">
        <v>0.0</v>
      </c>
      <c r="L86" s="2">
        <v>0.0</v>
      </c>
    </row>
    <row r="87">
      <c r="A87" s="12">
        <v>46048.0</v>
      </c>
      <c r="B87" s="6" t="s">
        <v>61</v>
      </c>
      <c r="C87" s="2">
        <v>0.0</v>
      </c>
      <c r="D87" s="16">
        <f t="shared" si="3"/>
        <v>7.92</v>
      </c>
      <c r="E87" s="17">
        <f>D87/B1</f>
        <v>0.396</v>
      </c>
      <c r="F87" s="16">
        <f t="shared" si="4"/>
        <v>10.43</v>
      </c>
      <c r="G87" s="17">
        <f>F87/B2</f>
        <v>0.5215</v>
      </c>
      <c r="H87" s="15">
        <f t="shared" si="5"/>
        <v>10.25</v>
      </c>
      <c r="I87" s="14">
        <f>H87/B3</f>
        <v>0.5125</v>
      </c>
      <c r="J87" s="2">
        <v>0.0</v>
      </c>
      <c r="K87" s="2">
        <v>0.0</v>
      </c>
      <c r="L87" s="2">
        <v>0.0</v>
      </c>
    </row>
    <row r="88">
      <c r="A88" s="12">
        <v>46048.0</v>
      </c>
      <c r="B88" s="6" t="s">
        <v>62</v>
      </c>
      <c r="C88" s="2">
        <v>0.0</v>
      </c>
      <c r="D88" s="16">
        <f t="shared" si="3"/>
        <v>7.92</v>
      </c>
      <c r="E88" s="17">
        <f>D88/B1</f>
        <v>0.396</v>
      </c>
      <c r="F88" s="16">
        <f t="shared" si="4"/>
        <v>10.43</v>
      </c>
      <c r="G88" s="17">
        <f>F88/B2</f>
        <v>0.5215</v>
      </c>
      <c r="H88" s="15">
        <f t="shared" si="5"/>
        <v>10.25</v>
      </c>
      <c r="I88" s="14">
        <f>H88/B3</f>
        <v>0.5125</v>
      </c>
      <c r="J88" s="2">
        <v>0.0</v>
      </c>
      <c r="K88" s="2">
        <v>0.0</v>
      </c>
      <c r="L88" s="2">
        <v>0.0</v>
      </c>
    </row>
    <row r="89">
      <c r="A89" s="12">
        <v>46048.0</v>
      </c>
      <c r="B89" s="6" t="s">
        <v>63</v>
      </c>
      <c r="C89" s="2">
        <v>0.0</v>
      </c>
      <c r="D89" s="16">
        <f t="shared" si="3"/>
        <v>7.92</v>
      </c>
      <c r="E89" s="17">
        <f>D89/B1</f>
        <v>0.396</v>
      </c>
      <c r="F89" s="16">
        <f t="shared" si="4"/>
        <v>10.43</v>
      </c>
      <c r="G89" s="17">
        <f>F89/B2</f>
        <v>0.5215</v>
      </c>
      <c r="H89" s="15">
        <f t="shared" si="5"/>
        <v>10.25</v>
      </c>
      <c r="I89" s="14">
        <f>H89/B3</f>
        <v>0.5125</v>
      </c>
      <c r="J89" s="2">
        <v>0.0</v>
      </c>
      <c r="K89" s="2">
        <v>0.0</v>
      </c>
      <c r="L89" s="2">
        <v>0.0</v>
      </c>
    </row>
    <row r="90">
      <c r="A90" s="12">
        <v>46049.0</v>
      </c>
      <c r="B90" s="6" t="s">
        <v>61</v>
      </c>
      <c r="C90" s="2">
        <v>0.0</v>
      </c>
      <c r="D90" s="16">
        <f t="shared" si="3"/>
        <v>7.92</v>
      </c>
      <c r="E90" s="17">
        <f>D90/B1</f>
        <v>0.396</v>
      </c>
      <c r="F90" s="16">
        <f t="shared" si="4"/>
        <v>10.43</v>
      </c>
      <c r="G90" s="17">
        <f>F90/B2</f>
        <v>0.5215</v>
      </c>
      <c r="H90" s="15">
        <f t="shared" si="5"/>
        <v>10.25</v>
      </c>
      <c r="I90" s="14">
        <f>H90/B3</f>
        <v>0.5125</v>
      </c>
      <c r="J90" s="2">
        <v>0.0</v>
      </c>
      <c r="K90" s="2">
        <v>0.0</v>
      </c>
      <c r="L90" s="2">
        <v>0.0</v>
      </c>
    </row>
    <row r="91">
      <c r="A91" s="12">
        <v>46049.0</v>
      </c>
      <c r="B91" s="6" t="s">
        <v>62</v>
      </c>
      <c r="C91" s="2">
        <v>0.0</v>
      </c>
      <c r="D91" s="16">
        <f t="shared" si="3"/>
        <v>7.92</v>
      </c>
      <c r="E91" s="17">
        <f>D91/B1</f>
        <v>0.396</v>
      </c>
      <c r="F91" s="16">
        <f t="shared" si="4"/>
        <v>10.43</v>
      </c>
      <c r="G91" s="17">
        <f>F91/B2</f>
        <v>0.5215</v>
      </c>
      <c r="H91" s="15">
        <f t="shared" si="5"/>
        <v>10.25</v>
      </c>
      <c r="I91" s="14">
        <f>H91/B3</f>
        <v>0.5125</v>
      </c>
      <c r="J91" s="2">
        <v>0.0</v>
      </c>
      <c r="K91" s="2">
        <v>0.0</v>
      </c>
      <c r="L91" s="2">
        <v>0.0</v>
      </c>
    </row>
    <row r="92">
      <c r="A92" s="12">
        <v>46049.0</v>
      </c>
      <c r="B92" s="6" t="s">
        <v>63</v>
      </c>
      <c r="C92" s="2">
        <v>0.0</v>
      </c>
      <c r="D92" s="16">
        <f t="shared" si="3"/>
        <v>7.92</v>
      </c>
      <c r="E92" s="17">
        <f>D92/B1</f>
        <v>0.396</v>
      </c>
      <c r="F92" s="16">
        <f t="shared" si="4"/>
        <v>10.43</v>
      </c>
      <c r="G92" s="17">
        <f>F92/B2</f>
        <v>0.5215</v>
      </c>
      <c r="H92" s="15">
        <f t="shared" si="5"/>
        <v>10.25</v>
      </c>
      <c r="I92" s="14">
        <f>H92/B3</f>
        <v>0.5125</v>
      </c>
      <c r="J92" s="2">
        <v>0.0</v>
      </c>
      <c r="K92" s="2">
        <v>0.0</v>
      </c>
      <c r="L92" s="2">
        <v>0.0</v>
      </c>
    </row>
    <row r="93">
      <c r="A93" s="12">
        <v>46050.0</v>
      </c>
      <c r="B93" s="6" t="s">
        <v>61</v>
      </c>
      <c r="C93" s="2">
        <v>0.0</v>
      </c>
      <c r="D93" s="16">
        <f t="shared" si="3"/>
        <v>7.92</v>
      </c>
      <c r="E93" s="17">
        <f>D93/B1</f>
        <v>0.396</v>
      </c>
      <c r="F93" s="16">
        <f t="shared" si="4"/>
        <v>10.43</v>
      </c>
      <c r="G93" s="17">
        <f>F93/B2</f>
        <v>0.5215</v>
      </c>
      <c r="H93" s="15">
        <f t="shared" si="5"/>
        <v>10.25</v>
      </c>
      <c r="I93" s="14">
        <f>H93/B3</f>
        <v>0.5125</v>
      </c>
      <c r="J93" s="2">
        <v>0.0</v>
      </c>
      <c r="K93" s="2">
        <v>0.0</v>
      </c>
      <c r="L93" s="2">
        <v>0.0</v>
      </c>
    </row>
    <row r="94">
      <c r="A94" s="12">
        <v>46050.0</v>
      </c>
      <c r="B94" s="6" t="s">
        <v>62</v>
      </c>
      <c r="C94" s="2">
        <v>0.0</v>
      </c>
      <c r="D94" s="16">
        <f t="shared" si="3"/>
        <v>7.92</v>
      </c>
      <c r="E94" s="17">
        <f>D94/B1</f>
        <v>0.396</v>
      </c>
      <c r="F94" s="16">
        <f t="shared" si="4"/>
        <v>10.43</v>
      </c>
      <c r="G94" s="17">
        <f>F94/B2</f>
        <v>0.5215</v>
      </c>
      <c r="H94" s="15">
        <f t="shared" si="5"/>
        <v>10.25</v>
      </c>
      <c r="I94" s="14">
        <f>H94/B3</f>
        <v>0.5125</v>
      </c>
      <c r="J94" s="2">
        <v>0.0</v>
      </c>
      <c r="K94" s="2">
        <v>0.0</v>
      </c>
      <c r="L94" s="2">
        <v>0.0</v>
      </c>
    </row>
    <row r="95">
      <c r="A95" s="12">
        <v>46050.0</v>
      </c>
      <c r="B95" s="6" t="s">
        <v>63</v>
      </c>
      <c r="C95" s="2">
        <v>0.0</v>
      </c>
      <c r="D95" s="16">
        <f t="shared" si="3"/>
        <v>7.92</v>
      </c>
      <c r="E95" s="17">
        <f>D95/B1</f>
        <v>0.396</v>
      </c>
      <c r="F95" s="16">
        <f t="shared" si="4"/>
        <v>10.43</v>
      </c>
      <c r="G95" s="17">
        <f>F95/B2</f>
        <v>0.5215</v>
      </c>
      <c r="H95" s="15">
        <f t="shared" si="5"/>
        <v>10.25</v>
      </c>
      <c r="I95" s="14">
        <f>H95/B3</f>
        <v>0.5125</v>
      </c>
      <c r="J95" s="2">
        <v>0.0</v>
      </c>
      <c r="K95" s="2">
        <v>0.0</v>
      </c>
      <c r="L95" s="2">
        <v>0.0</v>
      </c>
    </row>
    <row r="96">
      <c r="A96" s="12">
        <v>46051.0</v>
      </c>
      <c r="B96" s="6" t="s">
        <v>61</v>
      </c>
      <c r="C96" s="2">
        <v>0.0</v>
      </c>
      <c r="D96" s="16">
        <f t="shared" si="3"/>
        <v>7.92</v>
      </c>
      <c r="E96" s="17">
        <f>D96/B1</f>
        <v>0.396</v>
      </c>
      <c r="F96" s="16">
        <f t="shared" si="4"/>
        <v>10.43</v>
      </c>
      <c r="G96" s="17">
        <f>F96/B2</f>
        <v>0.5215</v>
      </c>
      <c r="H96" s="15">
        <f t="shared" si="5"/>
        <v>10.25</v>
      </c>
      <c r="I96" s="14">
        <f>H96/B3</f>
        <v>0.5125</v>
      </c>
      <c r="J96" s="2">
        <v>0.0</v>
      </c>
      <c r="K96" s="2">
        <v>0.0</v>
      </c>
      <c r="L96" s="2">
        <v>0.0</v>
      </c>
    </row>
    <row r="97">
      <c r="A97" s="12">
        <v>46051.0</v>
      </c>
      <c r="B97" s="6" t="s">
        <v>62</v>
      </c>
      <c r="C97" s="2">
        <v>0.0</v>
      </c>
      <c r="D97" s="16">
        <f t="shared" si="3"/>
        <v>7.92</v>
      </c>
      <c r="E97" s="17">
        <f>D97/B1</f>
        <v>0.396</v>
      </c>
      <c r="F97" s="16">
        <f t="shared" si="4"/>
        <v>10.43</v>
      </c>
      <c r="G97" s="17">
        <f>F97/B2</f>
        <v>0.5215</v>
      </c>
      <c r="H97" s="15">
        <f t="shared" si="5"/>
        <v>10.25</v>
      </c>
      <c r="I97" s="14">
        <f>H97/B3</f>
        <v>0.5125</v>
      </c>
      <c r="J97" s="2">
        <v>0.0</v>
      </c>
      <c r="K97" s="2">
        <v>0.0</v>
      </c>
      <c r="L97" s="2">
        <v>0.0</v>
      </c>
    </row>
    <row r="98">
      <c r="A98" s="12">
        <v>46051.0</v>
      </c>
      <c r="B98" s="6" t="s">
        <v>63</v>
      </c>
      <c r="C98" s="2">
        <v>0.0</v>
      </c>
      <c r="D98" s="16">
        <f t="shared" si="3"/>
        <v>7.92</v>
      </c>
      <c r="E98" s="17">
        <f>D98/B1</f>
        <v>0.396</v>
      </c>
      <c r="F98" s="16">
        <f t="shared" si="4"/>
        <v>10.43</v>
      </c>
      <c r="G98" s="17">
        <f>F98/B2</f>
        <v>0.5215</v>
      </c>
      <c r="H98" s="15">
        <f t="shared" si="5"/>
        <v>10.25</v>
      </c>
      <c r="I98" s="14">
        <f>H98/B3</f>
        <v>0.5125</v>
      </c>
      <c r="J98" s="2">
        <v>0.0</v>
      </c>
      <c r="K98" s="2">
        <v>0.0</v>
      </c>
      <c r="L98" s="2">
        <v>0.0</v>
      </c>
    </row>
    <row r="99">
      <c r="A99" s="12">
        <v>46052.0</v>
      </c>
      <c r="B99" s="6" t="s">
        <v>61</v>
      </c>
      <c r="C99" s="2">
        <v>0.0</v>
      </c>
      <c r="D99" s="16">
        <f t="shared" si="3"/>
        <v>7.92</v>
      </c>
      <c r="E99" s="17">
        <f>D99/B1</f>
        <v>0.396</v>
      </c>
      <c r="F99" s="16">
        <f t="shared" si="4"/>
        <v>10.43</v>
      </c>
      <c r="G99" s="17">
        <f>F99/B2</f>
        <v>0.5215</v>
      </c>
      <c r="H99" s="15">
        <f t="shared" si="5"/>
        <v>10.25</v>
      </c>
      <c r="I99" s="14">
        <f>H99/B3</f>
        <v>0.5125</v>
      </c>
      <c r="J99" s="2">
        <v>0.0</v>
      </c>
      <c r="K99" s="2">
        <v>0.0</v>
      </c>
      <c r="L99" s="2">
        <v>0.0</v>
      </c>
    </row>
    <row r="100">
      <c r="A100" s="12">
        <v>46052.0</v>
      </c>
      <c r="B100" s="6" t="s">
        <v>62</v>
      </c>
      <c r="C100" s="2">
        <v>0.0</v>
      </c>
      <c r="D100" s="16">
        <f t="shared" si="3"/>
        <v>7.92</v>
      </c>
      <c r="E100" s="17">
        <f>D100/B1</f>
        <v>0.396</v>
      </c>
      <c r="F100" s="16">
        <f t="shared" si="4"/>
        <v>10.43</v>
      </c>
      <c r="G100" s="17">
        <f>F100/B2</f>
        <v>0.5215</v>
      </c>
      <c r="H100" s="15">
        <f t="shared" si="5"/>
        <v>10.25</v>
      </c>
      <c r="I100" s="14">
        <f>H100/B3</f>
        <v>0.5125</v>
      </c>
      <c r="J100" s="2">
        <v>0.0</v>
      </c>
      <c r="K100" s="2">
        <v>0.0</v>
      </c>
      <c r="L100" s="2">
        <v>0.0</v>
      </c>
    </row>
    <row r="101">
      <c r="A101" s="12">
        <v>46052.0</v>
      </c>
      <c r="B101" s="6" t="s">
        <v>63</v>
      </c>
      <c r="C101" s="2">
        <v>0.0</v>
      </c>
      <c r="D101" s="16">
        <f t="shared" si="3"/>
        <v>7.92</v>
      </c>
      <c r="E101" s="17">
        <f>D101/B1</f>
        <v>0.396</v>
      </c>
      <c r="F101" s="16">
        <f t="shared" si="4"/>
        <v>10.43</v>
      </c>
      <c r="G101" s="17">
        <f>F101/B2</f>
        <v>0.5215</v>
      </c>
      <c r="H101" s="15">
        <f t="shared" si="5"/>
        <v>10.25</v>
      </c>
      <c r="I101" s="14">
        <f>H101/B3</f>
        <v>0.5125</v>
      </c>
      <c r="J101" s="2">
        <v>0.0</v>
      </c>
      <c r="K101" s="2">
        <v>0.0</v>
      </c>
      <c r="L101" s="2">
        <v>0.0</v>
      </c>
    </row>
    <row r="102">
      <c r="A102" s="20">
        <v>46053.0</v>
      </c>
      <c r="B102" s="21" t="s">
        <v>61</v>
      </c>
      <c r="C102" s="22">
        <v>1.62</v>
      </c>
      <c r="D102" s="23">
        <f t="shared" si="3"/>
        <v>6.3</v>
      </c>
      <c r="E102" s="24">
        <f>D102/B1</f>
        <v>0.315</v>
      </c>
      <c r="F102" s="23">
        <f t="shared" si="4"/>
        <v>10.43</v>
      </c>
      <c r="G102" s="24">
        <f>F102/B2</f>
        <v>0.5215</v>
      </c>
      <c r="H102" s="25">
        <f t="shared" si="5"/>
        <v>10.25</v>
      </c>
      <c r="I102" s="26">
        <f>H102/B3</f>
        <v>0.5125</v>
      </c>
      <c r="J102" s="22">
        <v>0.0</v>
      </c>
      <c r="K102" s="22">
        <v>0.0</v>
      </c>
      <c r="L102" s="22">
        <v>0.0</v>
      </c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</row>
    <row r="103">
      <c r="A103" s="20">
        <v>46053.0</v>
      </c>
      <c r="B103" s="21" t="s">
        <v>62</v>
      </c>
      <c r="C103" s="22">
        <v>1.62</v>
      </c>
      <c r="D103" s="23">
        <f t="shared" si="3"/>
        <v>6.3</v>
      </c>
      <c r="E103" s="24">
        <f>D103/B1</f>
        <v>0.315</v>
      </c>
      <c r="F103" s="23">
        <f t="shared" si="4"/>
        <v>8.81</v>
      </c>
      <c r="G103" s="24">
        <f>F103/B2</f>
        <v>0.4405</v>
      </c>
      <c r="H103" s="25">
        <f t="shared" si="5"/>
        <v>10.25</v>
      </c>
      <c r="I103" s="26">
        <f>H103/B3</f>
        <v>0.5125</v>
      </c>
      <c r="J103" s="22">
        <v>0.0</v>
      </c>
      <c r="K103" s="22">
        <v>0.0</v>
      </c>
      <c r="L103" s="22">
        <v>0.0</v>
      </c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</row>
    <row r="104">
      <c r="A104" s="20">
        <v>46053.0</v>
      </c>
      <c r="B104" s="21" t="s">
        <v>63</v>
      </c>
      <c r="C104" s="22">
        <v>0.0</v>
      </c>
      <c r="D104" s="23">
        <f t="shared" si="3"/>
        <v>6.3</v>
      </c>
      <c r="E104" s="24">
        <f>D104/B1</f>
        <v>0.315</v>
      </c>
      <c r="F104" s="23">
        <f t="shared" si="4"/>
        <v>8.81</v>
      </c>
      <c r="G104" s="24">
        <f>F104/B2</f>
        <v>0.4405</v>
      </c>
      <c r="H104" s="25">
        <f t="shared" si="5"/>
        <v>10.25</v>
      </c>
      <c r="I104" s="26">
        <f>H104/B3</f>
        <v>0.5125</v>
      </c>
      <c r="J104" s="22">
        <v>0.0</v>
      </c>
      <c r="K104" s="22">
        <v>0.0</v>
      </c>
      <c r="L104" s="22">
        <v>0.0</v>
      </c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</row>
    <row r="105">
      <c r="A105" s="20">
        <v>46054.0</v>
      </c>
      <c r="B105" s="21" t="s">
        <v>61</v>
      </c>
      <c r="C105" s="22">
        <v>0.0</v>
      </c>
      <c r="D105" s="23">
        <f t="shared" si="3"/>
        <v>6.3</v>
      </c>
      <c r="E105" s="24">
        <f>D105/B1</f>
        <v>0.315</v>
      </c>
      <c r="F105" s="23">
        <f t="shared" si="4"/>
        <v>8.81</v>
      </c>
      <c r="G105" s="24">
        <f>F105/B2</f>
        <v>0.4405</v>
      </c>
      <c r="H105" s="25">
        <f t="shared" si="5"/>
        <v>10.25</v>
      </c>
      <c r="I105" s="26">
        <f>H105/B3</f>
        <v>0.5125</v>
      </c>
      <c r="J105" s="22">
        <v>0.0</v>
      </c>
      <c r="K105" s="22">
        <v>0.0</v>
      </c>
      <c r="L105" s="22">
        <v>0.0</v>
      </c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</row>
    <row r="106">
      <c r="A106" s="20">
        <v>46054.0</v>
      </c>
      <c r="B106" s="21" t="s">
        <v>62</v>
      </c>
      <c r="C106" s="22">
        <v>0.0</v>
      </c>
      <c r="D106" s="23">
        <f t="shared" si="3"/>
        <v>6.3</v>
      </c>
      <c r="E106" s="24">
        <f>D106/B1</f>
        <v>0.315</v>
      </c>
      <c r="F106" s="23">
        <f t="shared" si="4"/>
        <v>8.81</v>
      </c>
      <c r="G106" s="24">
        <f>F106/B2</f>
        <v>0.4405</v>
      </c>
      <c r="H106" s="25">
        <f t="shared" si="5"/>
        <v>10.25</v>
      </c>
      <c r="I106" s="26">
        <f>H106/B3</f>
        <v>0.5125</v>
      </c>
      <c r="J106" s="22">
        <v>0.0</v>
      </c>
      <c r="K106" s="22">
        <v>0.0</v>
      </c>
      <c r="L106" s="22">
        <v>0.0</v>
      </c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</row>
    <row r="107">
      <c r="A107" s="20">
        <v>46054.0</v>
      </c>
      <c r="B107" s="21" t="s">
        <v>63</v>
      </c>
      <c r="C107" s="22">
        <v>0.0</v>
      </c>
      <c r="D107" s="23">
        <f t="shared" si="3"/>
        <v>6.3</v>
      </c>
      <c r="E107" s="24">
        <f>D107/B1</f>
        <v>0.315</v>
      </c>
      <c r="F107" s="23">
        <f t="shared" si="4"/>
        <v>8.81</v>
      </c>
      <c r="G107" s="24">
        <f>F107/B2</f>
        <v>0.4405</v>
      </c>
      <c r="H107" s="25">
        <f t="shared" si="5"/>
        <v>10.25</v>
      </c>
      <c r="I107" s="26">
        <f>H107/B3</f>
        <v>0.5125</v>
      </c>
      <c r="J107" s="22">
        <v>0.0</v>
      </c>
      <c r="K107" s="22">
        <v>0.0</v>
      </c>
      <c r="L107" s="22">
        <v>0.0</v>
      </c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</row>
    <row r="108">
      <c r="A108" s="20">
        <v>46055.0</v>
      </c>
      <c r="B108" s="21" t="s">
        <v>61</v>
      </c>
      <c r="C108" s="29">
        <v>0.93</v>
      </c>
      <c r="D108" s="23">
        <f t="shared" si="3"/>
        <v>5.37</v>
      </c>
      <c r="E108" s="24">
        <f>D108/B1</f>
        <v>0.2685</v>
      </c>
      <c r="F108" s="23">
        <f t="shared" si="4"/>
        <v>8.81</v>
      </c>
      <c r="G108" s="24">
        <f>F108/B2</f>
        <v>0.4405</v>
      </c>
      <c r="H108" s="25">
        <f t="shared" si="5"/>
        <v>10.25</v>
      </c>
      <c r="I108" s="26">
        <f>H108/B3</f>
        <v>0.5125</v>
      </c>
      <c r="J108" s="22">
        <v>0.0</v>
      </c>
      <c r="K108" s="22">
        <v>0.0</v>
      </c>
      <c r="L108" s="22">
        <v>0.0</v>
      </c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</row>
    <row r="109">
      <c r="A109" s="20">
        <v>46055.0</v>
      </c>
      <c r="B109" s="21" t="s">
        <v>62</v>
      </c>
      <c r="C109" s="29">
        <v>1.0</v>
      </c>
      <c r="D109" s="23">
        <f t="shared" si="3"/>
        <v>5.37</v>
      </c>
      <c r="E109" s="24">
        <f>D109/B1</f>
        <v>0.2685</v>
      </c>
      <c r="F109" s="23">
        <f t="shared" si="4"/>
        <v>7.81</v>
      </c>
      <c r="G109" s="24">
        <f>F109/B2</f>
        <v>0.3905</v>
      </c>
      <c r="H109" s="25">
        <f t="shared" si="5"/>
        <v>10.25</v>
      </c>
      <c r="I109" s="26">
        <f>H109/B3</f>
        <v>0.5125</v>
      </c>
      <c r="J109" s="22">
        <v>0.0</v>
      </c>
      <c r="K109" s="22">
        <v>0.0</v>
      </c>
      <c r="L109" s="22">
        <v>0.0</v>
      </c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</row>
    <row r="110">
      <c r="A110" s="20">
        <v>46055.0</v>
      </c>
      <c r="B110" s="21" t="s">
        <v>63</v>
      </c>
      <c r="C110" s="22">
        <v>0.0</v>
      </c>
      <c r="D110" s="23">
        <f t="shared" si="3"/>
        <v>5.37</v>
      </c>
      <c r="E110" s="24">
        <f>D110/B1</f>
        <v>0.2685</v>
      </c>
      <c r="F110" s="23">
        <f t="shared" si="4"/>
        <v>7.81</v>
      </c>
      <c r="G110" s="24">
        <f>F110/B2</f>
        <v>0.3905</v>
      </c>
      <c r="H110" s="25">
        <f t="shared" si="5"/>
        <v>10.25</v>
      </c>
      <c r="I110" s="26">
        <f>H110/B3</f>
        <v>0.5125</v>
      </c>
      <c r="J110" s="22">
        <v>0.0</v>
      </c>
      <c r="K110" s="22">
        <v>0.0</v>
      </c>
      <c r="L110" s="22">
        <v>0.0</v>
      </c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</row>
    <row r="111">
      <c r="A111" s="20">
        <v>46056.0</v>
      </c>
      <c r="B111" s="21" t="s">
        <v>61</v>
      </c>
      <c r="C111" s="29">
        <v>0.97</v>
      </c>
      <c r="D111" s="23">
        <f t="shared" si="3"/>
        <v>4.4</v>
      </c>
      <c r="E111" s="24">
        <f>D111/B1</f>
        <v>0.22</v>
      </c>
      <c r="F111" s="23">
        <f t="shared" si="4"/>
        <v>7.81</v>
      </c>
      <c r="G111" s="24">
        <f>F111/B2</f>
        <v>0.3905</v>
      </c>
      <c r="H111" s="25">
        <f t="shared" si="5"/>
        <v>10.25</v>
      </c>
      <c r="I111" s="26">
        <f>H111/B3</f>
        <v>0.5125</v>
      </c>
      <c r="J111" s="22">
        <v>0.0</v>
      </c>
      <c r="K111" s="22">
        <v>0.0</v>
      </c>
      <c r="L111" s="22">
        <v>0.0</v>
      </c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</row>
    <row r="112">
      <c r="A112" s="20">
        <v>46056.0</v>
      </c>
      <c r="B112" s="21" t="s">
        <v>62</v>
      </c>
      <c r="C112" s="29">
        <v>1.0</v>
      </c>
      <c r="D112" s="23">
        <f t="shared" si="3"/>
        <v>4.4</v>
      </c>
      <c r="E112" s="24">
        <f>D112/B1</f>
        <v>0.22</v>
      </c>
      <c r="F112" s="23">
        <f t="shared" si="4"/>
        <v>6.81</v>
      </c>
      <c r="G112" s="24">
        <f>F112/B2</f>
        <v>0.3405</v>
      </c>
      <c r="H112" s="25">
        <f t="shared" si="5"/>
        <v>10.25</v>
      </c>
      <c r="I112" s="26">
        <f>H112/B3</f>
        <v>0.5125</v>
      </c>
      <c r="J112" s="22">
        <v>0.0</v>
      </c>
      <c r="K112" s="22">
        <v>0.0</v>
      </c>
      <c r="L112" s="22">
        <v>0.0</v>
      </c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</row>
    <row r="113">
      <c r="A113" s="20">
        <v>46056.0</v>
      </c>
      <c r="B113" s="21" t="s">
        <v>63</v>
      </c>
      <c r="C113" s="22">
        <v>0.0</v>
      </c>
      <c r="D113" s="23">
        <f t="shared" si="3"/>
        <v>4.4</v>
      </c>
      <c r="E113" s="24">
        <f>D113/B1</f>
        <v>0.22</v>
      </c>
      <c r="F113" s="23">
        <f t="shared" si="4"/>
        <v>6.81</v>
      </c>
      <c r="G113" s="24">
        <f>F113/B2</f>
        <v>0.3405</v>
      </c>
      <c r="H113" s="25">
        <f t="shared" si="5"/>
        <v>10.25</v>
      </c>
      <c r="I113" s="26">
        <f>H113/B3</f>
        <v>0.5125</v>
      </c>
      <c r="J113" s="22">
        <v>0.0</v>
      </c>
      <c r="K113" s="22">
        <v>0.0</v>
      </c>
      <c r="L113" s="22">
        <v>0.0</v>
      </c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</row>
    <row r="114">
      <c r="A114" s="20">
        <v>46057.0</v>
      </c>
      <c r="B114" s="21" t="s">
        <v>61</v>
      </c>
      <c r="C114" s="22">
        <v>0.0</v>
      </c>
      <c r="D114" s="23">
        <f t="shared" si="3"/>
        <v>4.4</v>
      </c>
      <c r="E114" s="24">
        <f>D114/B1</f>
        <v>0.22</v>
      </c>
      <c r="F114" s="23">
        <f t="shared" si="4"/>
        <v>6.81</v>
      </c>
      <c r="G114" s="24">
        <f>F114/B2</f>
        <v>0.3405</v>
      </c>
      <c r="H114" s="25">
        <f t="shared" si="5"/>
        <v>10.25</v>
      </c>
      <c r="I114" s="26">
        <f>H114/B3</f>
        <v>0.5125</v>
      </c>
      <c r="J114" s="22">
        <v>0.0</v>
      </c>
      <c r="K114" s="22">
        <v>0.0</v>
      </c>
      <c r="L114" s="22">
        <v>0.0</v>
      </c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</row>
    <row r="115">
      <c r="A115" s="20">
        <v>46057.0</v>
      </c>
      <c r="B115" s="21" t="s">
        <v>62</v>
      </c>
      <c r="C115" s="22">
        <v>0.0</v>
      </c>
      <c r="D115" s="23">
        <f t="shared" si="3"/>
        <v>4.4</v>
      </c>
      <c r="E115" s="24">
        <f>D115/B1</f>
        <v>0.22</v>
      </c>
      <c r="F115" s="23">
        <f t="shared" si="4"/>
        <v>6.81</v>
      </c>
      <c r="G115" s="24">
        <f>F115/B2</f>
        <v>0.3405</v>
      </c>
      <c r="H115" s="25">
        <f t="shared" si="5"/>
        <v>10.25</v>
      </c>
      <c r="I115" s="26">
        <f>H115/B3</f>
        <v>0.5125</v>
      </c>
      <c r="J115" s="22">
        <v>0.0</v>
      </c>
      <c r="K115" s="22">
        <v>0.0</v>
      </c>
      <c r="L115" s="22">
        <v>0.0</v>
      </c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</row>
    <row r="116">
      <c r="A116" s="20">
        <v>46057.0</v>
      </c>
      <c r="B116" s="21" t="s">
        <v>63</v>
      </c>
      <c r="C116" s="22">
        <v>0.0</v>
      </c>
      <c r="D116" s="23">
        <f t="shared" si="3"/>
        <v>4.4</v>
      </c>
      <c r="E116" s="24">
        <f>D116/B1</f>
        <v>0.22</v>
      </c>
      <c r="F116" s="23">
        <f t="shared" si="4"/>
        <v>6.81</v>
      </c>
      <c r="G116" s="24">
        <f>F116/B2</f>
        <v>0.3405</v>
      </c>
      <c r="H116" s="25">
        <f t="shared" si="5"/>
        <v>10.25</v>
      </c>
      <c r="I116" s="26">
        <f>H116/B3</f>
        <v>0.5125</v>
      </c>
      <c r="J116" s="22">
        <v>0.0</v>
      </c>
      <c r="K116" s="22">
        <v>0.0</v>
      </c>
      <c r="L116" s="22">
        <v>0.0</v>
      </c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</row>
    <row r="117">
      <c r="A117" s="20">
        <v>46058.0</v>
      </c>
      <c r="B117" s="21" t="s">
        <v>61</v>
      </c>
      <c r="C117" s="29">
        <v>1.63</v>
      </c>
      <c r="D117" s="23">
        <f t="shared" si="3"/>
        <v>2.77</v>
      </c>
      <c r="E117" s="24">
        <f>D117/B1</f>
        <v>0.1385</v>
      </c>
      <c r="F117" s="23">
        <f t="shared" si="4"/>
        <v>6.81</v>
      </c>
      <c r="G117" s="24">
        <f>F117/B2</f>
        <v>0.3405</v>
      </c>
      <c r="H117" s="25">
        <f t="shared" si="5"/>
        <v>10.25</v>
      </c>
      <c r="I117" s="26">
        <f>H117/B3</f>
        <v>0.5125</v>
      </c>
      <c r="J117" s="22">
        <v>0.0</v>
      </c>
      <c r="K117" s="22">
        <v>0.0</v>
      </c>
      <c r="L117" s="22">
        <v>0.0</v>
      </c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</row>
    <row r="118">
      <c r="A118" s="20">
        <v>46058.0</v>
      </c>
      <c r="B118" s="21" t="s">
        <v>62</v>
      </c>
      <c r="C118" s="29">
        <v>1.79</v>
      </c>
      <c r="D118" s="23">
        <f t="shared" si="3"/>
        <v>2.77</v>
      </c>
      <c r="E118" s="24">
        <f>D118/B1</f>
        <v>0.1385</v>
      </c>
      <c r="F118" s="23">
        <f t="shared" si="4"/>
        <v>5.02</v>
      </c>
      <c r="G118" s="24">
        <f>F118/B2</f>
        <v>0.251</v>
      </c>
      <c r="H118" s="25">
        <f t="shared" si="5"/>
        <v>10.25</v>
      </c>
      <c r="I118" s="26">
        <f>H118/B3</f>
        <v>0.5125</v>
      </c>
      <c r="J118" s="22">
        <v>0.0</v>
      </c>
      <c r="K118" s="22">
        <v>0.0</v>
      </c>
      <c r="L118" s="22">
        <v>0.0</v>
      </c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</row>
    <row r="119">
      <c r="A119" s="20">
        <v>46058.0</v>
      </c>
      <c r="B119" s="21" t="s">
        <v>63</v>
      </c>
      <c r="C119" s="22">
        <v>0.0</v>
      </c>
      <c r="D119" s="23">
        <f t="shared" si="3"/>
        <v>2.77</v>
      </c>
      <c r="E119" s="24">
        <f>D119/B1</f>
        <v>0.1385</v>
      </c>
      <c r="F119" s="23">
        <f t="shared" si="4"/>
        <v>5.02</v>
      </c>
      <c r="G119" s="24">
        <f>F119/B2</f>
        <v>0.251</v>
      </c>
      <c r="H119" s="25">
        <f t="shared" si="5"/>
        <v>10.25</v>
      </c>
      <c r="I119" s="26">
        <f>H119/B3</f>
        <v>0.5125</v>
      </c>
      <c r="J119" s="22">
        <v>0.0</v>
      </c>
      <c r="K119" s="22">
        <v>0.0</v>
      </c>
      <c r="L119" s="22">
        <v>0.0</v>
      </c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</row>
    <row r="120">
      <c r="A120" s="20">
        <v>46059.0</v>
      </c>
      <c r="B120" s="21" t="s">
        <v>61</v>
      </c>
      <c r="C120" s="29">
        <v>1.47</v>
      </c>
      <c r="D120" s="23">
        <f t="shared" si="3"/>
        <v>1.3</v>
      </c>
      <c r="E120" s="24">
        <f>D120/B1</f>
        <v>0.065</v>
      </c>
      <c r="F120" s="23">
        <f t="shared" si="4"/>
        <v>5.02</v>
      </c>
      <c r="G120" s="24">
        <f>F120/B2</f>
        <v>0.251</v>
      </c>
      <c r="H120" s="25">
        <f t="shared" si="5"/>
        <v>10.25</v>
      </c>
      <c r="I120" s="26">
        <f>H120/B3</f>
        <v>0.5125</v>
      </c>
      <c r="J120" s="22">
        <v>0.0</v>
      </c>
      <c r="K120" s="22">
        <v>0.0</v>
      </c>
      <c r="L120" s="22">
        <v>0.0</v>
      </c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</row>
    <row r="121">
      <c r="A121" s="20">
        <v>46059.0</v>
      </c>
      <c r="B121" s="21" t="s">
        <v>62</v>
      </c>
      <c r="C121" s="29">
        <v>1.5</v>
      </c>
      <c r="D121" s="23">
        <f t="shared" si="3"/>
        <v>1.3</v>
      </c>
      <c r="E121" s="24">
        <f>D121/B1</f>
        <v>0.065</v>
      </c>
      <c r="F121" s="23">
        <f t="shared" si="4"/>
        <v>3.52</v>
      </c>
      <c r="G121" s="24">
        <f>F121/B2</f>
        <v>0.176</v>
      </c>
      <c r="H121" s="25">
        <f t="shared" si="5"/>
        <v>10.25</v>
      </c>
      <c r="I121" s="26">
        <f>H121/B3</f>
        <v>0.5125</v>
      </c>
      <c r="J121" s="22">
        <v>0.0</v>
      </c>
      <c r="K121" s="22">
        <v>0.0</v>
      </c>
      <c r="L121" s="22">
        <v>0.0</v>
      </c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</row>
    <row r="122">
      <c r="A122" s="20">
        <v>46059.0</v>
      </c>
      <c r="B122" s="21" t="s">
        <v>63</v>
      </c>
      <c r="C122" s="22">
        <v>0.0</v>
      </c>
      <c r="D122" s="23">
        <f t="shared" si="3"/>
        <v>1.3</v>
      </c>
      <c r="E122" s="24">
        <f>D122/B1</f>
        <v>0.065</v>
      </c>
      <c r="F122" s="23">
        <f t="shared" si="4"/>
        <v>3.52</v>
      </c>
      <c r="G122" s="24">
        <f>F122/B2</f>
        <v>0.176</v>
      </c>
      <c r="H122" s="25">
        <f t="shared" si="5"/>
        <v>10.25</v>
      </c>
      <c r="I122" s="26">
        <f>H122/B3</f>
        <v>0.5125</v>
      </c>
      <c r="J122" s="22">
        <v>0.0</v>
      </c>
      <c r="K122" s="22">
        <v>0.0</v>
      </c>
      <c r="L122" s="22">
        <v>0.0</v>
      </c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</row>
    <row r="123">
      <c r="A123" s="20">
        <v>46060.0</v>
      </c>
      <c r="B123" s="21" t="s">
        <v>61</v>
      </c>
      <c r="C123" s="22">
        <v>0.0</v>
      </c>
      <c r="D123" s="23">
        <f t="shared" si="3"/>
        <v>1.3</v>
      </c>
      <c r="E123" s="24">
        <f>D123/B1</f>
        <v>0.065</v>
      </c>
      <c r="F123" s="23">
        <f t="shared" si="4"/>
        <v>3.52</v>
      </c>
      <c r="G123" s="24">
        <f>F123/B2</f>
        <v>0.176</v>
      </c>
      <c r="H123" s="25">
        <f t="shared" si="5"/>
        <v>10.25</v>
      </c>
      <c r="I123" s="26">
        <f>H123/B3</f>
        <v>0.5125</v>
      </c>
      <c r="J123" s="22">
        <v>0.0</v>
      </c>
      <c r="K123" s="22">
        <v>0.0</v>
      </c>
      <c r="L123" s="22">
        <v>0.0</v>
      </c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</row>
    <row r="124">
      <c r="A124" s="20">
        <v>46060.0</v>
      </c>
      <c r="B124" s="21" t="s">
        <v>62</v>
      </c>
      <c r="C124" s="22">
        <v>0.0</v>
      </c>
      <c r="D124" s="23">
        <f t="shared" si="3"/>
        <v>1.3</v>
      </c>
      <c r="E124" s="24">
        <f>D124/B1</f>
        <v>0.065</v>
      </c>
      <c r="F124" s="23">
        <f t="shared" si="4"/>
        <v>3.52</v>
      </c>
      <c r="G124" s="24">
        <f>F124/B2</f>
        <v>0.176</v>
      </c>
      <c r="H124" s="25">
        <f t="shared" si="5"/>
        <v>10.25</v>
      </c>
      <c r="I124" s="26">
        <f>H124/B3</f>
        <v>0.5125</v>
      </c>
      <c r="J124" s="22">
        <v>0.0</v>
      </c>
      <c r="K124" s="22">
        <v>0.0</v>
      </c>
      <c r="L124" s="22">
        <v>0.0</v>
      </c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</row>
    <row r="125">
      <c r="A125" s="20">
        <v>46060.0</v>
      </c>
      <c r="B125" s="21" t="s">
        <v>63</v>
      </c>
      <c r="C125" s="22">
        <v>0.0</v>
      </c>
      <c r="D125" s="23">
        <f t="shared" si="3"/>
        <v>1.3</v>
      </c>
      <c r="E125" s="24">
        <f>D125/B1</f>
        <v>0.065</v>
      </c>
      <c r="F125" s="23">
        <f t="shared" si="4"/>
        <v>3.52</v>
      </c>
      <c r="G125" s="24">
        <f>F125/B2</f>
        <v>0.176</v>
      </c>
      <c r="H125" s="25">
        <f t="shared" si="5"/>
        <v>10.25</v>
      </c>
      <c r="I125" s="26">
        <f>H125/B3</f>
        <v>0.5125</v>
      </c>
      <c r="J125" s="22">
        <v>0.0</v>
      </c>
      <c r="K125" s="22">
        <v>0.0</v>
      </c>
      <c r="L125" s="22">
        <v>0.0</v>
      </c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</row>
    <row r="126">
      <c r="A126" s="20">
        <v>46061.0</v>
      </c>
      <c r="B126" s="21" t="s">
        <v>61</v>
      </c>
      <c r="C126" s="29">
        <v>1.3</v>
      </c>
      <c r="D126" s="23">
        <f t="shared" si="3"/>
        <v>0</v>
      </c>
      <c r="E126" s="24">
        <f>D126/B1</f>
        <v>0</v>
      </c>
      <c r="F126" s="23">
        <f t="shared" si="4"/>
        <v>3.52</v>
      </c>
      <c r="G126" s="24">
        <f>F126/B2</f>
        <v>0.176</v>
      </c>
      <c r="H126" s="25">
        <f t="shared" si="5"/>
        <v>10.25</v>
      </c>
      <c r="I126" s="26">
        <f>H126/B3</f>
        <v>0.5125</v>
      </c>
      <c r="J126" s="22">
        <v>0.0</v>
      </c>
      <c r="K126" s="22">
        <v>0.0</v>
      </c>
      <c r="L126" s="22">
        <v>0.0</v>
      </c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</row>
    <row r="127">
      <c r="A127" s="20">
        <v>46061.0</v>
      </c>
      <c r="B127" s="21" t="s">
        <v>62</v>
      </c>
      <c r="C127" s="29">
        <v>3.52</v>
      </c>
      <c r="D127" s="23">
        <f t="shared" si="3"/>
        <v>0</v>
      </c>
      <c r="E127" s="24">
        <f>D127/B1</f>
        <v>0</v>
      </c>
      <c r="F127" s="23">
        <f t="shared" si="4"/>
        <v>0</v>
      </c>
      <c r="G127" s="24">
        <f>F127/B2</f>
        <v>0</v>
      </c>
      <c r="H127" s="25">
        <f t="shared" si="5"/>
        <v>10.25</v>
      </c>
      <c r="I127" s="26">
        <f>H127/B3</f>
        <v>0.5125</v>
      </c>
      <c r="J127" s="22">
        <v>0.0</v>
      </c>
      <c r="K127" s="22">
        <v>0.0</v>
      </c>
      <c r="L127" s="22">
        <v>0.0</v>
      </c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</row>
    <row r="128">
      <c r="A128" s="20">
        <v>46061.0</v>
      </c>
      <c r="B128" s="21" t="s">
        <v>63</v>
      </c>
      <c r="C128" s="22">
        <v>0.0</v>
      </c>
      <c r="D128" s="23">
        <f t="shared" si="3"/>
        <v>0</v>
      </c>
      <c r="E128" s="24">
        <f>D128/B1</f>
        <v>0</v>
      </c>
      <c r="F128" s="23">
        <f t="shared" si="4"/>
        <v>0</v>
      </c>
      <c r="G128" s="24">
        <f>F128/B2</f>
        <v>0</v>
      </c>
      <c r="H128" s="25">
        <f t="shared" si="5"/>
        <v>10.25</v>
      </c>
      <c r="I128" s="26">
        <f>H128/B3</f>
        <v>0.5125</v>
      </c>
      <c r="J128" s="22">
        <v>0.0</v>
      </c>
      <c r="K128" s="22">
        <v>0.0</v>
      </c>
      <c r="L128" s="22">
        <v>0.0</v>
      </c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</row>
    <row r="129">
      <c r="A129" s="12">
        <v>46062.0</v>
      </c>
      <c r="B129" s="6" t="s">
        <v>61</v>
      </c>
      <c r="C129" s="2">
        <v>0.0</v>
      </c>
      <c r="D129" s="16">
        <f t="shared" si="3"/>
        <v>0</v>
      </c>
      <c r="E129" s="17">
        <f>D129/B1</f>
        <v>0</v>
      </c>
      <c r="F129" s="16">
        <f t="shared" si="4"/>
        <v>0</v>
      </c>
      <c r="G129" s="17">
        <f>F129/B2</f>
        <v>0</v>
      </c>
      <c r="H129" s="15">
        <f t="shared" si="5"/>
        <v>10.25</v>
      </c>
      <c r="I129" s="14">
        <f>H129/B3</f>
        <v>0.5125</v>
      </c>
      <c r="J129" s="2">
        <v>0.0</v>
      </c>
      <c r="K129" s="2">
        <v>0.0</v>
      </c>
      <c r="L129" s="2">
        <v>0.0</v>
      </c>
    </row>
    <row r="130">
      <c r="A130" s="12">
        <v>46062.0</v>
      </c>
      <c r="B130" s="6" t="s">
        <v>62</v>
      </c>
      <c r="C130" s="2">
        <v>0.0</v>
      </c>
      <c r="D130" s="16">
        <f t="shared" si="3"/>
        <v>0</v>
      </c>
      <c r="E130" s="17">
        <f>D130/B1</f>
        <v>0</v>
      </c>
      <c r="F130" s="16">
        <f t="shared" si="4"/>
        <v>0</v>
      </c>
      <c r="G130" s="17">
        <f>F130/B2</f>
        <v>0</v>
      </c>
      <c r="H130" s="15">
        <f t="shared" si="5"/>
        <v>10.25</v>
      </c>
      <c r="I130" s="14">
        <f>H130/B3</f>
        <v>0.5125</v>
      </c>
      <c r="J130" s="2">
        <v>0.0</v>
      </c>
      <c r="K130" s="2">
        <v>0.0</v>
      </c>
      <c r="L130" s="2">
        <v>0.0</v>
      </c>
    </row>
    <row r="131">
      <c r="A131" s="12">
        <v>46062.0</v>
      </c>
      <c r="B131" s="6" t="s">
        <v>63</v>
      </c>
      <c r="C131" s="2">
        <v>0.0</v>
      </c>
      <c r="D131" s="16">
        <f t="shared" si="3"/>
        <v>0</v>
      </c>
      <c r="E131" s="17">
        <f>D131/B1</f>
        <v>0</v>
      </c>
      <c r="F131" s="16">
        <f t="shared" si="4"/>
        <v>0</v>
      </c>
      <c r="G131" s="17">
        <f>F131/B2</f>
        <v>0</v>
      </c>
      <c r="H131" s="15">
        <f t="shared" si="5"/>
        <v>10.25</v>
      </c>
      <c r="I131" s="14">
        <f>H131/B3</f>
        <v>0.5125</v>
      </c>
      <c r="J131" s="2">
        <v>0.0</v>
      </c>
      <c r="K131" s="2">
        <v>0.0</v>
      </c>
      <c r="L131" s="2">
        <v>0.0</v>
      </c>
    </row>
    <row r="132">
      <c r="A132" s="12">
        <v>46063.0</v>
      </c>
      <c r="B132" s="6" t="s">
        <v>61</v>
      </c>
      <c r="C132" s="2">
        <v>0.0</v>
      </c>
      <c r="D132" s="16">
        <f t="shared" si="3"/>
        <v>0</v>
      </c>
      <c r="E132" s="17">
        <f>D132/B1</f>
        <v>0</v>
      </c>
      <c r="F132" s="16">
        <f t="shared" si="4"/>
        <v>0</v>
      </c>
      <c r="G132" s="17">
        <f>F132/B2</f>
        <v>0</v>
      </c>
      <c r="H132" s="15">
        <f t="shared" si="5"/>
        <v>10.25</v>
      </c>
      <c r="I132" s="14">
        <f>H132/B3</f>
        <v>0.5125</v>
      </c>
      <c r="J132" s="2">
        <v>0.0</v>
      </c>
      <c r="K132" s="2">
        <v>0.0</v>
      </c>
      <c r="L132" s="2">
        <v>0.0</v>
      </c>
    </row>
    <row r="133">
      <c r="A133" s="12">
        <v>46063.0</v>
      </c>
      <c r="B133" s="6" t="s">
        <v>62</v>
      </c>
      <c r="C133" s="2">
        <v>0.0</v>
      </c>
      <c r="D133" s="16">
        <f t="shared" si="3"/>
        <v>0</v>
      </c>
      <c r="E133" s="17">
        <f>D133/B1</f>
        <v>0</v>
      </c>
      <c r="F133" s="16">
        <f t="shared" si="4"/>
        <v>0</v>
      </c>
      <c r="G133" s="17">
        <f>F133/B2</f>
        <v>0</v>
      </c>
      <c r="H133" s="15">
        <f t="shared" si="5"/>
        <v>10.25</v>
      </c>
      <c r="I133" s="14">
        <f>H133/B3</f>
        <v>0.5125</v>
      </c>
      <c r="J133" s="2">
        <v>0.0</v>
      </c>
      <c r="K133" s="2">
        <v>0.0</v>
      </c>
      <c r="L133" s="2">
        <v>0.0</v>
      </c>
    </row>
    <row r="134">
      <c r="A134" s="12">
        <v>46063.0</v>
      </c>
      <c r="B134" s="6" t="s">
        <v>63</v>
      </c>
      <c r="C134" s="2">
        <v>0.0</v>
      </c>
      <c r="D134" s="16">
        <f t="shared" si="3"/>
        <v>0</v>
      </c>
      <c r="E134" s="17">
        <f>D134/B1</f>
        <v>0</v>
      </c>
      <c r="F134" s="16">
        <f t="shared" si="4"/>
        <v>0</v>
      </c>
      <c r="G134" s="17">
        <f>F134/B2</f>
        <v>0</v>
      </c>
      <c r="H134" s="15">
        <f t="shared" si="5"/>
        <v>10.25</v>
      </c>
      <c r="I134" s="14">
        <f>H134/B3</f>
        <v>0.5125</v>
      </c>
      <c r="J134" s="2">
        <v>0.0</v>
      </c>
      <c r="K134" s="2">
        <v>0.0</v>
      </c>
      <c r="L134" s="2">
        <v>0.0</v>
      </c>
    </row>
    <row r="135">
      <c r="A135" s="12">
        <v>46064.0</v>
      </c>
      <c r="B135" s="6" t="s">
        <v>61</v>
      </c>
      <c r="C135" s="2">
        <v>0.0</v>
      </c>
      <c r="D135" s="16">
        <f t="shared" si="3"/>
        <v>0</v>
      </c>
      <c r="E135" s="17">
        <f>D135/B1</f>
        <v>0</v>
      </c>
      <c r="F135" s="16">
        <f t="shared" si="4"/>
        <v>0</v>
      </c>
      <c r="G135" s="17">
        <f>F135/B2</f>
        <v>0</v>
      </c>
      <c r="H135" s="15">
        <f t="shared" si="5"/>
        <v>10.25</v>
      </c>
      <c r="I135" s="14">
        <f>H135/B3</f>
        <v>0.5125</v>
      </c>
      <c r="J135" s="2">
        <v>0.0</v>
      </c>
      <c r="K135" s="2">
        <v>0.0</v>
      </c>
      <c r="L135" s="2">
        <v>0.0</v>
      </c>
    </row>
    <row r="136">
      <c r="A136" s="12">
        <v>46064.0</v>
      </c>
      <c r="B136" s="6" t="s">
        <v>62</v>
      </c>
      <c r="C136" s="2">
        <v>0.0</v>
      </c>
      <c r="D136" s="16">
        <f t="shared" si="3"/>
        <v>0</v>
      </c>
      <c r="E136" s="17">
        <f>D136/B1</f>
        <v>0</v>
      </c>
      <c r="F136" s="16">
        <f t="shared" si="4"/>
        <v>0</v>
      </c>
      <c r="G136" s="17">
        <f>F136/B2</f>
        <v>0</v>
      </c>
      <c r="H136" s="15">
        <f t="shared" si="5"/>
        <v>10.25</v>
      </c>
      <c r="I136" s="14">
        <f>H136/B3</f>
        <v>0.5125</v>
      </c>
      <c r="J136" s="2">
        <v>0.0</v>
      </c>
      <c r="K136" s="2">
        <v>0.0</v>
      </c>
      <c r="L136" s="2">
        <v>0.0</v>
      </c>
    </row>
    <row r="137">
      <c r="A137" s="12">
        <v>46064.0</v>
      </c>
      <c r="B137" s="6" t="s">
        <v>63</v>
      </c>
      <c r="C137" s="2">
        <v>0.0</v>
      </c>
      <c r="D137" s="16">
        <f t="shared" si="3"/>
        <v>0</v>
      </c>
      <c r="E137" s="17">
        <f>D137/B1</f>
        <v>0</v>
      </c>
      <c r="F137" s="16">
        <f t="shared" si="4"/>
        <v>0</v>
      </c>
      <c r="G137" s="17">
        <f>F137/B2</f>
        <v>0</v>
      </c>
      <c r="H137" s="15">
        <f t="shared" si="5"/>
        <v>10.25</v>
      </c>
      <c r="I137" s="14">
        <f>H137/B3</f>
        <v>0.5125</v>
      </c>
      <c r="J137" s="2">
        <v>0.0</v>
      </c>
      <c r="K137" s="2">
        <v>0.0</v>
      </c>
      <c r="L137" s="2">
        <v>0.0</v>
      </c>
    </row>
    <row r="138">
      <c r="A138" s="12">
        <v>46065.0</v>
      </c>
      <c r="B138" s="6" t="s">
        <v>61</v>
      </c>
      <c r="C138" s="2">
        <v>0.0</v>
      </c>
      <c r="D138" s="16">
        <f t="shared" si="3"/>
        <v>0</v>
      </c>
      <c r="E138" s="17">
        <f>D138/B1</f>
        <v>0</v>
      </c>
      <c r="F138" s="16">
        <f t="shared" si="4"/>
        <v>0</v>
      </c>
      <c r="G138" s="17">
        <f>F138/B2</f>
        <v>0</v>
      </c>
      <c r="H138" s="15">
        <f t="shared" si="5"/>
        <v>10.25</v>
      </c>
      <c r="I138" s="14">
        <f>H138/B3</f>
        <v>0.5125</v>
      </c>
      <c r="J138" s="2">
        <v>0.0</v>
      </c>
      <c r="K138" s="2">
        <v>0.0</v>
      </c>
      <c r="L138" s="2">
        <v>0.0</v>
      </c>
    </row>
    <row r="139">
      <c r="A139" s="12">
        <v>46065.0</v>
      </c>
      <c r="B139" s="6" t="s">
        <v>62</v>
      </c>
      <c r="C139" s="2">
        <v>0.0</v>
      </c>
      <c r="D139" s="16">
        <f t="shared" si="3"/>
        <v>0</v>
      </c>
      <c r="E139" s="17">
        <f>D139/B1</f>
        <v>0</v>
      </c>
      <c r="F139" s="16">
        <f t="shared" si="4"/>
        <v>0</v>
      </c>
      <c r="G139" s="17">
        <f>F139/B2</f>
        <v>0</v>
      </c>
      <c r="H139" s="15">
        <f t="shared" si="5"/>
        <v>10.25</v>
      </c>
      <c r="I139" s="14">
        <f>H139/B3</f>
        <v>0.5125</v>
      </c>
      <c r="J139" s="2">
        <v>0.0</v>
      </c>
      <c r="K139" s="2">
        <v>0.0</v>
      </c>
      <c r="L139" s="2">
        <v>0.0</v>
      </c>
    </row>
    <row r="140">
      <c r="A140" s="12">
        <v>46065.0</v>
      </c>
      <c r="B140" s="6" t="s">
        <v>63</v>
      </c>
      <c r="C140" s="2">
        <v>2.1</v>
      </c>
      <c r="D140" s="16">
        <f t="shared" si="3"/>
        <v>0</v>
      </c>
      <c r="E140" s="17">
        <f>D140/B1</f>
        <v>0</v>
      </c>
      <c r="F140" s="16">
        <f t="shared" si="4"/>
        <v>0</v>
      </c>
      <c r="G140" s="17">
        <f>F140/B2</f>
        <v>0</v>
      </c>
      <c r="H140" s="15">
        <f t="shared" si="5"/>
        <v>8.15</v>
      </c>
      <c r="I140" s="14">
        <f>H140/B3</f>
        <v>0.4075</v>
      </c>
      <c r="J140" s="2">
        <v>0.0</v>
      </c>
      <c r="K140" s="2">
        <v>0.0</v>
      </c>
      <c r="L140" s="2">
        <v>0.0</v>
      </c>
    </row>
    <row r="141">
      <c r="A141" s="12">
        <v>46066.0</v>
      </c>
      <c r="B141" s="21" t="s">
        <v>61</v>
      </c>
      <c r="C141" s="29">
        <v>0.0</v>
      </c>
      <c r="D141" s="23">
        <f t="shared" si="3"/>
        <v>0</v>
      </c>
      <c r="E141" s="24">
        <f>D141/B1</f>
        <v>0</v>
      </c>
      <c r="F141" s="23">
        <f t="shared" si="4"/>
        <v>0</v>
      </c>
      <c r="G141" s="24">
        <f>F141/B2</f>
        <v>0</v>
      </c>
      <c r="H141" s="25">
        <f t="shared" si="5"/>
        <v>8.15</v>
      </c>
      <c r="I141" s="26">
        <f>H141/B3</f>
        <v>0.4075</v>
      </c>
      <c r="J141" s="22">
        <v>0.0</v>
      </c>
      <c r="K141" s="22">
        <v>0.0</v>
      </c>
      <c r="L141" s="22">
        <v>0.0</v>
      </c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</row>
    <row r="142">
      <c r="A142" s="12">
        <v>46066.0</v>
      </c>
      <c r="B142" s="21" t="s">
        <v>62</v>
      </c>
      <c r="C142" s="29">
        <v>0.0</v>
      </c>
      <c r="D142" s="23">
        <f t="shared" si="3"/>
        <v>0</v>
      </c>
      <c r="E142" s="24">
        <f>D142/B1</f>
        <v>0</v>
      </c>
      <c r="F142" s="23">
        <f t="shared" si="4"/>
        <v>0</v>
      </c>
      <c r="G142" s="24">
        <f>F142/B2</f>
        <v>0</v>
      </c>
      <c r="H142" s="25">
        <f t="shared" si="5"/>
        <v>8.15</v>
      </c>
      <c r="I142" s="26">
        <f>H142/B3</f>
        <v>0.4075</v>
      </c>
      <c r="J142" s="22">
        <v>0.0</v>
      </c>
      <c r="K142" s="22">
        <v>0.0</v>
      </c>
      <c r="L142" s="22">
        <v>0.0</v>
      </c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</row>
    <row r="143">
      <c r="A143" s="12">
        <v>46066.0</v>
      </c>
      <c r="B143" s="21" t="s">
        <v>63</v>
      </c>
      <c r="C143" s="29">
        <v>0.0</v>
      </c>
      <c r="D143" s="23">
        <f t="shared" si="3"/>
        <v>0</v>
      </c>
      <c r="E143" s="24">
        <f>D143/B1</f>
        <v>0</v>
      </c>
      <c r="F143" s="23">
        <f t="shared" si="4"/>
        <v>0</v>
      </c>
      <c r="G143" s="24">
        <f>F143/B2</f>
        <v>0</v>
      </c>
      <c r="H143" s="25">
        <f t="shared" si="5"/>
        <v>8.15</v>
      </c>
      <c r="I143" s="26">
        <f>H143/B3</f>
        <v>0.4075</v>
      </c>
      <c r="J143" s="22">
        <v>0.0</v>
      </c>
      <c r="K143" s="22">
        <v>0.0</v>
      </c>
      <c r="L143" s="22">
        <v>0.0</v>
      </c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</row>
    <row r="144">
      <c r="A144" s="12">
        <v>46067.0</v>
      </c>
      <c r="B144" s="21" t="s">
        <v>61</v>
      </c>
      <c r="C144" s="29">
        <v>0.0</v>
      </c>
      <c r="D144" s="23">
        <f t="shared" si="3"/>
        <v>0</v>
      </c>
      <c r="E144" s="24">
        <f>D144/B1</f>
        <v>0</v>
      </c>
      <c r="F144" s="23">
        <f t="shared" si="4"/>
        <v>0</v>
      </c>
      <c r="G144" s="24">
        <f>F144/B2</f>
        <v>0</v>
      </c>
      <c r="H144" s="25">
        <f t="shared" si="5"/>
        <v>8.15</v>
      </c>
      <c r="I144" s="26">
        <f>H144/B3</f>
        <v>0.4075</v>
      </c>
      <c r="J144" s="22">
        <v>0.0</v>
      </c>
      <c r="K144" s="22">
        <v>0.0</v>
      </c>
      <c r="L144" s="22">
        <v>0.0</v>
      </c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</row>
    <row r="145">
      <c r="A145" s="12">
        <v>46067.0</v>
      </c>
      <c r="B145" s="21" t="s">
        <v>62</v>
      </c>
      <c r="C145" s="29">
        <v>0.0</v>
      </c>
      <c r="D145" s="23">
        <f t="shared" si="3"/>
        <v>0</v>
      </c>
      <c r="E145" s="24">
        <f>D145/B1</f>
        <v>0</v>
      </c>
      <c r="F145" s="23">
        <f t="shared" si="4"/>
        <v>0</v>
      </c>
      <c r="G145" s="24">
        <f>F145/B2</f>
        <v>0</v>
      </c>
      <c r="H145" s="25">
        <f t="shared" si="5"/>
        <v>8.15</v>
      </c>
      <c r="I145" s="26">
        <f>H145/B3</f>
        <v>0.4075</v>
      </c>
      <c r="J145" s="22">
        <v>0.0</v>
      </c>
      <c r="K145" s="22">
        <v>0.0</v>
      </c>
      <c r="L145" s="22">
        <v>0.0</v>
      </c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</row>
    <row r="146">
      <c r="A146" s="12">
        <v>46067.0</v>
      </c>
      <c r="B146" s="21" t="s">
        <v>63</v>
      </c>
      <c r="C146" s="29">
        <v>0.0</v>
      </c>
      <c r="D146" s="23">
        <f t="shared" si="3"/>
        <v>0</v>
      </c>
      <c r="E146" s="24">
        <f>D146/B1</f>
        <v>0</v>
      </c>
      <c r="F146" s="23">
        <f t="shared" si="4"/>
        <v>0</v>
      </c>
      <c r="G146" s="24">
        <f>F146/B2</f>
        <v>0</v>
      </c>
      <c r="H146" s="25">
        <f t="shared" si="5"/>
        <v>8.15</v>
      </c>
      <c r="I146" s="26">
        <f>H146/B3</f>
        <v>0.4075</v>
      </c>
      <c r="J146" s="22">
        <v>0.0</v>
      </c>
      <c r="K146" s="22">
        <v>0.0</v>
      </c>
      <c r="L146" s="22">
        <v>0.0</v>
      </c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</row>
    <row r="147">
      <c r="A147" s="12">
        <v>46068.0</v>
      </c>
      <c r="B147" s="21" t="s">
        <v>61</v>
      </c>
      <c r="C147" s="29">
        <v>0.0</v>
      </c>
      <c r="D147" s="23">
        <f t="shared" si="3"/>
        <v>0</v>
      </c>
      <c r="E147" s="24">
        <f>D147/B1</f>
        <v>0</v>
      </c>
      <c r="F147" s="23">
        <f t="shared" si="4"/>
        <v>0</v>
      </c>
      <c r="G147" s="24">
        <f>F147/B2</f>
        <v>0</v>
      </c>
      <c r="H147" s="25">
        <f t="shared" si="5"/>
        <v>8.15</v>
      </c>
      <c r="I147" s="26">
        <f>H147/B3</f>
        <v>0.4075</v>
      </c>
      <c r="J147" s="22">
        <v>0.0</v>
      </c>
      <c r="K147" s="22">
        <v>0.0</v>
      </c>
      <c r="L147" s="22">
        <v>0.0</v>
      </c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</row>
    <row r="148">
      <c r="A148" s="12">
        <v>46068.0</v>
      </c>
      <c r="B148" s="21" t="s">
        <v>62</v>
      </c>
      <c r="C148" s="29">
        <v>0.0</v>
      </c>
      <c r="D148" s="23">
        <f t="shared" si="3"/>
        <v>0</v>
      </c>
      <c r="E148" s="24">
        <f>D148/B1</f>
        <v>0</v>
      </c>
      <c r="F148" s="23">
        <f t="shared" si="4"/>
        <v>0</v>
      </c>
      <c r="G148" s="24">
        <f>F148/B2</f>
        <v>0</v>
      </c>
      <c r="H148" s="25">
        <f t="shared" si="5"/>
        <v>8.15</v>
      </c>
      <c r="I148" s="26">
        <f>H148/B3</f>
        <v>0.4075</v>
      </c>
      <c r="J148" s="22">
        <v>0.0</v>
      </c>
      <c r="K148" s="22">
        <v>0.0</v>
      </c>
      <c r="L148" s="22">
        <v>0.0</v>
      </c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</row>
    <row r="149">
      <c r="A149" s="12">
        <v>46068.0</v>
      </c>
      <c r="B149" s="21" t="s">
        <v>63</v>
      </c>
      <c r="C149" s="29">
        <v>0.0</v>
      </c>
      <c r="D149" s="23">
        <f t="shared" si="3"/>
        <v>0</v>
      </c>
      <c r="E149" s="24">
        <f>D149/B1</f>
        <v>0</v>
      </c>
      <c r="F149" s="23">
        <f t="shared" si="4"/>
        <v>0</v>
      </c>
      <c r="G149" s="24">
        <f>F149/B2</f>
        <v>0</v>
      </c>
      <c r="H149" s="25">
        <f t="shared" si="5"/>
        <v>8.15</v>
      </c>
      <c r="I149" s="26">
        <f>H149/B3</f>
        <v>0.4075</v>
      </c>
      <c r="J149" s="22">
        <v>0.0</v>
      </c>
      <c r="K149" s="22">
        <v>0.0</v>
      </c>
      <c r="L149" s="22">
        <v>0.0</v>
      </c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</row>
    <row r="150">
      <c r="A150" s="12">
        <v>46069.0</v>
      </c>
      <c r="B150" s="21" t="s">
        <v>61</v>
      </c>
      <c r="C150" s="29">
        <v>0.0</v>
      </c>
      <c r="D150" s="23">
        <f t="shared" si="3"/>
        <v>0</v>
      </c>
      <c r="E150" s="24">
        <f>D150/B1</f>
        <v>0</v>
      </c>
      <c r="F150" s="23">
        <f t="shared" si="4"/>
        <v>0</v>
      </c>
      <c r="G150" s="24">
        <f>F150/B2</f>
        <v>0</v>
      </c>
      <c r="H150" s="25">
        <f t="shared" si="5"/>
        <v>8.15</v>
      </c>
      <c r="I150" s="26">
        <f>H150/B3</f>
        <v>0.4075</v>
      </c>
      <c r="J150" s="22">
        <v>0.0</v>
      </c>
      <c r="K150" s="22">
        <v>0.0</v>
      </c>
      <c r="L150" s="22">
        <v>0.0</v>
      </c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</row>
    <row r="151">
      <c r="A151" s="12">
        <v>46069.0</v>
      </c>
      <c r="B151" s="21" t="s">
        <v>62</v>
      </c>
      <c r="C151" s="29">
        <v>0.0</v>
      </c>
      <c r="D151" s="23">
        <f t="shared" si="3"/>
        <v>0</v>
      </c>
      <c r="E151" s="24">
        <f>D151/B1</f>
        <v>0</v>
      </c>
      <c r="F151" s="23">
        <f t="shared" si="4"/>
        <v>0</v>
      </c>
      <c r="G151" s="24">
        <f>F151/B2</f>
        <v>0</v>
      </c>
      <c r="H151" s="25">
        <f t="shared" si="5"/>
        <v>8.15</v>
      </c>
      <c r="I151" s="26">
        <f>H151/B3</f>
        <v>0.4075</v>
      </c>
      <c r="J151" s="22">
        <v>0.0</v>
      </c>
      <c r="K151" s="22">
        <v>0.0</v>
      </c>
      <c r="L151" s="22">
        <v>0.0</v>
      </c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</row>
    <row r="152">
      <c r="A152" s="12">
        <v>46069.0</v>
      </c>
      <c r="B152" s="21" t="s">
        <v>63</v>
      </c>
      <c r="C152" s="29">
        <v>0.0</v>
      </c>
      <c r="D152" s="23">
        <f t="shared" si="3"/>
        <v>0</v>
      </c>
      <c r="E152" s="24">
        <f>D152/B1</f>
        <v>0</v>
      </c>
      <c r="F152" s="23">
        <f t="shared" si="4"/>
        <v>0</v>
      </c>
      <c r="G152" s="24">
        <f>F152/B2</f>
        <v>0</v>
      </c>
      <c r="H152" s="25">
        <f t="shared" si="5"/>
        <v>8.15</v>
      </c>
      <c r="I152" s="26">
        <f>H152/B3</f>
        <v>0.4075</v>
      </c>
      <c r="J152" s="22">
        <v>0.0</v>
      </c>
      <c r="K152" s="22">
        <v>0.0</v>
      </c>
      <c r="L152" s="22">
        <v>0.0</v>
      </c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</row>
    <row r="153">
      <c r="A153" s="12">
        <v>46070.0</v>
      </c>
      <c r="B153" s="21" t="s">
        <v>61</v>
      </c>
      <c r="C153" s="29">
        <v>0.0</v>
      </c>
      <c r="D153" s="23">
        <f t="shared" si="3"/>
        <v>0</v>
      </c>
      <c r="E153" s="24">
        <f>D153/B1</f>
        <v>0</v>
      </c>
      <c r="F153" s="23">
        <f t="shared" si="4"/>
        <v>0</v>
      </c>
      <c r="G153" s="24">
        <f>F153/B2</f>
        <v>0</v>
      </c>
      <c r="H153" s="25">
        <f t="shared" si="5"/>
        <v>8.15</v>
      </c>
      <c r="I153" s="26">
        <f>H153/B3</f>
        <v>0.4075</v>
      </c>
      <c r="J153" s="22">
        <v>0.0</v>
      </c>
      <c r="K153" s="22">
        <v>0.0</v>
      </c>
      <c r="L153" s="22">
        <v>0.0</v>
      </c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</row>
    <row r="154">
      <c r="A154" s="12">
        <v>46070.0</v>
      </c>
      <c r="B154" s="21" t="s">
        <v>62</v>
      </c>
      <c r="C154" s="29">
        <v>0.0</v>
      </c>
      <c r="D154" s="23">
        <f t="shared" si="3"/>
        <v>0</v>
      </c>
      <c r="E154" s="24">
        <f>D154/B1</f>
        <v>0</v>
      </c>
      <c r="F154" s="23">
        <f t="shared" si="4"/>
        <v>0</v>
      </c>
      <c r="G154" s="24">
        <f>F154/B2</f>
        <v>0</v>
      </c>
      <c r="H154" s="25">
        <f t="shared" si="5"/>
        <v>8.15</v>
      </c>
      <c r="I154" s="26">
        <f>H154/B3</f>
        <v>0.4075</v>
      </c>
      <c r="J154" s="22">
        <v>0.0</v>
      </c>
      <c r="K154" s="22">
        <v>0.0</v>
      </c>
      <c r="L154" s="22">
        <v>0.0</v>
      </c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</row>
    <row r="155">
      <c r="A155" s="12">
        <v>46070.0</v>
      </c>
      <c r="B155" s="21" t="s">
        <v>63</v>
      </c>
      <c r="C155" s="29">
        <v>0.0</v>
      </c>
      <c r="D155" s="23">
        <f t="shared" si="3"/>
        <v>0</v>
      </c>
      <c r="E155" s="24">
        <f>D155/B1</f>
        <v>0</v>
      </c>
      <c r="F155" s="23">
        <f t="shared" si="4"/>
        <v>0</v>
      </c>
      <c r="G155" s="24">
        <f>F155/B2</f>
        <v>0</v>
      </c>
      <c r="H155" s="25">
        <f t="shared" si="5"/>
        <v>8.15</v>
      </c>
      <c r="I155" s="26">
        <f>H155/B3</f>
        <v>0.4075</v>
      </c>
      <c r="J155" s="22">
        <v>0.0</v>
      </c>
      <c r="K155" s="22">
        <v>0.0</v>
      </c>
      <c r="L155" s="22">
        <v>0.0</v>
      </c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</row>
    <row r="156">
      <c r="A156" s="12">
        <v>46071.0</v>
      </c>
      <c r="B156" s="21" t="s">
        <v>61</v>
      </c>
      <c r="C156" s="29">
        <v>0.0</v>
      </c>
      <c r="D156" s="23">
        <f t="shared" si="3"/>
        <v>0</v>
      </c>
      <c r="E156" s="24">
        <f>D156/B1</f>
        <v>0</v>
      </c>
      <c r="F156" s="23">
        <f t="shared" si="4"/>
        <v>0</v>
      </c>
      <c r="G156" s="24">
        <f>F156/B2</f>
        <v>0</v>
      </c>
      <c r="H156" s="25">
        <f t="shared" si="5"/>
        <v>8.15</v>
      </c>
      <c r="I156" s="26">
        <f>H156/B3</f>
        <v>0.4075</v>
      </c>
      <c r="J156" s="22">
        <v>0.0</v>
      </c>
      <c r="K156" s="22">
        <v>0.0</v>
      </c>
      <c r="L156" s="22">
        <v>0.0</v>
      </c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</row>
    <row r="157">
      <c r="A157" s="12">
        <v>46071.0</v>
      </c>
      <c r="B157" s="21" t="s">
        <v>62</v>
      </c>
      <c r="C157" s="29">
        <v>0.0</v>
      </c>
      <c r="D157" s="23">
        <f t="shared" si="3"/>
        <v>0</v>
      </c>
      <c r="E157" s="24">
        <f>D157/B1</f>
        <v>0</v>
      </c>
      <c r="F157" s="23">
        <f t="shared" si="4"/>
        <v>0</v>
      </c>
      <c r="G157" s="24">
        <f>F157/B2</f>
        <v>0</v>
      </c>
      <c r="H157" s="25">
        <f t="shared" si="5"/>
        <v>8.15</v>
      </c>
      <c r="I157" s="26">
        <f>H157/B3</f>
        <v>0.4075</v>
      </c>
      <c r="J157" s="22">
        <v>0.0</v>
      </c>
      <c r="K157" s="22">
        <v>0.0</v>
      </c>
      <c r="L157" s="22">
        <v>0.0</v>
      </c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</row>
    <row r="158">
      <c r="A158" s="12">
        <v>46071.0</v>
      </c>
      <c r="B158" s="21" t="s">
        <v>63</v>
      </c>
      <c r="C158" s="29">
        <v>0.0</v>
      </c>
      <c r="D158" s="23">
        <f t="shared" si="3"/>
        <v>0</v>
      </c>
      <c r="E158" s="24">
        <f>D158/B1</f>
        <v>0</v>
      </c>
      <c r="F158" s="23">
        <f t="shared" si="4"/>
        <v>0</v>
      </c>
      <c r="G158" s="24">
        <f>F158/B2</f>
        <v>0</v>
      </c>
      <c r="H158" s="25">
        <f t="shared" si="5"/>
        <v>8.15</v>
      </c>
      <c r="I158" s="26">
        <f>H158/B3</f>
        <v>0.4075</v>
      </c>
      <c r="J158" s="22">
        <v>0.0</v>
      </c>
      <c r="K158" s="22">
        <v>0.0</v>
      </c>
      <c r="L158" s="22">
        <v>0.0</v>
      </c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</row>
    <row r="159">
      <c r="A159" s="12">
        <v>46072.0</v>
      </c>
      <c r="B159" s="21" t="s">
        <v>61</v>
      </c>
      <c r="C159" s="29">
        <v>0.0</v>
      </c>
      <c r="D159" s="23">
        <f t="shared" si="3"/>
        <v>0</v>
      </c>
      <c r="E159" s="24">
        <f>D159/B1</f>
        <v>0</v>
      </c>
      <c r="F159" s="23">
        <f t="shared" si="4"/>
        <v>0</v>
      </c>
      <c r="G159" s="24">
        <f>F159/B2</f>
        <v>0</v>
      </c>
      <c r="H159" s="25">
        <f t="shared" si="5"/>
        <v>8.15</v>
      </c>
      <c r="I159" s="26">
        <f>H159/B3</f>
        <v>0.4075</v>
      </c>
      <c r="J159" s="22">
        <v>0.0</v>
      </c>
      <c r="K159" s="22">
        <v>0.0</v>
      </c>
      <c r="L159" s="22">
        <v>0.0</v>
      </c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</row>
    <row r="160">
      <c r="A160" s="12">
        <v>46072.0</v>
      </c>
      <c r="B160" s="21" t="s">
        <v>62</v>
      </c>
      <c r="C160" s="29">
        <v>0.0</v>
      </c>
      <c r="D160" s="23">
        <f t="shared" si="3"/>
        <v>0</v>
      </c>
      <c r="E160" s="24">
        <f>D160/B1</f>
        <v>0</v>
      </c>
      <c r="F160" s="23">
        <f t="shared" si="4"/>
        <v>0</v>
      </c>
      <c r="G160" s="24">
        <f>F160/B2</f>
        <v>0</v>
      </c>
      <c r="H160" s="25">
        <f t="shared" si="5"/>
        <v>8.15</v>
      </c>
      <c r="I160" s="26">
        <f>H160/B3</f>
        <v>0.4075</v>
      </c>
      <c r="J160" s="22">
        <v>0.0</v>
      </c>
      <c r="K160" s="22">
        <v>0.0</v>
      </c>
      <c r="L160" s="22">
        <v>0.0</v>
      </c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</row>
    <row r="161">
      <c r="A161" s="12">
        <v>46072.0</v>
      </c>
      <c r="B161" s="21" t="s">
        <v>63</v>
      </c>
      <c r="C161" s="29">
        <v>0.0</v>
      </c>
      <c r="D161" s="23">
        <f t="shared" si="3"/>
        <v>0</v>
      </c>
      <c r="E161" s="24">
        <f>D161/B1</f>
        <v>0</v>
      </c>
      <c r="F161" s="23">
        <f t="shared" si="4"/>
        <v>0</v>
      </c>
      <c r="G161" s="24">
        <f>F161/B2</f>
        <v>0</v>
      </c>
      <c r="H161" s="25">
        <f t="shared" si="5"/>
        <v>8.15</v>
      </c>
      <c r="I161" s="26">
        <f>H161/B3</f>
        <v>0.4075</v>
      </c>
      <c r="J161" s="22">
        <v>0.0</v>
      </c>
      <c r="K161" s="22">
        <v>0.0</v>
      </c>
      <c r="L161" s="22">
        <v>0.0</v>
      </c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</row>
    <row r="162">
      <c r="A162" s="12">
        <v>46073.0</v>
      </c>
      <c r="B162" s="21" t="s">
        <v>61</v>
      </c>
      <c r="C162" s="29">
        <v>0.0</v>
      </c>
      <c r="D162" s="23">
        <f t="shared" si="3"/>
        <v>0</v>
      </c>
      <c r="E162" s="24">
        <f>D162/B1</f>
        <v>0</v>
      </c>
      <c r="F162" s="23">
        <f t="shared" si="4"/>
        <v>0</v>
      </c>
      <c r="G162" s="24">
        <f>F162/B2</f>
        <v>0</v>
      </c>
      <c r="H162" s="25">
        <f t="shared" si="5"/>
        <v>8.15</v>
      </c>
      <c r="I162" s="26">
        <f>H162/B3</f>
        <v>0.4075</v>
      </c>
      <c r="J162" s="22">
        <v>0.0</v>
      </c>
      <c r="K162" s="22">
        <v>0.0</v>
      </c>
      <c r="L162" s="22">
        <v>0.0</v>
      </c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</row>
    <row r="163">
      <c r="A163" s="12">
        <v>46073.0</v>
      </c>
      <c r="B163" s="21" t="s">
        <v>62</v>
      </c>
      <c r="C163" s="29">
        <v>0.0</v>
      </c>
      <c r="D163" s="23">
        <f t="shared" si="3"/>
        <v>0</v>
      </c>
      <c r="E163" s="24">
        <f>D163/B1</f>
        <v>0</v>
      </c>
      <c r="F163" s="23">
        <f t="shared" si="4"/>
        <v>0</v>
      </c>
      <c r="G163" s="24">
        <f>F163/B2</f>
        <v>0</v>
      </c>
      <c r="H163" s="25">
        <f t="shared" si="5"/>
        <v>8.15</v>
      </c>
      <c r="I163" s="26">
        <f>H163/B3</f>
        <v>0.4075</v>
      </c>
      <c r="J163" s="22">
        <v>0.0</v>
      </c>
      <c r="K163" s="22">
        <v>0.0</v>
      </c>
      <c r="L163" s="22">
        <v>0.0</v>
      </c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</row>
    <row r="164">
      <c r="A164" s="12">
        <v>46073.0</v>
      </c>
      <c r="B164" s="21" t="s">
        <v>63</v>
      </c>
      <c r="C164" s="29">
        <v>1.68</v>
      </c>
      <c r="D164" s="23">
        <f t="shared" si="3"/>
        <v>0</v>
      </c>
      <c r="E164" s="24">
        <f>D164/B1</f>
        <v>0</v>
      </c>
      <c r="F164" s="23">
        <f t="shared" si="4"/>
        <v>0</v>
      </c>
      <c r="G164" s="24">
        <f>F164/B2</f>
        <v>0</v>
      </c>
      <c r="H164" s="25">
        <f t="shared" si="5"/>
        <v>6.47</v>
      </c>
      <c r="I164" s="26">
        <f>H164/B3</f>
        <v>0.3235</v>
      </c>
      <c r="J164" s="22">
        <v>0.0</v>
      </c>
      <c r="K164" s="22">
        <v>0.0</v>
      </c>
      <c r="L164" s="22">
        <v>0.0</v>
      </c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</row>
    <row r="165">
      <c r="A165" s="12">
        <v>46074.0</v>
      </c>
      <c r="B165" s="21" t="s">
        <v>61</v>
      </c>
      <c r="C165" s="29">
        <v>0.0</v>
      </c>
      <c r="D165" s="23">
        <f t="shared" si="3"/>
        <v>0</v>
      </c>
      <c r="E165" s="24">
        <f>D165/B1</f>
        <v>0</v>
      </c>
      <c r="F165" s="23">
        <f t="shared" si="4"/>
        <v>0</v>
      </c>
      <c r="G165" s="24">
        <f>F165/B2</f>
        <v>0</v>
      </c>
      <c r="H165" s="25">
        <f t="shared" si="5"/>
        <v>6.47</v>
      </c>
      <c r="I165" s="26">
        <f>H165/B3</f>
        <v>0.3235</v>
      </c>
      <c r="J165" s="22">
        <v>0.0</v>
      </c>
      <c r="K165" s="22">
        <v>0.0</v>
      </c>
      <c r="L165" s="22">
        <v>0.0</v>
      </c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</row>
    <row r="166">
      <c r="A166" s="12">
        <v>46074.0</v>
      </c>
      <c r="B166" s="21" t="s">
        <v>62</v>
      </c>
      <c r="C166" s="29">
        <v>0.0</v>
      </c>
      <c r="D166" s="23">
        <f t="shared" si="3"/>
        <v>0</v>
      </c>
      <c r="E166" s="24">
        <f>D166/B1</f>
        <v>0</v>
      </c>
      <c r="F166" s="23">
        <f t="shared" si="4"/>
        <v>0</v>
      </c>
      <c r="G166" s="24">
        <f>F166/B2</f>
        <v>0</v>
      </c>
      <c r="H166" s="25">
        <f t="shared" si="5"/>
        <v>6.47</v>
      </c>
      <c r="I166" s="26">
        <f>H166/B3</f>
        <v>0.3235</v>
      </c>
      <c r="J166" s="22">
        <v>0.0</v>
      </c>
      <c r="K166" s="22">
        <v>0.0</v>
      </c>
      <c r="L166" s="22">
        <v>0.0</v>
      </c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</row>
    <row r="167">
      <c r="A167" s="12">
        <v>46074.0</v>
      </c>
      <c r="B167" s="21" t="s">
        <v>63</v>
      </c>
      <c r="C167" s="29">
        <v>0.0</v>
      </c>
      <c r="D167" s="23">
        <f t="shared" si="3"/>
        <v>0</v>
      </c>
      <c r="E167" s="24">
        <f>D167/B1</f>
        <v>0</v>
      </c>
      <c r="F167" s="23">
        <f t="shared" si="4"/>
        <v>0</v>
      </c>
      <c r="G167" s="24">
        <f>F167/B2</f>
        <v>0</v>
      </c>
      <c r="H167" s="25">
        <f t="shared" si="5"/>
        <v>6.47</v>
      </c>
      <c r="I167" s="26">
        <f>H167/B3</f>
        <v>0.3235</v>
      </c>
      <c r="J167" s="22">
        <v>0.0</v>
      </c>
      <c r="K167" s="22">
        <v>0.0</v>
      </c>
      <c r="L167" s="22">
        <v>0.0</v>
      </c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</row>
    <row r="168">
      <c r="A168" s="12">
        <v>46075.0</v>
      </c>
      <c r="B168" s="21" t="s">
        <v>61</v>
      </c>
      <c r="C168" s="29">
        <v>0.0</v>
      </c>
      <c r="D168" s="23">
        <f t="shared" si="3"/>
        <v>0</v>
      </c>
      <c r="E168" s="24">
        <f>D168/B1</f>
        <v>0</v>
      </c>
      <c r="F168" s="23">
        <f t="shared" si="4"/>
        <v>0</v>
      </c>
      <c r="G168" s="24">
        <f>F168/B2</f>
        <v>0</v>
      </c>
      <c r="H168" s="25">
        <f t="shared" si="5"/>
        <v>6.47</v>
      </c>
      <c r="I168" s="26">
        <f>H168/B3</f>
        <v>0.3235</v>
      </c>
      <c r="J168" s="22">
        <v>0.0</v>
      </c>
      <c r="K168" s="22">
        <v>0.0</v>
      </c>
      <c r="L168" s="22">
        <v>0.0</v>
      </c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</row>
    <row r="169">
      <c r="A169" s="12">
        <v>46075.0</v>
      </c>
      <c r="B169" s="21" t="s">
        <v>62</v>
      </c>
      <c r="C169" s="29">
        <v>0.0</v>
      </c>
      <c r="D169" s="23">
        <f t="shared" si="3"/>
        <v>0</v>
      </c>
      <c r="E169" s="24">
        <f>D169/B1</f>
        <v>0</v>
      </c>
      <c r="F169" s="23">
        <f t="shared" si="4"/>
        <v>0</v>
      </c>
      <c r="G169" s="24">
        <f>F169/B2</f>
        <v>0</v>
      </c>
      <c r="H169" s="25">
        <f t="shared" si="5"/>
        <v>6.47</v>
      </c>
      <c r="I169" s="26">
        <f>H169/B3</f>
        <v>0.3235</v>
      </c>
      <c r="J169" s="22">
        <v>0.0</v>
      </c>
      <c r="K169" s="22">
        <v>0.0</v>
      </c>
      <c r="L169" s="22">
        <v>0.0</v>
      </c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</row>
    <row r="170">
      <c r="A170" s="12">
        <v>46075.0</v>
      </c>
      <c r="B170" s="21" t="s">
        <v>63</v>
      </c>
      <c r="C170" s="29">
        <v>0.0</v>
      </c>
      <c r="D170" s="23">
        <f t="shared" si="3"/>
        <v>0</v>
      </c>
      <c r="E170" s="24">
        <f>D170/B1</f>
        <v>0</v>
      </c>
      <c r="F170" s="23">
        <f t="shared" si="4"/>
        <v>0</v>
      </c>
      <c r="G170" s="24">
        <f>F170/B2</f>
        <v>0</v>
      </c>
      <c r="H170" s="25">
        <f t="shared" si="5"/>
        <v>6.47</v>
      </c>
      <c r="I170" s="26">
        <f>H170/B3</f>
        <v>0.3235</v>
      </c>
      <c r="J170" s="22">
        <v>0.0</v>
      </c>
      <c r="K170" s="22">
        <v>0.0</v>
      </c>
      <c r="L170" s="22">
        <v>0.0</v>
      </c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</row>
    <row r="171">
      <c r="A171" s="12">
        <v>46076.0</v>
      </c>
      <c r="B171" s="21" t="s">
        <v>61</v>
      </c>
      <c r="C171" s="22">
        <v>0.0</v>
      </c>
      <c r="D171" s="23">
        <f t="shared" si="3"/>
        <v>0</v>
      </c>
      <c r="E171" s="24">
        <f>D171/B1</f>
        <v>0</v>
      </c>
      <c r="F171" s="23">
        <f t="shared" si="4"/>
        <v>0</v>
      </c>
      <c r="G171" s="24">
        <f>F171/B2</f>
        <v>0</v>
      </c>
      <c r="H171" s="25">
        <f t="shared" si="5"/>
        <v>6.47</v>
      </c>
      <c r="I171" s="26">
        <f>H171/B3</f>
        <v>0.3235</v>
      </c>
      <c r="J171" s="22">
        <v>0.0</v>
      </c>
      <c r="K171" s="22">
        <v>0.0</v>
      </c>
      <c r="L171" s="22">
        <v>0.0</v>
      </c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</row>
    <row r="172">
      <c r="A172" s="12">
        <v>46076.0</v>
      </c>
      <c r="B172" s="21" t="s">
        <v>62</v>
      </c>
      <c r="C172" s="22">
        <v>0.0</v>
      </c>
      <c r="D172" s="23">
        <f t="shared" si="3"/>
        <v>0</v>
      </c>
      <c r="E172" s="24">
        <f>D172/B1</f>
        <v>0</v>
      </c>
      <c r="F172" s="23">
        <f t="shared" si="4"/>
        <v>0</v>
      </c>
      <c r="G172" s="24">
        <f>F172/B2</f>
        <v>0</v>
      </c>
      <c r="H172" s="25">
        <f t="shared" si="5"/>
        <v>6.47</v>
      </c>
      <c r="I172" s="26">
        <f>H172/B3</f>
        <v>0.3235</v>
      </c>
      <c r="J172" s="22">
        <v>0.0</v>
      </c>
      <c r="K172" s="22">
        <v>0.0</v>
      </c>
      <c r="L172" s="22">
        <v>0.0</v>
      </c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</row>
    <row r="173">
      <c r="A173" s="12">
        <v>46076.0</v>
      </c>
      <c r="B173" s="21" t="s">
        <v>63</v>
      </c>
      <c r="C173" s="22">
        <v>0.0</v>
      </c>
      <c r="D173" s="23">
        <f t="shared" si="3"/>
        <v>0</v>
      </c>
      <c r="E173" s="24">
        <f>D173/B1</f>
        <v>0</v>
      </c>
      <c r="F173" s="23">
        <f t="shared" si="4"/>
        <v>0</v>
      </c>
      <c r="G173" s="24">
        <f>F173/B2</f>
        <v>0</v>
      </c>
      <c r="H173" s="25">
        <f t="shared" si="5"/>
        <v>6.47</v>
      </c>
      <c r="I173" s="26">
        <f>H173/B3</f>
        <v>0.3235</v>
      </c>
      <c r="J173" s="22">
        <v>0.0</v>
      </c>
      <c r="K173" s="22">
        <v>0.0</v>
      </c>
      <c r="L173" s="22">
        <v>0.0</v>
      </c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</row>
    <row r="174">
      <c r="A174" s="12">
        <v>46077.0</v>
      </c>
      <c r="B174" s="21" t="s">
        <v>61</v>
      </c>
      <c r="C174" s="22">
        <v>0.0</v>
      </c>
      <c r="D174" s="23">
        <f t="shared" si="3"/>
        <v>0</v>
      </c>
      <c r="E174" s="24">
        <f>D174/B1</f>
        <v>0</v>
      </c>
      <c r="F174" s="23">
        <f t="shared" si="4"/>
        <v>0</v>
      </c>
      <c r="G174" s="24">
        <f>F174/B2</f>
        <v>0</v>
      </c>
      <c r="H174" s="25">
        <f t="shared" si="5"/>
        <v>6.47</v>
      </c>
      <c r="I174" s="26">
        <f>H174/B3</f>
        <v>0.3235</v>
      </c>
      <c r="J174" s="22">
        <v>0.0</v>
      </c>
      <c r="K174" s="22">
        <v>0.0</v>
      </c>
      <c r="L174" s="22">
        <v>0.0</v>
      </c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</row>
    <row r="175">
      <c r="A175" s="12">
        <v>46077.0</v>
      </c>
      <c r="B175" s="21" t="s">
        <v>62</v>
      </c>
      <c r="C175" s="22">
        <v>0.0</v>
      </c>
      <c r="D175" s="23">
        <f t="shared" si="3"/>
        <v>0</v>
      </c>
      <c r="E175" s="24">
        <f>D175/B1</f>
        <v>0</v>
      </c>
      <c r="F175" s="23">
        <f t="shared" si="4"/>
        <v>0</v>
      </c>
      <c r="G175" s="24">
        <f>F175/B2</f>
        <v>0</v>
      </c>
      <c r="H175" s="25">
        <f t="shared" si="5"/>
        <v>6.47</v>
      </c>
      <c r="I175" s="26">
        <f>H175/B3</f>
        <v>0.3235</v>
      </c>
      <c r="J175" s="22">
        <v>0.0</v>
      </c>
      <c r="K175" s="22">
        <v>0.0</v>
      </c>
      <c r="L175" s="22">
        <v>0.0</v>
      </c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</row>
    <row r="176">
      <c r="A176" s="12">
        <v>46077.0</v>
      </c>
      <c r="B176" s="21" t="s">
        <v>63</v>
      </c>
      <c r="C176" s="22">
        <v>0.0</v>
      </c>
      <c r="D176" s="23">
        <f t="shared" si="3"/>
        <v>0</v>
      </c>
      <c r="E176" s="24">
        <f>D176/B1</f>
        <v>0</v>
      </c>
      <c r="F176" s="23">
        <f t="shared" si="4"/>
        <v>0</v>
      </c>
      <c r="G176" s="24">
        <f>F176/B2</f>
        <v>0</v>
      </c>
      <c r="H176" s="25">
        <f t="shared" si="5"/>
        <v>6.47</v>
      </c>
      <c r="I176" s="26">
        <f>H176/B3</f>
        <v>0.3235</v>
      </c>
      <c r="J176" s="22">
        <v>0.0</v>
      </c>
      <c r="K176" s="22">
        <v>0.0</v>
      </c>
      <c r="L176" s="22">
        <v>0.0</v>
      </c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</row>
    <row r="177">
      <c r="A177" s="12">
        <v>46078.0</v>
      </c>
      <c r="B177" s="21" t="s">
        <v>61</v>
      </c>
      <c r="C177" s="22">
        <v>0.0</v>
      </c>
      <c r="D177" s="23">
        <f t="shared" si="3"/>
        <v>0</v>
      </c>
      <c r="E177" s="24">
        <f>D177/B1</f>
        <v>0</v>
      </c>
      <c r="F177" s="23">
        <f t="shared" si="4"/>
        <v>0</v>
      </c>
      <c r="G177" s="24">
        <f>F177/B2</f>
        <v>0</v>
      </c>
      <c r="H177" s="25">
        <f t="shared" si="5"/>
        <v>6.47</v>
      </c>
      <c r="I177" s="26">
        <f>H177/B3</f>
        <v>0.3235</v>
      </c>
      <c r="J177" s="22">
        <v>0.0</v>
      </c>
      <c r="K177" s="22">
        <v>0.0</v>
      </c>
      <c r="L177" s="22">
        <v>0.0</v>
      </c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</row>
    <row r="178">
      <c r="A178" s="12">
        <v>46078.0</v>
      </c>
      <c r="B178" s="21" t="s">
        <v>62</v>
      </c>
      <c r="C178" s="22">
        <v>0.0</v>
      </c>
      <c r="D178" s="23">
        <f t="shared" si="3"/>
        <v>0</v>
      </c>
      <c r="E178" s="24">
        <f>D178/B1</f>
        <v>0</v>
      </c>
      <c r="F178" s="23">
        <f t="shared" si="4"/>
        <v>0</v>
      </c>
      <c r="G178" s="24">
        <f>F178/B2</f>
        <v>0</v>
      </c>
      <c r="H178" s="25">
        <f t="shared" si="5"/>
        <v>6.47</v>
      </c>
      <c r="I178" s="26">
        <f>H178/B3</f>
        <v>0.3235</v>
      </c>
      <c r="J178" s="22">
        <v>0.0</v>
      </c>
      <c r="K178" s="22">
        <v>0.0</v>
      </c>
      <c r="L178" s="22">
        <v>0.0</v>
      </c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</row>
    <row r="179">
      <c r="A179" s="12">
        <v>46078.0</v>
      </c>
      <c r="B179" s="21" t="s">
        <v>63</v>
      </c>
      <c r="C179" s="22">
        <v>0.0</v>
      </c>
      <c r="D179" s="23">
        <f t="shared" si="3"/>
        <v>0</v>
      </c>
      <c r="E179" s="24">
        <f>D179/B1</f>
        <v>0</v>
      </c>
      <c r="F179" s="23">
        <f t="shared" si="4"/>
        <v>0</v>
      </c>
      <c r="G179" s="24">
        <f>F179/B2</f>
        <v>0</v>
      </c>
      <c r="H179" s="25">
        <f t="shared" si="5"/>
        <v>6.47</v>
      </c>
      <c r="I179" s="26">
        <f>H179/B3</f>
        <v>0.3235</v>
      </c>
      <c r="J179" s="22">
        <v>0.0</v>
      </c>
      <c r="K179" s="22">
        <v>0.0</v>
      </c>
      <c r="L179" s="22">
        <v>0.0</v>
      </c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</row>
    <row r="180">
      <c r="A180" s="12">
        <v>46079.0</v>
      </c>
      <c r="B180" s="21" t="s">
        <v>61</v>
      </c>
      <c r="C180" s="22">
        <v>0.0</v>
      </c>
      <c r="D180" s="23">
        <f t="shared" si="3"/>
        <v>0</v>
      </c>
      <c r="E180" s="24">
        <f>D180/B1</f>
        <v>0</v>
      </c>
      <c r="F180" s="23">
        <f t="shared" si="4"/>
        <v>0</v>
      </c>
      <c r="G180" s="24">
        <f>F180/B2</f>
        <v>0</v>
      </c>
      <c r="H180" s="25">
        <f t="shared" si="5"/>
        <v>6.47</v>
      </c>
      <c r="I180" s="26">
        <f>H180/B3</f>
        <v>0.3235</v>
      </c>
      <c r="J180" s="22">
        <v>0.0</v>
      </c>
      <c r="K180" s="22">
        <v>0.0</v>
      </c>
      <c r="L180" s="22">
        <v>0.0</v>
      </c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</row>
    <row r="181">
      <c r="A181" s="12">
        <v>46079.0</v>
      </c>
      <c r="B181" s="21" t="s">
        <v>62</v>
      </c>
      <c r="C181" s="22">
        <v>0.0</v>
      </c>
      <c r="D181" s="23">
        <f t="shared" si="3"/>
        <v>0</v>
      </c>
      <c r="E181" s="24">
        <f>D181/B1</f>
        <v>0</v>
      </c>
      <c r="F181" s="23">
        <f t="shared" si="4"/>
        <v>0</v>
      </c>
      <c r="G181" s="24">
        <f>F181/B2</f>
        <v>0</v>
      </c>
      <c r="H181" s="25">
        <f t="shared" si="5"/>
        <v>6.47</v>
      </c>
      <c r="I181" s="26">
        <f>H181/B3</f>
        <v>0.3235</v>
      </c>
      <c r="J181" s="22">
        <v>0.0</v>
      </c>
      <c r="K181" s="22">
        <v>0.0</v>
      </c>
      <c r="L181" s="22">
        <v>0.0</v>
      </c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</row>
    <row r="182">
      <c r="A182" s="12">
        <v>46079.0</v>
      </c>
      <c r="B182" s="21" t="s">
        <v>63</v>
      </c>
      <c r="C182" s="22">
        <v>0.0</v>
      </c>
      <c r="D182" s="23">
        <f t="shared" si="3"/>
        <v>0</v>
      </c>
      <c r="E182" s="24">
        <f>D182/B1</f>
        <v>0</v>
      </c>
      <c r="F182" s="23">
        <f t="shared" si="4"/>
        <v>0</v>
      </c>
      <c r="G182" s="24">
        <f>F182/B2</f>
        <v>0</v>
      </c>
      <c r="H182" s="25">
        <f t="shared" si="5"/>
        <v>6.47</v>
      </c>
      <c r="I182" s="26">
        <f>H182/B3</f>
        <v>0.3235</v>
      </c>
      <c r="J182" s="22">
        <v>0.0</v>
      </c>
      <c r="K182" s="22">
        <v>0.0</v>
      </c>
      <c r="L182" s="22">
        <v>0.0</v>
      </c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</row>
    <row r="183">
      <c r="A183" s="12">
        <v>46080.0</v>
      </c>
      <c r="B183" s="21" t="s">
        <v>61</v>
      </c>
      <c r="C183" s="22">
        <v>0.0</v>
      </c>
      <c r="D183" s="23">
        <f t="shared" si="3"/>
        <v>0</v>
      </c>
      <c r="E183" s="24">
        <f>D183/B1</f>
        <v>0</v>
      </c>
      <c r="F183" s="23">
        <f t="shared" si="4"/>
        <v>0</v>
      </c>
      <c r="G183" s="24">
        <f>F183/B2</f>
        <v>0</v>
      </c>
      <c r="H183" s="25">
        <f t="shared" si="5"/>
        <v>6.47</v>
      </c>
      <c r="I183" s="26">
        <f>H183/B3</f>
        <v>0.3235</v>
      </c>
      <c r="J183" s="22">
        <v>0.0</v>
      </c>
      <c r="K183" s="22">
        <v>0.0</v>
      </c>
      <c r="L183" s="22">
        <v>0.0</v>
      </c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</row>
    <row r="184">
      <c r="A184" s="12">
        <v>46080.0</v>
      </c>
      <c r="B184" s="21" t="s">
        <v>62</v>
      </c>
      <c r="C184" s="22">
        <v>0.0</v>
      </c>
      <c r="D184" s="23">
        <f t="shared" si="3"/>
        <v>0</v>
      </c>
      <c r="E184" s="24">
        <f>D184/B1</f>
        <v>0</v>
      </c>
      <c r="F184" s="23">
        <f t="shared" si="4"/>
        <v>0</v>
      </c>
      <c r="G184" s="24">
        <f>F184/B2</f>
        <v>0</v>
      </c>
      <c r="H184" s="25">
        <f t="shared" si="5"/>
        <v>6.47</v>
      </c>
      <c r="I184" s="26">
        <f>H184/B3</f>
        <v>0.3235</v>
      </c>
      <c r="J184" s="22">
        <v>0.0</v>
      </c>
      <c r="K184" s="22">
        <v>0.0</v>
      </c>
      <c r="L184" s="22">
        <v>0.0</v>
      </c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</row>
    <row r="185">
      <c r="A185" s="12">
        <v>46080.0</v>
      </c>
      <c r="B185" s="21" t="s">
        <v>63</v>
      </c>
      <c r="C185" s="22">
        <v>0.0</v>
      </c>
      <c r="D185" s="23">
        <f t="shared" si="3"/>
        <v>0</v>
      </c>
      <c r="E185" s="24">
        <f>D185/B1</f>
        <v>0</v>
      </c>
      <c r="F185" s="23">
        <f t="shared" si="4"/>
        <v>0</v>
      </c>
      <c r="G185" s="24">
        <f>F185/B2</f>
        <v>0</v>
      </c>
      <c r="H185" s="25">
        <f t="shared" si="5"/>
        <v>6.47</v>
      </c>
      <c r="I185" s="26">
        <f>H185/B3</f>
        <v>0.3235</v>
      </c>
      <c r="J185" s="22">
        <v>0.0</v>
      </c>
      <c r="K185" s="22">
        <v>0.0</v>
      </c>
      <c r="L185" s="22">
        <v>0.0</v>
      </c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</row>
    <row r="186">
      <c r="A186" s="12">
        <v>46081.0</v>
      </c>
      <c r="B186" s="21" t="s">
        <v>61</v>
      </c>
      <c r="C186" s="22">
        <v>0.0</v>
      </c>
      <c r="D186" s="23">
        <f t="shared" si="3"/>
        <v>0</v>
      </c>
      <c r="E186" s="24">
        <f>D186/B1</f>
        <v>0</v>
      </c>
      <c r="F186" s="23">
        <f t="shared" si="4"/>
        <v>0</v>
      </c>
      <c r="G186" s="24">
        <f>F186/B2</f>
        <v>0</v>
      </c>
      <c r="H186" s="25">
        <f t="shared" si="5"/>
        <v>6.47</v>
      </c>
      <c r="I186" s="26">
        <f>H186/B3</f>
        <v>0.3235</v>
      </c>
      <c r="J186" s="22">
        <v>0.0</v>
      </c>
      <c r="K186" s="22">
        <v>0.0</v>
      </c>
      <c r="L186" s="22">
        <v>0.0</v>
      </c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</row>
    <row r="187">
      <c r="A187" s="12">
        <v>46081.0</v>
      </c>
      <c r="B187" s="21" t="s">
        <v>62</v>
      </c>
      <c r="C187" s="22">
        <v>0.0</v>
      </c>
      <c r="D187" s="23">
        <f t="shared" si="3"/>
        <v>0</v>
      </c>
      <c r="E187" s="24">
        <f>D187/B1</f>
        <v>0</v>
      </c>
      <c r="F187" s="23">
        <f t="shared" si="4"/>
        <v>0</v>
      </c>
      <c r="G187" s="24">
        <f>F187/B2</f>
        <v>0</v>
      </c>
      <c r="H187" s="25">
        <f t="shared" si="5"/>
        <v>6.47</v>
      </c>
      <c r="I187" s="26">
        <f>H187/B3</f>
        <v>0.3235</v>
      </c>
      <c r="J187" s="22">
        <v>0.0</v>
      </c>
      <c r="K187" s="22">
        <v>0.0</v>
      </c>
      <c r="L187" s="22">
        <v>0.0</v>
      </c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</row>
    <row r="188">
      <c r="A188" s="12">
        <v>46081.0</v>
      </c>
      <c r="B188" s="21" t="s">
        <v>63</v>
      </c>
      <c r="C188" s="22">
        <v>0.0</v>
      </c>
      <c r="D188" s="23">
        <f t="shared" si="3"/>
        <v>0</v>
      </c>
      <c r="E188" s="24">
        <f>D188/B1</f>
        <v>0</v>
      </c>
      <c r="F188" s="23">
        <f t="shared" si="4"/>
        <v>0</v>
      </c>
      <c r="G188" s="24">
        <f>F188/B2</f>
        <v>0</v>
      </c>
      <c r="H188" s="25">
        <f t="shared" si="5"/>
        <v>6.47</v>
      </c>
      <c r="I188" s="26">
        <f>H188/B3</f>
        <v>0.3235</v>
      </c>
      <c r="J188" s="22">
        <v>0.0</v>
      </c>
      <c r="K188" s="22">
        <v>0.0</v>
      </c>
      <c r="L188" s="22">
        <v>0.0</v>
      </c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</row>
    <row r="189">
      <c r="A189" s="12">
        <v>46082.0</v>
      </c>
      <c r="B189" s="21" t="s">
        <v>61</v>
      </c>
      <c r="C189" s="22">
        <v>0.0</v>
      </c>
      <c r="D189" s="23">
        <f t="shared" si="3"/>
        <v>0</v>
      </c>
      <c r="E189" s="24">
        <f>D189/B1</f>
        <v>0</v>
      </c>
      <c r="F189" s="23">
        <f t="shared" si="4"/>
        <v>0</v>
      </c>
      <c r="G189" s="24">
        <f>F189/B2</f>
        <v>0</v>
      </c>
      <c r="H189" s="25">
        <f t="shared" si="5"/>
        <v>6.47</v>
      </c>
      <c r="I189" s="26">
        <f>H189/B3</f>
        <v>0.3235</v>
      </c>
      <c r="J189" s="22">
        <v>0.0</v>
      </c>
      <c r="K189" s="22">
        <v>0.0</v>
      </c>
      <c r="L189" s="22">
        <v>0.0</v>
      </c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</row>
    <row r="190">
      <c r="A190" s="12">
        <v>46082.0</v>
      </c>
      <c r="B190" s="21" t="s">
        <v>62</v>
      </c>
      <c r="C190" s="22">
        <v>0.0</v>
      </c>
      <c r="D190" s="23">
        <f t="shared" si="3"/>
        <v>0</v>
      </c>
      <c r="E190" s="24">
        <f>D190/B1</f>
        <v>0</v>
      </c>
      <c r="F190" s="23">
        <f t="shared" si="4"/>
        <v>0</v>
      </c>
      <c r="G190" s="24">
        <f>F190/B2</f>
        <v>0</v>
      </c>
      <c r="H190" s="25">
        <f t="shared" si="5"/>
        <v>6.47</v>
      </c>
      <c r="I190" s="26">
        <f>H190/B3</f>
        <v>0.3235</v>
      </c>
      <c r="J190" s="22">
        <v>0.0</v>
      </c>
      <c r="K190" s="22">
        <v>0.0</v>
      </c>
      <c r="L190" s="22">
        <v>0.0</v>
      </c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</row>
    <row r="191">
      <c r="A191" s="12">
        <v>46082.0</v>
      </c>
      <c r="B191" s="21" t="s">
        <v>63</v>
      </c>
      <c r="C191" s="22">
        <v>0.0</v>
      </c>
      <c r="D191" s="23">
        <f t="shared" si="3"/>
        <v>0</v>
      </c>
      <c r="E191" s="24">
        <f>D191/B1</f>
        <v>0</v>
      </c>
      <c r="F191" s="23">
        <f t="shared" si="4"/>
        <v>0</v>
      </c>
      <c r="G191" s="24">
        <f>F191/B2</f>
        <v>0</v>
      </c>
      <c r="H191" s="25">
        <f t="shared" si="5"/>
        <v>6.47</v>
      </c>
      <c r="I191" s="26">
        <f>H191/B3</f>
        <v>0.3235</v>
      </c>
      <c r="J191" s="22">
        <v>0.0</v>
      </c>
      <c r="K191" s="22">
        <v>0.0</v>
      </c>
      <c r="L191" s="22">
        <v>0.0</v>
      </c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</row>
    <row r="192">
      <c r="A192" s="12">
        <v>46083.0</v>
      </c>
      <c r="B192" s="21" t="s">
        <v>61</v>
      </c>
      <c r="C192" s="22">
        <v>0.0</v>
      </c>
      <c r="D192" s="23">
        <f t="shared" si="3"/>
        <v>0</v>
      </c>
      <c r="E192" s="24">
        <f>D192/B1</f>
        <v>0</v>
      </c>
      <c r="F192" s="23">
        <f t="shared" si="4"/>
        <v>0</v>
      </c>
      <c r="G192" s="24">
        <f>F192/B2</f>
        <v>0</v>
      </c>
      <c r="H192" s="25">
        <f t="shared" si="5"/>
        <v>6.47</v>
      </c>
      <c r="I192" s="26">
        <f>H192/B3</f>
        <v>0.3235</v>
      </c>
      <c r="J192" s="22">
        <v>0.0</v>
      </c>
      <c r="K192" s="22">
        <v>0.0</v>
      </c>
      <c r="L192" s="22">
        <v>0.0</v>
      </c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</row>
    <row r="193">
      <c r="A193" s="12">
        <v>46083.0</v>
      </c>
      <c r="B193" s="21" t="s">
        <v>62</v>
      </c>
      <c r="C193" s="22">
        <v>0.0</v>
      </c>
      <c r="D193" s="23">
        <f t="shared" si="3"/>
        <v>0</v>
      </c>
      <c r="E193" s="24">
        <f>D193/B1</f>
        <v>0</v>
      </c>
      <c r="F193" s="23">
        <f t="shared" si="4"/>
        <v>0</v>
      </c>
      <c r="G193" s="24">
        <f>F193/B2</f>
        <v>0</v>
      </c>
      <c r="H193" s="25">
        <f t="shared" si="5"/>
        <v>6.47</v>
      </c>
      <c r="I193" s="26">
        <f>H193/B3</f>
        <v>0.3235</v>
      </c>
      <c r="J193" s="22">
        <v>0.0</v>
      </c>
      <c r="K193" s="22">
        <v>0.0</v>
      </c>
      <c r="L193" s="22">
        <v>0.0</v>
      </c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</row>
    <row r="194">
      <c r="A194" s="12">
        <v>46083.0</v>
      </c>
      <c r="B194" s="21" t="s">
        <v>63</v>
      </c>
      <c r="C194" s="22">
        <v>0.0</v>
      </c>
      <c r="D194" s="23">
        <f t="shared" si="3"/>
        <v>0</v>
      </c>
      <c r="E194" s="24">
        <f>D194/B1</f>
        <v>0</v>
      </c>
      <c r="F194" s="23">
        <f t="shared" si="4"/>
        <v>0</v>
      </c>
      <c r="G194" s="24">
        <f>F194/B2</f>
        <v>0</v>
      </c>
      <c r="H194" s="25">
        <f t="shared" si="5"/>
        <v>6.47</v>
      </c>
      <c r="I194" s="26">
        <f>H194/B3</f>
        <v>0.3235</v>
      </c>
      <c r="J194" s="22">
        <v>0.0</v>
      </c>
      <c r="K194" s="22">
        <v>0.0</v>
      </c>
      <c r="L194" s="22">
        <v>0.0</v>
      </c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</row>
    <row r="195">
      <c r="A195" s="12">
        <v>46084.0</v>
      </c>
      <c r="B195" s="21" t="s">
        <v>61</v>
      </c>
      <c r="C195" s="22">
        <v>0.0</v>
      </c>
      <c r="D195" s="23">
        <f t="shared" si="3"/>
        <v>0</v>
      </c>
      <c r="E195" s="24">
        <f>D195/B1</f>
        <v>0</v>
      </c>
      <c r="F195" s="23">
        <f t="shared" si="4"/>
        <v>0</v>
      </c>
      <c r="G195" s="24">
        <f>F195/B2</f>
        <v>0</v>
      </c>
      <c r="H195" s="25">
        <f t="shared" si="5"/>
        <v>6.47</v>
      </c>
      <c r="I195" s="26">
        <f>H195/B3</f>
        <v>0.3235</v>
      </c>
      <c r="J195" s="22">
        <v>0.0</v>
      </c>
      <c r="K195" s="22">
        <v>0.0</v>
      </c>
      <c r="L195" s="22">
        <v>0.0</v>
      </c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</row>
    <row r="196">
      <c r="A196" s="12">
        <v>46084.0</v>
      </c>
      <c r="B196" s="21" t="s">
        <v>62</v>
      </c>
      <c r="C196" s="22">
        <v>0.0</v>
      </c>
      <c r="D196" s="23">
        <f t="shared" si="3"/>
        <v>0</v>
      </c>
      <c r="E196" s="24">
        <f>D196/B1</f>
        <v>0</v>
      </c>
      <c r="F196" s="23">
        <f t="shared" si="4"/>
        <v>0</v>
      </c>
      <c r="G196" s="24">
        <f>F196/B2</f>
        <v>0</v>
      </c>
      <c r="H196" s="25">
        <f t="shared" si="5"/>
        <v>6.47</v>
      </c>
      <c r="I196" s="26">
        <f>H196/B3</f>
        <v>0.3235</v>
      </c>
      <c r="J196" s="22">
        <v>0.0</v>
      </c>
      <c r="K196" s="22">
        <v>0.0</v>
      </c>
      <c r="L196" s="22">
        <v>0.0</v>
      </c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</row>
    <row r="197">
      <c r="A197" s="12">
        <v>46084.0</v>
      </c>
      <c r="B197" s="21" t="s">
        <v>63</v>
      </c>
      <c r="C197" s="22">
        <v>0.0</v>
      </c>
      <c r="D197" s="23">
        <f t="shared" si="3"/>
        <v>0</v>
      </c>
      <c r="E197" s="24">
        <f>D197/B1</f>
        <v>0</v>
      </c>
      <c r="F197" s="23">
        <f t="shared" si="4"/>
        <v>0</v>
      </c>
      <c r="G197" s="24">
        <f>F197/B2</f>
        <v>0</v>
      </c>
      <c r="H197" s="25">
        <f t="shared" si="5"/>
        <v>6.47</v>
      </c>
      <c r="I197" s="26">
        <f>H197/B3</f>
        <v>0.3235</v>
      </c>
      <c r="J197" s="22">
        <v>0.0</v>
      </c>
      <c r="K197" s="22">
        <v>0.0</v>
      </c>
      <c r="L197" s="22">
        <v>0.0</v>
      </c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</row>
    <row r="198">
      <c r="A198" s="12">
        <v>46085.0</v>
      </c>
      <c r="B198" s="21" t="s">
        <v>61</v>
      </c>
      <c r="C198" s="22">
        <v>0.0</v>
      </c>
      <c r="D198" s="23">
        <f t="shared" si="3"/>
        <v>0</v>
      </c>
      <c r="E198" s="24">
        <f>D198/B1</f>
        <v>0</v>
      </c>
      <c r="F198" s="23">
        <f t="shared" si="4"/>
        <v>0</v>
      </c>
      <c r="G198" s="24">
        <f>F198/B2</f>
        <v>0</v>
      </c>
      <c r="H198" s="25">
        <f t="shared" si="5"/>
        <v>6.47</v>
      </c>
      <c r="I198" s="26">
        <f>H198/B3</f>
        <v>0.3235</v>
      </c>
      <c r="J198" s="22">
        <v>0.0</v>
      </c>
      <c r="K198" s="22">
        <v>0.0</v>
      </c>
      <c r="L198" s="22">
        <v>0.0</v>
      </c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</row>
    <row r="199">
      <c r="A199" s="12">
        <v>46085.0</v>
      </c>
      <c r="B199" s="21" t="s">
        <v>62</v>
      </c>
      <c r="C199" s="22">
        <v>0.0</v>
      </c>
      <c r="D199" s="23">
        <f t="shared" si="3"/>
        <v>0</v>
      </c>
      <c r="E199" s="24">
        <f>D199/B1</f>
        <v>0</v>
      </c>
      <c r="F199" s="23">
        <f t="shared" si="4"/>
        <v>0</v>
      </c>
      <c r="G199" s="24">
        <f>F199/B2</f>
        <v>0</v>
      </c>
      <c r="H199" s="25">
        <f t="shared" si="5"/>
        <v>6.47</v>
      </c>
      <c r="I199" s="26">
        <f>H199/B3</f>
        <v>0.3235</v>
      </c>
      <c r="J199" s="22">
        <v>0.0</v>
      </c>
      <c r="K199" s="22">
        <v>0.0</v>
      </c>
      <c r="L199" s="22">
        <v>0.0</v>
      </c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</row>
    <row r="200">
      <c r="A200" s="12">
        <v>46085.0</v>
      </c>
      <c r="B200" s="21" t="s">
        <v>63</v>
      </c>
      <c r="C200" s="22">
        <v>0.0</v>
      </c>
      <c r="D200" s="23">
        <f t="shared" si="3"/>
        <v>0</v>
      </c>
      <c r="E200" s="24">
        <f>D200/B1</f>
        <v>0</v>
      </c>
      <c r="F200" s="23">
        <f t="shared" si="4"/>
        <v>0</v>
      </c>
      <c r="G200" s="24">
        <f>F200/B2</f>
        <v>0</v>
      </c>
      <c r="H200" s="25">
        <f t="shared" si="5"/>
        <v>6.47</v>
      </c>
      <c r="I200" s="26">
        <f>H200/B3</f>
        <v>0.3235</v>
      </c>
      <c r="J200" s="22">
        <v>0.0</v>
      </c>
      <c r="K200" s="22">
        <v>0.0</v>
      </c>
      <c r="L200" s="22">
        <v>0.0</v>
      </c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</row>
    <row r="201">
      <c r="A201" s="12">
        <v>46086.0</v>
      </c>
      <c r="B201" s="21" t="s">
        <v>61</v>
      </c>
      <c r="C201" s="22">
        <v>0.0</v>
      </c>
      <c r="D201" s="23">
        <f t="shared" si="3"/>
        <v>0</v>
      </c>
      <c r="E201" s="24">
        <f>D201/B1</f>
        <v>0</v>
      </c>
      <c r="F201" s="23">
        <f t="shared" si="4"/>
        <v>0</v>
      </c>
      <c r="G201" s="24">
        <f>F201/B2</f>
        <v>0</v>
      </c>
      <c r="H201" s="25">
        <f t="shared" si="5"/>
        <v>6.47</v>
      </c>
      <c r="I201" s="26">
        <f>H201/B3</f>
        <v>0.3235</v>
      </c>
      <c r="J201" s="22">
        <v>0.0</v>
      </c>
      <c r="K201" s="22">
        <v>0.0</v>
      </c>
      <c r="L201" s="22">
        <v>0.0</v>
      </c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</row>
    <row r="202">
      <c r="A202" s="12">
        <v>46086.0</v>
      </c>
      <c r="B202" s="21" t="s">
        <v>62</v>
      </c>
      <c r="C202" s="22">
        <v>0.0</v>
      </c>
      <c r="D202" s="23">
        <f t="shared" si="3"/>
        <v>0</v>
      </c>
      <c r="E202" s="24">
        <f>D202/B1</f>
        <v>0</v>
      </c>
      <c r="F202" s="23">
        <f t="shared" si="4"/>
        <v>0</v>
      </c>
      <c r="G202" s="24">
        <f>F202/B2</f>
        <v>0</v>
      </c>
      <c r="H202" s="25">
        <f t="shared" si="5"/>
        <v>6.47</v>
      </c>
      <c r="I202" s="26">
        <f>H202/B3</f>
        <v>0.3235</v>
      </c>
      <c r="J202" s="22">
        <v>0.0</v>
      </c>
      <c r="K202" s="22">
        <v>0.0</v>
      </c>
      <c r="L202" s="22">
        <v>0.0</v>
      </c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</row>
    <row r="203">
      <c r="A203" s="12">
        <v>46086.0</v>
      </c>
      <c r="B203" s="21" t="s">
        <v>63</v>
      </c>
      <c r="C203" s="22">
        <v>0.0</v>
      </c>
      <c r="D203" s="23">
        <f t="shared" si="3"/>
        <v>0</v>
      </c>
      <c r="E203" s="24">
        <f>D203/B1</f>
        <v>0</v>
      </c>
      <c r="F203" s="23">
        <f t="shared" si="4"/>
        <v>0</v>
      </c>
      <c r="G203" s="24">
        <f>F203/B2</f>
        <v>0</v>
      </c>
      <c r="H203" s="25">
        <f t="shared" si="5"/>
        <v>6.47</v>
      </c>
      <c r="I203" s="26">
        <f>H203/B3</f>
        <v>0.3235</v>
      </c>
      <c r="J203" s="22">
        <v>0.0</v>
      </c>
      <c r="K203" s="22">
        <v>0.0</v>
      </c>
      <c r="L203" s="22">
        <v>0.0</v>
      </c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</row>
    <row r="204">
      <c r="A204" s="12">
        <v>46087.0</v>
      </c>
      <c r="B204" s="21" t="s">
        <v>61</v>
      </c>
      <c r="C204" s="22">
        <v>0.0</v>
      </c>
      <c r="D204" s="23">
        <f t="shared" si="3"/>
        <v>0</v>
      </c>
      <c r="E204" s="24">
        <f>D204/B1</f>
        <v>0</v>
      </c>
      <c r="F204" s="23">
        <f t="shared" si="4"/>
        <v>0</v>
      </c>
      <c r="G204" s="24">
        <f>F204/B2</f>
        <v>0</v>
      </c>
      <c r="H204" s="25">
        <f t="shared" si="5"/>
        <v>6.47</v>
      </c>
      <c r="I204" s="26">
        <f>H204/B3</f>
        <v>0.3235</v>
      </c>
      <c r="J204" s="22">
        <v>0.0</v>
      </c>
      <c r="K204" s="22">
        <v>0.0</v>
      </c>
      <c r="L204" s="22">
        <v>0.0</v>
      </c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</row>
    <row r="205">
      <c r="A205" s="12">
        <v>46087.0</v>
      </c>
      <c r="B205" s="21" t="s">
        <v>62</v>
      </c>
      <c r="C205" s="22">
        <v>0.0</v>
      </c>
      <c r="D205" s="23">
        <f t="shared" si="3"/>
        <v>0</v>
      </c>
      <c r="E205" s="24">
        <f>D205/B1</f>
        <v>0</v>
      </c>
      <c r="F205" s="23">
        <f t="shared" si="4"/>
        <v>0</v>
      </c>
      <c r="G205" s="24">
        <f>F205/B2</f>
        <v>0</v>
      </c>
      <c r="H205" s="25">
        <f t="shared" si="5"/>
        <v>6.47</v>
      </c>
      <c r="I205" s="26">
        <f>H205/B3</f>
        <v>0.3235</v>
      </c>
      <c r="J205" s="22">
        <v>0.0</v>
      </c>
      <c r="K205" s="22">
        <v>0.0</v>
      </c>
      <c r="L205" s="22">
        <v>0.0</v>
      </c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</row>
    <row r="206">
      <c r="A206" s="12">
        <v>46087.0</v>
      </c>
      <c r="B206" s="21" t="s">
        <v>63</v>
      </c>
      <c r="C206" s="22">
        <v>0.0</v>
      </c>
      <c r="D206" s="23">
        <f t="shared" si="3"/>
        <v>0</v>
      </c>
      <c r="E206" s="24">
        <f>D206/B1</f>
        <v>0</v>
      </c>
      <c r="F206" s="23">
        <f t="shared" si="4"/>
        <v>0</v>
      </c>
      <c r="G206" s="24">
        <f>F206/B2</f>
        <v>0</v>
      </c>
      <c r="H206" s="25">
        <f t="shared" si="5"/>
        <v>6.47</v>
      </c>
      <c r="I206" s="26">
        <f>H206/B3</f>
        <v>0.3235</v>
      </c>
      <c r="J206" s="22">
        <v>0.0</v>
      </c>
      <c r="K206" s="22">
        <v>0.0</v>
      </c>
      <c r="L206" s="22">
        <v>0.0</v>
      </c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</row>
    <row r="207">
      <c r="A207" s="12">
        <v>46088.0</v>
      </c>
      <c r="B207" s="21" t="s">
        <v>61</v>
      </c>
      <c r="C207" s="22">
        <v>0.0</v>
      </c>
      <c r="D207" s="23">
        <f t="shared" si="3"/>
        <v>0</v>
      </c>
      <c r="E207" s="24">
        <f>D207/B1</f>
        <v>0</v>
      </c>
      <c r="F207" s="23">
        <f t="shared" si="4"/>
        <v>0</v>
      </c>
      <c r="G207" s="24">
        <f>F207/B2</f>
        <v>0</v>
      </c>
      <c r="H207" s="25">
        <f t="shared" si="5"/>
        <v>6.47</v>
      </c>
      <c r="I207" s="26">
        <f>H207/B3</f>
        <v>0.3235</v>
      </c>
      <c r="J207" s="22">
        <v>0.0</v>
      </c>
      <c r="K207" s="22">
        <v>0.0</v>
      </c>
      <c r="L207" s="22">
        <v>0.0</v>
      </c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</row>
    <row r="208">
      <c r="A208" s="12">
        <v>46088.0</v>
      </c>
      <c r="B208" s="21" t="s">
        <v>62</v>
      </c>
      <c r="C208" s="22">
        <v>0.0</v>
      </c>
      <c r="D208" s="23">
        <f t="shared" si="3"/>
        <v>0</v>
      </c>
      <c r="E208" s="24">
        <f>D208/B1</f>
        <v>0</v>
      </c>
      <c r="F208" s="23">
        <f t="shared" si="4"/>
        <v>0</v>
      </c>
      <c r="G208" s="24">
        <f>F208/B2</f>
        <v>0</v>
      </c>
      <c r="H208" s="25">
        <f t="shared" si="5"/>
        <v>6.47</v>
      </c>
      <c r="I208" s="26">
        <f>H208/B3</f>
        <v>0.3235</v>
      </c>
      <c r="J208" s="22">
        <v>0.0</v>
      </c>
      <c r="K208" s="22">
        <v>0.0</v>
      </c>
      <c r="L208" s="22">
        <v>0.0</v>
      </c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</row>
    <row r="209">
      <c r="A209" s="12">
        <v>46088.0</v>
      </c>
      <c r="B209" s="21" t="s">
        <v>63</v>
      </c>
      <c r="C209" s="22">
        <v>0.0</v>
      </c>
      <c r="D209" s="23">
        <f t="shared" si="3"/>
        <v>0</v>
      </c>
      <c r="E209" s="24">
        <f>D209/B1</f>
        <v>0</v>
      </c>
      <c r="F209" s="23">
        <f t="shared" si="4"/>
        <v>0</v>
      </c>
      <c r="G209" s="24">
        <f>F209/B2</f>
        <v>0</v>
      </c>
      <c r="H209" s="25">
        <f t="shared" si="5"/>
        <v>6.47</v>
      </c>
      <c r="I209" s="26">
        <f>H209/B3</f>
        <v>0.3235</v>
      </c>
      <c r="J209" s="22">
        <v>0.0</v>
      </c>
      <c r="K209" s="22">
        <v>0.0</v>
      </c>
      <c r="L209" s="22">
        <v>0.0</v>
      </c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</row>
    <row r="210">
      <c r="A210" s="12">
        <v>46089.0</v>
      </c>
      <c r="B210" s="21" t="s">
        <v>61</v>
      </c>
      <c r="C210" s="22">
        <v>0.0</v>
      </c>
      <c r="D210" s="23">
        <f t="shared" si="3"/>
        <v>0</v>
      </c>
      <c r="E210" s="24">
        <f>D210/B1</f>
        <v>0</v>
      </c>
      <c r="F210" s="23">
        <f t="shared" si="4"/>
        <v>0</v>
      </c>
      <c r="G210" s="24">
        <f>F210/B2</f>
        <v>0</v>
      </c>
      <c r="H210" s="25">
        <f t="shared" si="5"/>
        <v>6.47</v>
      </c>
      <c r="I210" s="26">
        <f>H210/B3</f>
        <v>0.3235</v>
      </c>
      <c r="J210" s="22">
        <v>0.0</v>
      </c>
      <c r="K210" s="22">
        <v>0.0</v>
      </c>
      <c r="L210" s="22">
        <v>0.0</v>
      </c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</row>
    <row r="211">
      <c r="A211" s="12">
        <v>46089.0</v>
      </c>
      <c r="B211" s="21" t="s">
        <v>62</v>
      </c>
      <c r="C211" s="22">
        <v>0.0</v>
      </c>
      <c r="D211" s="23">
        <f t="shared" si="3"/>
        <v>0</v>
      </c>
      <c r="E211" s="24">
        <f>D211/B1</f>
        <v>0</v>
      </c>
      <c r="F211" s="23">
        <f t="shared" si="4"/>
        <v>0</v>
      </c>
      <c r="G211" s="24">
        <f>F211/B2</f>
        <v>0</v>
      </c>
      <c r="H211" s="25">
        <f t="shared" si="5"/>
        <v>6.47</v>
      </c>
      <c r="I211" s="26">
        <f>H211/B3</f>
        <v>0.3235</v>
      </c>
      <c r="J211" s="22">
        <v>0.0</v>
      </c>
      <c r="K211" s="22">
        <v>0.0</v>
      </c>
      <c r="L211" s="22">
        <v>0.0</v>
      </c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</row>
    <row r="212">
      <c r="A212" s="12">
        <v>46089.0</v>
      </c>
      <c r="B212" s="21" t="s">
        <v>63</v>
      </c>
      <c r="C212" s="22">
        <v>0.0</v>
      </c>
      <c r="D212" s="23">
        <f t="shared" si="3"/>
        <v>0</v>
      </c>
      <c r="E212" s="24">
        <f>D212/B1</f>
        <v>0</v>
      </c>
      <c r="F212" s="23">
        <f t="shared" si="4"/>
        <v>0</v>
      </c>
      <c r="G212" s="24">
        <f>F212/B2</f>
        <v>0</v>
      </c>
      <c r="H212" s="25">
        <f t="shared" si="5"/>
        <v>6.47</v>
      </c>
      <c r="I212" s="26">
        <f>H212/B3</f>
        <v>0.3235</v>
      </c>
      <c r="J212" s="22">
        <v>0.0</v>
      </c>
      <c r="K212" s="22">
        <v>0.0</v>
      </c>
      <c r="L212" s="22">
        <v>0.0</v>
      </c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</row>
    <row r="213">
      <c r="A213" s="12">
        <v>46090.0</v>
      </c>
      <c r="B213" s="21" t="s">
        <v>61</v>
      </c>
      <c r="C213" s="22">
        <v>0.0</v>
      </c>
      <c r="D213" s="23">
        <f t="shared" si="3"/>
        <v>0</v>
      </c>
      <c r="E213" s="24">
        <f>D213/B1</f>
        <v>0</v>
      </c>
      <c r="F213" s="23">
        <f t="shared" si="4"/>
        <v>0</v>
      </c>
      <c r="G213" s="24">
        <f>F213/B2</f>
        <v>0</v>
      </c>
      <c r="H213" s="25">
        <f t="shared" si="5"/>
        <v>6.47</v>
      </c>
      <c r="I213" s="26">
        <f>H213/B3</f>
        <v>0.3235</v>
      </c>
      <c r="J213" s="22">
        <v>0.0</v>
      </c>
      <c r="K213" s="22">
        <v>0.0</v>
      </c>
      <c r="L213" s="22">
        <v>0.0</v>
      </c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</row>
    <row r="214">
      <c r="A214" s="12">
        <v>46090.0</v>
      </c>
      <c r="B214" s="21" t="s">
        <v>62</v>
      </c>
      <c r="C214" s="22">
        <v>0.0</v>
      </c>
      <c r="D214" s="23">
        <f t="shared" si="3"/>
        <v>0</v>
      </c>
      <c r="E214" s="24">
        <f>D214/B1</f>
        <v>0</v>
      </c>
      <c r="F214" s="23">
        <f t="shared" si="4"/>
        <v>0</v>
      </c>
      <c r="G214" s="24">
        <f>F214/B2</f>
        <v>0</v>
      </c>
      <c r="H214" s="25">
        <f t="shared" si="5"/>
        <v>6.47</v>
      </c>
      <c r="I214" s="26">
        <f>H214/B3</f>
        <v>0.3235</v>
      </c>
      <c r="J214" s="22">
        <v>0.0</v>
      </c>
      <c r="K214" s="22">
        <v>0.0</v>
      </c>
      <c r="L214" s="22">
        <v>0.0</v>
      </c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</row>
    <row r="215">
      <c r="A215" s="12">
        <v>46090.0</v>
      </c>
      <c r="B215" s="21" t="s">
        <v>63</v>
      </c>
      <c r="C215" s="22">
        <v>0.0</v>
      </c>
      <c r="D215" s="23">
        <f t="shared" si="3"/>
        <v>0</v>
      </c>
      <c r="E215" s="24">
        <f>D215/B1</f>
        <v>0</v>
      </c>
      <c r="F215" s="23">
        <f t="shared" si="4"/>
        <v>0</v>
      </c>
      <c r="G215" s="24">
        <f>F215/B2</f>
        <v>0</v>
      </c>
      <c r="H215" s="25">
        <f t="shared" si="5"/>
        <v>6.47</v>
      </c>
      <c r="I215" s="26">
        <f>H215/B3</f>
        <v>0.3235</v>
      </c>
      <c r="J215" s="22">
        <v>0.0</v>
      </c>
      <c r="K215" s="22">
        <v>0.0</v>
      </c>
      <c r="L215" s="22">
        <v>0.0</v>
      </c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</row>
    <row r="216">
      <c r="A216" s="12">
        <v>46091.0</v>
      </c>
      <c r="B216" s="21" t="s">
        <v>61</v>
      </c>
      <c r="C216" s="22">
        <v>0.0</v>
      </c>
      <c r="D216" s="23">
        <f t="shared" si="3"/>
        <v>0</v>
      </c>
      <c r="E216" s="24">
        <f>D216/B1</f>
        <v>0</v>
      </c>
      <c r="F216" s="23">
        <f t="shared" si="4"/>
        <v>0</v>
      </c>
      <c r="G216" s="24">
        <f>F216/B2</f>
        <v>0</v>
      </c>
      <c r="H216" s="25">
        <f t="shared" si="5"/>
        <v>6.47</v>
      </c>
      <c r="I216" s="26">
        <f>H216/B3</f>
        <v>0.3235</v>
      </c>
      <c r="J216" s="22">
        <v>0.0</v>
      </c>
      <c r="K216" s="22">
        <v>0.0</v>
      </c>
      <c r="L216" s="22">
        <v>0.0</v>
      </c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</row>
    <row r="217">
      <c r="A217" s="12">
        <v>46091.0</v>
      </c>
      <c r="B217" s="21" t="s">
        <v>62</v>
      </c>
      <c r="C217" s="22">
        <v>0.0</v>
      </c>
      <c r="D217" s="23">
        <f t="shared" si="3"/>
        <v>0</v>
      </c>
      <c r="E217" s="24">
        <f>D217/B1</f>
        <v>0</v>
      </c>
      <c r="F217" s="23">
        <f t="shared" si="4"/>
        <v>0</v>
      </c>
      <c r="G217" s="24">
        <f>F217/B2</f>
        <v>0</v>
      </c>
      <c r="H217" s="25">
        <f t="shared" si="5"/>
        <v>6.47</v>
      </c>
      <c r="I217" s="26">
        <f>H217/B3</f>
        <v>0.3235</v>
      </c>
      <c r="J217" s="22">
        <v>0.0</v>
      </c>
      <c r="K217" s="22">
        <v>0.0</v>
      </c>
      <c r="L217" s="22">
        <v>0.0</v>
      </c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</row>
    <row r="218">
      <c r="A218" s="12">
        <v>46091.0</v>
      </c>
      <c r="B218" s="21" t="s">
        <v>63</v>
      </c>
      <c r="C218" s="22">
        <v>0.0</v>
      </c>
      <c r="D218" s="23">
        <f t="shared" si="3"/>
        <v>0</v>
      </c>
      <c r="E218" s="24">
        <f>D218/B1</f>
        <v>0</v>
      </c>
      <c r="F218" s="23">
        <f t="shared" si="4"/>
        <v>0</v>
      </c>
      <c r="G218" s="24">
        <f>F218/B2</f>
        <v>0</v>
      </c>
      <c r="H218" s="25">
        <f t="shared" si="5"/>
        <v>6.47</v>
      </c>
      <c r="I218" s="26">
        <f>H218/B3</f>
        <v>0.3235</v>
      </c>
      <c r="J218" s="22">
        <v>0.0</v>
      </c>
      <c r="K218" s="22">
        <v>0.0</v>
      </c>
      <c r="L218" s="22">
        <v>0.0</v>
      </c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</row>
    <row r="219">
      <c r="A219" s="12">
        <v>46092.0</v>
      </c>
      <c r="B219" s="21" t="s">
        <v>61</v>
      </c>
      <c r="C219" s="22">
        <v>0.0</v>
      </c>
      <c r="D219" s="23">
        <f t="shared" si="3"/>
        <v>0</v>
      </c>
      <c r="E219" s="24">
        <f>D219/B1</f>
        <v>0</v>
      </c>
      <c r="F219" s="23">
        <f t="shared" si="4"/>
        <v>0</v>
      </c>
      <c r="G219" s="24">
        <f>F219/B2</f>
        <v>0</v>
      </c>
      <c r="H219" s="25">
        <f t="shared" si="5"/>
        <v>6.47</v>
      </c>
      <c r="I219" s="26">
        <f>H219/B3</f>
        <v>0.3235</v>
      </c>
      <c r="J219" s="22">
        <v>0.0</v>
      </c>
      <c r="K219" s="22">
        <v>0.0</v>
      </c>
      <c r="L219" s="22">
        <v>0.0</v>
      </c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</row>
    <row r="220">
      <c r="A220" s="12">
        <v>46092.0</v>
      </c>
      <c r="B220" s="21" t="s">
        <v>62</v>
      </c>
      <c r="C220" s="22">
        <v>0.0</v>
      </c>
      <c r="D220" s="23">
        <f t="shared" si="3"/>
        <v>0</v>
      </c>
      <c r="E220" s="24">
        <f>D220/B1</f>
        <v>0</v>
      </c>
      <c r="F220" s="23">
        <f t="shared" si="4"/>
        <v>0</v>
      </c>
      <c r="G220" s="24">
        <f>F220/B2</f>
        <v>0</v>
      </c>
      <c r="H220" s="25">
        <f t="shared" si="5"/>
        <v>6.47</v>
      </c>
      <c r="I220" s="26">
        <f>H220/B3</f>
        <v>0.3235</v>
      </c>
      <c r="J220" s="22">
        <v>0.0</v>
      </c>
      <c r="K220" s="22">
        <v>0.0</v>
      </c>
      <c r="L220" s="22">
        <v>0.0</v>
      </c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</row>
    <row r="221">
      <c r="A221" s="12">
        <v>46092.0</v>
      </c>
      <c r="B221" s="21" t="s">
        <v>63</v>
      </c>
      <c r="C221" s="22">
        <v>0.0</v>
      </c>
      <c r="D221" s="23">
        <f t="shared" si="3"/>
        <v>0</v>
      </c>
      <c r="E221" s="24">
        <f>D221/B1</f>
        <v>0</v>
      </c>
      <c r="F221" s="23">
        <f t="shared" si="4"/>
        <v>0</v>
      </c>
      <c r="G221" s="24">
        <f>F221/B2</f>
        <v>0</v>
      </c>
      <c r="H221" s="25">
        <f t="shared" si="5"/>
        <v>6.47</v>
      </c>
      <c r="I221" s="26">
        <f>H221/B3</f>
        <v>0.3235</v>
      </c>
      <c r="J221" s="22">
        <v>0.0</v>
      </c>
      <c r="K221" s="22">
        <v>0.0</v>
      </c>
      <c r="L221" s="22">
        <v>0.0</v>
      </c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</row>
    <row r="222">
      <c r="A222" s="12">
        <v>46093.0</v>
      </c>
      <c r="B222" s="21" t="s">
        <v>61</v>
      </c>
      <c r="C222" s="22">
        <v>0.0</v>
      </c>
      <c r="D222" s="23">
        <f t="shared" si="3"/>
        <v>0</v>
      </c>
      <c r="E222" s="24">
        <f>D222/B1</f>
        <v>0</v>
      </c>
      <c r="F222" s="23">
        <f t="shared" si="4"/>
        <v>0</v>
      </c>
      <c r="G222" s="24">
        <f>F222/B2</f>
        <v>0</v>
      </c>
      <c r="H222" s="25">
        <f t="shared" si="5"/>
        <v>6.47</v>
      </c>
      <c r="I222" s="26">
        <f>H222/B3</f>
        <v>0.3235</v>
      </c>
      <c r="J222" s="22">
        <v>0.0</v>
      </c>
      <c r="K222" s="22">
        <v>0.0</v>
      </c>
      <c r="L222" s="22">
        <v>0.0</v>
      </c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</row>
    <row r="223">
      <c r="A223" s="12">
        <v>46093.0</v>
      </c>
      <c r="B223" s="21" t="s">
        <v>62</v>
      </c>
      <c r="C223" s="22">
        <v>0.0</v>
      </c>
      <c r="D223" s="23">
        <f t="shared" si="3"/>
        <v>0</v>
      </c>
      <c r="E223" s="24">
        <f>D223/B1</f>
        <v>0</v>
      </c>
      <c r="F223" s="23">
        <f t="shared" si="4"/>
        <v>0</v>
      </c>
      <c r="G223" s="24">
        <f>F223/B2</f>
        <v>0</v>
      </c>
      <c r="H223" s="25">
        <f t="shared" si="5"/>
        <v>6.47</v>
      </c>
      <c r="I223" s="26">
        <f>H223/B3</f>
        <v>0.3235</v>
      </c>
      <c r="J223" s="22">
        <v>0.0</v>
      </c>
      <c r="K223" s="22">
        <v>0.0</v>
      </c>
      <c r="L223" s="22">
        <v>0.0</v>
      </c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</row>
    <row r="224">
      <c r="A224" s="12">
        <v>46093.0</v>
      </c>
      <c r="B224" s="21" t="s">
        <v>63</v>
      </c>
      <c r="C224" s="22">
        <v>0.0</v>
      </c>
      <c r="D224" s="23">
        <f t="shared" si="3"/>
        <v>0</v>
      </c>
      <c r="E224" s="24">
        <f>D224/B1</f>
        <v>0</v>
      </c>
      <c r="F224" s="23">
        <f t="shared" si="4"/>
        <v>0</v>
      </c>
      <c r="G224" s="24">
        <f>F224/B2</f>
        <v>0</v>
      </c>
      <c r="H224" s="25">
        <f t="shared" si="5"/>
        <v>6.47</v>
      </c>
      <c r="I224" s="26">
        <f>H224/B3</f>
        <v>0.3235</v>
      </c>
      <c r="J224" s="22">
        <v>0.0</v>
      </c>
      <c r="K224" s="22">
        <v>0.0</v>
      </c>
      <c r="L224" s="22">
        <v>0.0</v>
      </c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</row>
    <row r="225">
      <c r="A225" s="12">
        <v>46094.0</v>
      </c>
      <c r="B225" s="21" t="s">
        <v>61</v>
      </c>
      <c r="C225" s="22">
        <v>0.0</v>
      </c>
      <c r="D225" s="23">
        <f t="shared" si="3"/>
        <v>0</v>
      </c>
      <c r="E225" s="24">
        <f>D225/B1</f>
        <v>0</v>
      </c>
      <c r="F225" s="23">
        <f t="shared" si="4"/>
        <v>0</v>
      </c>
      <c r="G225" s="24">
        <f>F225/B2</f>
        <v>0</v>
      </c>
      <c r="H225" s="25">
        <f t="shared" si="5"/>
        <v>6.47</v>
      </c>
      <c r="I225" s="26">
        <f>H225/B3</f>
        <v>0.3235</v>
      </c>
      <c r="J225" s="22">
        <v>0.0</v>
      </c>
      <c r="K225" s="22">
        <v>0.0</v>
      </c>
      <c r="L225" s="22">
        <v>0.0</v>
      </c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</row>
    <row r="226">
      <c r="A226" s="12">
        <v>46094.0</v>
      </c>
      <c r="B226" s="21" t="s">
        <v>62</v>
      </c>
      <c r="C226" s="22">
        <v>0.0</v>
      </c>
      <c r="D226" s="23">
        <f t="shared" si="3"/>
        <v>0</v>
      </c>
      <c r="E226" s="24">
        <f>D226/B1</f>
        <v>0</v>
      </c>
      <c r="F226" s="23">
        <f t="shared" si="4"/>
        <v>0</v>
      </c>
      <c r="G226" s="24">
        <f>F226/B2</f>
        <v>0</v>
      </c>
      <c r="H226" s="25">
        <f t="shared" si="5"/>
        <v>6.47</v>
      </c>
      <c r="I226" s="26">
        <f>H226/B3</f>
        <v>0.3235</v>
      </c>
      <c r="J226" s="22">
        <v>0.0</v>
      </c>
      <c r="K226" s="22">
        <v>0.0</v>
      </c>
      <c r="L226" s="22">
        <v>0.0</v>
      </c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</row>
    <row r="227">
      <c r="A227" s="12">
        <v>46094.0</v>
      </c>
      <c r="B227" s="21" t="s">
        <v>63</v>
      </c>
      <c r="C227" s="22">
        <v>0.0</v>
      </c>
      <c r="D227" s="23">
        <f t="shared" si="3"/>
        <v>0</v>
      </c>
      <c r="E227" s="24">
        <f>D227/B1</f>
        <v>0</v>
      </c>
      <c r="F227" s="23">
        <f t="shared" si="4"/>
        <v>0</v>
      </c>
      <c r="G227" s="24">
        <f>F227/B2</f>
        <v>0</v>
      </c>
      <c r="H227" s="25">
        <f t="shared" si="5"/>
        <v>6.47</v>
      </c>
      <c r="I227" s="26">
        <f>H227/B3</f>
        <v>0.3235</v>
      </c>
      <c r="J227" s="22">
        <v>0.0</v>
      </c>
      <c r="K227" s="22">
        <v>0.0</v>
      </c>
      <c r="L227" s="22">
        <v>0.0</v>
      </c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</row>
    <row r="228">
      <c r="A228" s="12">
        <v>46095.0</v>
      </c>
      <c r="B228" s="21" t="s">
        <v>61</v>
      </c>
      <c r="C228" s="22">
        <v>0.0</v>
      </c>
      <c r="D228" s="23">
        <f t="shared" si="3"/>
        <v>0</v>
      </c>
      <c r="E228" s="24">
        <f>D228/B1</f>
        <v>0</v>
      </c>
      <c r="F228" s="23">
        <f t="shared" si="4"/>
        <v>0</v>
      </c>
      <c r="G228" s="24">
        <f>F228/B2</f>
        <v>0</v>
      </c>
      <c r="H228" s="25">
        <f t="shared" si="5"/>
        <v>6.47</v>
      </c>
      <c r="I228" s="26">
        <f>H228/B3</f>
        <v>0.3235</v>
      </c>
      <c r="J228" s="22">
        <v>0.0</v>
      </c>
      <c r="K228" s="22">
        <v>0.0</v>
      </c>
      <c r="L228" s="22">
        <v>0.0</v>
      </c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</row>
    <row r="229">
      <c r="A229" s="12">
        <v>46095.0</v>
      </c>
      <c r="B229" s="21" t="s">
        <v>62</v>
      </c>
      <c r="C229" s="22">
        <v>0.0</v>
      </c>
      <c r="D229" s="23">
        <f t="shared" si="3"/>
        <v>0</v>
      </c>
      <c r="E229" s="24">
        <f>D229/B1</f>
        <v>0</v>
      </c>
      <c r="F229" s="23">
        <f t="shared" si="4"/>
        <v>0</v>
      </c>
      <c r="G229" s="24">
        <f>F229/B2</f>
        <v>0</v>
      </c>
      <c r="H229" s="25">
        <f t="shared" si="5"/>
        <v>6.47</v>
      </c>
      <c r="I229" s="26">
        <f>H229/B3</f>
        <v>0.3235</v>
      </c>
      <c r="J229" s="22">
        <v>0.0</v>
      </c>
      <c r="K229" s="22">
        <v>0.0</v>
      </c>
      <c r="L229" s="22">
        <v>0.0</v>
      </c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</row>
    <row r="230">
      <c r="A230" s="12">
        <v>46095.0</v>
      </c>
      <c r="B230" s="21" t="s">
        <v>63</v>
      </c>
      <c r="C230" s="22">
        <v>0.0</v>
      </c>
      <c r="D230" s="23">
        <f t="shared" si="3"/>
        <v>0</v>
      </c>
      <c r="E230" s="24">
        <f>D230/B1</f>
        <v>0</v>
      </c>
      <c r="F230" s="23">
        <f t="shared" si="4"/>
        <v>0</v>
      </c>
      <c r="G230" s="24">
        <f>F230/B2</f>
        <v>0</v>
      </c>
      <c r="H230" s="25">
        <f t="shared" si="5"/>
        <v>6.47</v>
      </c>
      <c r="I230" s="26">
        <f>H230/B3</f>
        <v>0.3235</v>
      </c>
      <c r="J230" s="22">
        <v>0.0</v>
      </c>
      <c r="K230" s="22">
        <v>0.0</v>
      </c>
      <c r="L230" s="22">
        <v>0.0</v>
      </c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</row>
    <row r="231">
      <c r="A231" s="12">
        <v>46096.0</v>
      </c>
      <c r="B231" s="21" t="s">
        <v>61</v>
      </c>
      <c r="C231" s="22">
        <v>0.0</v>
      </c>
      <c r="D231" s="23">
        <f t="shared" si="3"/>
        <v>0</v>
      </c>
      <c r="E231" s="24">
        <f>D231/B1</f>
        <v>0</v>
      </c>
      <c r="F231" s="23">
        <f t="shared" si="4"/>
        <v>0</v>
      </c>
      <c r="G231" s="24">
        <f>F231/B2</f>
        <v>0</v>
      </c>
      <c r="H231" s="25">
        <f t="shared" si="5"/>
        <v>6.47</v>
      </c>
      <c r="I231" s="26">
        <f>H231/B3</f>
        <v>0.3235</v>
      </c>
      <c r="J231" s="22">
        <v>0.0</v>
      </c>
      <c r="K231" s="22">
        <v>0.0</v>
      </c>
      <c r="L231" s="22">
        <v>0.0</v>
      </c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</row>
    <row r="232">
      <c r="A232" s="12">
        <v>46096.0</v>
      </c>
      <c r="B232" s="21" t="s">
        <v>62</v>
      </c>
      <c r="C232" s="22">
        <v>0.0</v>
      </c>
      <c r="D232" s="23">
        <f t="shared" si="3"/>
        <v>0</v>
      </c>
      <c r="E232" s="24">
        <f>D232/B1</f>
        <v>0</v>
      </c>
      <c r="F232" s="23">
        <f t="shared" si="4"/>
        <v>0</v>
      </c>
      <c r="G232" s="24">
        <f>F232/B2</f>
        <v>0</v>
      </c>
      <c r="H232" s="25">
        <f t="shared" si="5"/>
        <v>6.47</v>
      </c>
      <c r="I232" s="26">
        <f>H232/B3</f>
        <v>0.3235</v>
      </c>
      <c r="J232" s="22">
        <v>0.0</v>
      </c>
      <c r="K232" s="22">
        <v>0.0</v>
      </c>
      <c r="L232" s="22">
        <v>0.0</v>
      </c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</row>
    <row r="233">
      <c r="A233" s="12">
        <v>46096.0</v>
      </c>
      <c r="B233" s="21" t="s">
        <v>63</v>
      </c>
      <c r="C233" s="22">
        <v>0.0</v>
      </c>
      <c r="D233" s="23">
        <f t="shared" si="3"/>
        <v>0</v>
      </c>
      <c r="E233" s="24">
        <f>D233/B1</f>
        <v>0</v>
      </c>
      <c r="F233" s="23">
        <f t="shared" si="4"/>
        <v>0</v>
      </c>
      <c r="G233" s="24">
        <f>F233/B2</f>
        <v>0</v>
      </c>
      <c r="H233" s="25">
        <f t="shared" si="5"/>
        <v>6.47</v>
      </c>
      <c r="I233" s="26">
        <f>H233/B3</f>
        <v>0.3235</v>
      </c>
      <c r="J233" s="22">
        <v>0.0</v>
      </c>
      <c r="K233" s="22">
        <v>0.0</v>
      </c>
      <c r="L233" s="22">
        <v>0.0</v>
      </c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</row>
    <row r="234">
      <c r="A234" s="12">
        <v>46097.0</v>
      </c>
      <c r="B234" s="21" t="s">
        <v>61</v>
      </c>
      <c r="C234" s="22">
        <v>0.0</v>
      </c>
      <c r="D234" s="23">
        <f t="shared" si="3"/>
        <v>0</v>
      </c>
      <c r="E234" s="24">
        <f>D234/B1</f>
        <v>0</v>
      </c>
      <c r="F234" s="23">
        <f t="shared" si="4"/>
        <v>0</v>
      </c>
      <c r="G234" s="24">
        <f>F234/B2</f>
        <v>0</v>
      </c>
      <c r="H234" s="25">
        <f t="shared" si="5"/>
        <v>6.47</v>
      </c>
      <c r="I234" s="26">
        <f>H234/B3</f>
        <v>0.3235</v>
      </c>
      <c r="J234" s="22">
        <v>0.0</v>
      </c>
      <c r="K234" s="22">
        <v>0.0</v>
      </c>
      <c r="L234" s="22">
        <v>0.0</v>
      </c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</row>
    <row r="235">
      <c r="A235" s="12">
        <v>46097.0</v>
      </c>
      <c r="B235" s="21" t="s">
        <v>62</v>
      </c>
      <c r="C235" s="22">
        <v>0.0</v>
      </c>
      <c r="D235" s="23">
        <f t="shared" si="3"/>
        <v>0</v>
      </c>
      <c r="E235" s="24">
        <f>D235/B1</f>
        <v>0</v>
      </c>
      <c r="F235" s="23">
        <f t="shared" si="4"/>
        <v>0</v>
      </c>
      <c r="G235" s="24">
        <f>F235/B2</f>
        <v>0</v>
      </c>
      <c r="H235" s="25">
        <f t="shared" si="5"/>
        <v>6.47</v>
      </c>
      <c r="I235" s="26">
        <f>H235/B3</f>
        <v>0.3235</v>
      </c>
      <c r="J235" s="22">
        <v>0.0</v>
      </c>
      <c r="K235" s="22">
        <v>0.0</v>
      </c>
      <c r="L235" s="22">
        <v>0.0</v>
      </c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</row>
    <row r="236">
      <c r="A236" s="12">
        <v>46097.0</v>
      </c>
      <c r="B236" s="21" t="s">
        <v>63</v>
      </c>
      <c r="C236" s="22">
        <v>0.0</v>
      </c>
      <c r="D236" s="23">
        <f t="shared" si="3"/>
        <v>0</v>
      </c>
      <c r="E236" s="24">
        <f>D236/B1</f>
        <v>0</v>
      </c>
      <c r="F236" s="23">
        <f t="shared" si="4"/>
        <v>0</v>
      </c>
      <c r="G236" s="24">
        <f>F236/B2</f>
        <v>0</v>
      </c>
      <c r="H236" s="25">
        <f t="shared" si="5"/>
        <v>6.47</v>
      </c>
      <c r="I236" s="26">
        <f>H236/B3</f>
        <v>0.3235</v>
      </c>
      <c r="J236" s="22">
        <v>0.0</v>
      </c>
      <c r="K236" s="22">
        <v>0.0</v>
      </c>
      <c r="L236" s="22">
        <v>0.0</v>
      </c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</row>
    <row r="237">
      <c r="A237" s="12">
        <v>46098.0</v>
      </c>
      <c r="B237" s="21" t="s">
        <v>61</v>
      </c>
      <c r="C237" s="22">
        <v>0.0</v>
      </c>
      <c r="D237" s="23">
        <f t="shared" si="3"/>
        <v>0</v>
      </c>
      <c r="E237" s="24">
        <f>D237/B1</f>
        <v>0</v>
      </c>
      <c r="F237" s="23">
        <f t="shared" si="4"/>
        <v>0</v>
      </c>
      <c r="G237" s="24">
        <f>F237/B2</f>
        <v>0</v>
      </c>
      <c r="H237" s="25">
        <f t="shared" si="5"/>
        <v>6.47</v>
      </c>
      <c r="I237" s="26">
        <f>H237/B3</f>
        <v>0.3235</v>
      </c>
      <c r="J237" s="22">
        <v>0.0</v>
      </c>
      <c r="K237" s="22">
        <v>0.0</v>
      </c>
      <c r="L237" s="22">
        <v>0.0</v>
      </c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</row>
    <row r="238">
      <c r="A238" s="12">
        <v>46098.0</v>
      </c>
      <c r="B238" s="21" t="s">
        <v>62</v>
      </c>
      <c r="C238" s="22">
        <v>0.0</v>
      </c>
      <c r="D238" s="23">
        <f t="shared" si="3"/>
        <v>0</v>
      </c>
      <c r="E238" s="24">
        <f>D238/B1</f>
        <v>0</v>
      </c>
      <c r="F238" s="23">
        <f t="shared" si="4"/>
        <v>0</v>
      </c>
      <c r="G238" s="24">
        <f>F238/B2</f>
        <v>0</v>
      </c>
      <c r="H238" s="25">
        <f t="shared" si="5"/>
        <v>6.47</v>
      </c>
      <c r="I238" s="26">
        <f>H238/B3</f>
        <v>0.3235</v>
      </c>
      <c r="J238" s="22">
        <v>0.0</v>
      </c>
      <c r="K238" s="22">
        <v>0.0</v>
      </c>
      <c r="L238" s="22">
        <v>0.0</v>
      </c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</row>
    <row r="239">
      <c r="A239" s="12">
        <v>46098.0</v>
      </c>
      <c r="B239" s="21" t="s">
        <v>63</v>
      </c>
      <c r="C239" s="22">
        <v>0.0</v>
      </c>
      <c r="D239" s="23">
        <f t="shared" si="3"/>
        <v>0</v>
      </c>
      <c r="E239" s="24">
        <f>D239/B1</f>
        <v>0</v>
      </c>
      <c r="F239" s="23">
        <f t="shared" si="4"/>
        <v>0</v>
      </c>
      <c r="G239" s="24">
        <f>F239/B2</f>
        <v>0</v>
      </c>
      <c r="H239" s="25">
        <f t="shared" si="5"/>
        <v>6.47</v>
      </c>
      <c r="I239" s="26">
        <f>H239/B3</f>
        <v>0.3235</v>
      </c>
      <c r="J239" s="22">
        <v>0.0</v>
      </c>
      <c r="K239" s="22">
        <v>0.0</v>
      </c>
      <c r="L239" s="22">
        <v>0.0</v>
      </c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</row>
    <row r="240">
      <c r="A240" s="12">
        <v>46099.0</v>
      </c>
      <c r="B240" s="21" t="s">
        <v>61</v>
      </c>
      <c r="C240" s="22">
        <v>0.0</v>
      </c>
      <c r="D240" s="23">
        <f t="shared" si="3"/>
        <v>0</v>
      </c>
      <c r="E240" s="24">
        <f>D240/B1</f>
        <v>0</v>
      </c>
      <c r="F240" s="23">
        <f t="shared" si="4"/>
        <v>0</v>
      </c>
      <c r="G240" s="24">
        <f>F240/B2</f>
        <v>0</v>
      </c>
      <c r="H240" s="25">
        <f t="shared" si="5"/>
        <v>6.47</v>
      </c>
      <c r="I240" s="26">
        <f>H240/B3</f>
        <v>0.3235</v>
      </c>
      <c r="J240" s="22">
        <v>0.0</v>
      </c>
      <c r="K240" s="22">
        <v>0.0</v>
      </c>
      <c r="L240" s="22">
        <v>0.0</v>
      </c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</row>
    <row r="241">
      <c r="A241" s="12">
        <v>46099.0</v>
      </c>
      <c r="B241" s="21" t="s">
        <v>62</v>
      </c>
      <c r="C241" s="22">
        <v>0.0</v>
      </c>
      <c r="D241" s="23">
        <f t="shared" si="3"/>
        <v>0</v>
      </c>
      <c r="E241" s="24">
        <f>D241/B1</f>
        <v>0</v>
      </c>
      <c r="F241" s="23">
        <f t="shared" si="4"/>
        <v>0</v>
      </c>
      <c r="G241" s="24">
        <f>F241/B2</f>
        <v>0</v>
      </c>
      <c r="H241" s="25">
        <f t="shared" si="5"/>
        <v>6.47</v>
      </c>
      <c r="I241" s="26">
        <f>H241/B3</f>
        <v>0.3235</v>
      </c>
      <c r="J241" s="22">
        <v>0.0</v>
      </c>
      <c r="K241" s="22">
        <v>0.0</v>
      </c>
      <c r="L241" s="22">
        <v>0.0</v>
      </c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</row>
    <row r="242">
      <c r="A242" s="12">
        <v>46099.0</v>
      </c>
      <c r="B242" s="21" t="s">
        <v>63</v>
      </c>
      <c r="C242" s="22">
        <v>0.0</v>
      </c>
      <c r="D242" s="23">
        <f t="shared" si="3"/>
        <v>0</v>
      </c>
      <c r="E242" s="24">
        <f>D242/B1</f>
        <v>0</v>
      </c>
      <c r="F242" s="23">
        <f t="shared" si="4"/>
        <v>0</v>
      </c>
      <c r="G242" s="24">
        <f>F242/B2</f>
        <v>0</v>
      </c>
      <c r="H242" s="25">
        <f t="shared" si="5"/>
        <v>6.47</v>
      </c>
      <c r="I242" s="26">
        <f>H242/B3</f>
        <v>0.3235</v>
      </c>
      <c r="J242" s="22">
        <v>0.0</v>
      </c>
      <c r="K242" s="22">
        <v>0.0</v>
      </c>
      <c r="L242" s="22">
        <v>0.0</v>
      </c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</row>
    <row r="243">
      <c r="A243" s="12">
        <v>46100.0</v>
      </c>
      <c r="B243" s="21" t="s">
        <v>61</v>
      </c>
      <c r="C243" s="22">
        <v>0.0</v>
      </c>
      <c r="D243" s="23">
        <f t="shared" si="3"/>
        <v>0</v>
      </c>
      <c r="E243" s="24">
        <f>D243/B1</f>
        <v>0</v>
      </c>
      <c r="F243" s="23">
        <f t="shared" si="4"/>
        <v>0</v>
      </c>
      <c r="G243" s="24">
        <f>F243/B2</f>
        <v>0</v>
      </c>
      <c r="H243" s="25">
        <f t="shared" si="5"/>
        <v>6.47</v>
      </c>
      <c r="I243" s="26">
        <f>H243/B3</f>
        <v>0.3235</v>
      </c>
      <c r="J243" s="22">
        <v>0.0</v>
      </c>
      <c r="K243" s="22">
        <v>0.0</v>
      </c>
      <c r="L243" s="22">
        <v>0.0</v>
      </c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</row>
    <row r="244">
      <c r="A244" s="12">
        <v>46100.0</v>
      </c>
      <c r="B244" s="21" t="s">
        <v>62</v>
      </c>
      <c r="C244" s="22">
        <v>0.0</v>
      </c>
      <c r="D244" s="23">
        <f t="shared" si="3"/>
        <v>0</v>
      </c>
      <c r="E244" s="24">
        <f>D244/B1</f>
        <v>0</v>
      </c>
      <c r="F244" s="23">
        <f t="shared" si="4"/>
        <v>0</v>
      </c>
      <c r="G244" s="24">
        <f>F244/B2</f>
        <v>0</v>
      </c>
      <c r="H244" s="25">
        <f t="shared" si="5"/>
        <v>6.47</v>
      </c>
      <c r="I244" s="26">
        <f>H244/B3</f>
        <v>0.3235</v>
      </c>
      <c r="J244" s="22">
        <v>0.0</v>
      </c>
      <c r="K244" s="22">
        <v>0.0</v>
      </c>
      <c r="L244" s="22">
        <v>0.0</v>
      </c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</row>
    <row r="245">
      <c r="A245" s="12">
        <v>46100.0</v>
      </c>
      <c r="B245" s="21" t="s">
        <v>63</v>
      </c>
      <c r="C245" s="22">
        <v>0.0</v>
      </c>
      <c r="D245" s="23">
        <f t="shared" si="3"/>
        <v>0</v>
      </c>
      <c r="E245" s="24">
        <f>D245/B1</f>
        <v>0</v>
      </c>
      <c r="F245" s="23">
        <f t="shared" si="4"/>
        <v>0</v>
      </c>
      <c r="G245" s="24">
        <f>F245/B2</f>
        <v>0</v>
      </c>
      <c r="H245" s="25">
        <f t="shared" si="5"/>
        <v>6.47</v>
      </c>
      <c r="I245" s="26">
        <f>H245/B3</f>
        <v>0.3235</v>
      </c>
      <c r="J245" s="22">
        <v>0.0</v>
      </c>
      <c r="K245" s="22">
        <v>0.0</v>
      </c>
      <c r="L245" s="22">
        <v>0.0</v>
      </c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</row>
    <row r="246">
      <c r="A246" s="12">
        <v>46101.0</v>
      </c>
      <c r="B246" s="21" t="s">
        <v>61</v>
      </c>
      <c r="C246" s="22">
        <v>0.0</v>
      </c>
      <c r="D246" s="23">
        <f t="shared" si="3"/>
        <v>0</v>
      </c>
      <c r="E246" s="24">
        <f>D246/B1</f>
        <v>0</v>
      </c>
      <c r="F246" s="23">
        <f t="shared" si="4"/>
        <v>0</v>
      </c>
      <c r="G246" s="24">
        <f>F246/B2</f>
        <v>0</v>
      </c>
      <c r="H246" s="25">
        <f t="shared" si="5"/>
        <v>6.47</v>
      </c>
      <c r="I246" s="26">
        <f>H246/B3</f>
        <v>0.3235</v>
      </c>
      <c r="J246" s="22">
        <v>0.0</v>
      </c>
      <c r="K246" s="22">
        <v>0.0</v>
      </c>
      <c r="L246" s="22">
        <v>0.0</v>
      </c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</row>
    <row r="247">
      <c r="A247" s="12">
        <v>46101.0</v>
      </c>
      <c r="B247" s="21" t="s">
        <v>62</v>
      </c>
      <c r="C247" s="22">
        <v>0.0</v>
      </c>
      <c r="D247" s="23">
        <f t="shared" si="3"/>
        <v>0</v>
      </c>
      <c r="E247" s="24">
        <f>D247/B1</f>
        <v>0</v>
      </c>
      <c r="F247" s="23">
        <f t="shared" si="4"/>
        <v>0</v>
      </c>
      <c r="G247" s="24">
        <f>F247/B2</f>
        <v>0</v>
      </c>
      <c r="H247" s="25">
        <f t="shared" si="5"/>
        <v>6.47</v>
      </c>
      <c r="I247" s="26">
        <f>H247/B3</f>
        <v>0.3235</v>
      </c>
      <c r="J247" s="22">
        <v>0.0</v>
      </c>
      <c r="K247" s="22">
        <v>0.0</v>
      </c>
      <c r="L247" s="22">
        <v>0.0</v>
      </c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</row>
    <row r="248">
      <c r="A248" s="12">
        <v>46101.0</v>
      </c>
      <c r="B248" s="21" t="s">
        <v>63</v>
      </c>
      <c r="C248" s="22">
        <v>0.0</v>
      </c>
      <c r="D248" s="23">
        <f t="shared" si="3"/>
        <v>0</v>
      </c>
      <c r="E248" s="24">
        <f>D248/B1</f>
        <v>0</v>
      </c>
      <c r="F248" s="23">
        <f t="shared" si="4"/>
        <v>0</v>
      </c>
      <c r="G248" s="24">
        <f>F248/B2</f>
        <v>0</v>
      </c>
      <c r="H248" s="25">
        <f t="shared" si="5"/>
        <v>6.47</v>
      </c>
      <c r="I248" s="26">
        <f>H248/B3</f>
        <v>0.3235</v>
      </c>
      <c r="J248" s="22">
        <v>0.0</v>
      </c>
      <c r="K248" s="22">
        <v>0.0</v>
      </c>
      <c r="L248" s="22">
        <v>0.0</v>
      </c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</row>
    <row r="249">
      <c r="A249" s="12">
        <v>46102.0</v>
      </c>
      <c r="B249" s="21" t="s">
        <v>61</v>
      </c>
      <c r="C249" s="22">
        <v>0.0</v>
      </c>
      <c r="D249" s="23">
        <f t="shared" si="3"/>
        <v>0</v>
      </c>
      <c r="E249" s="24">
        <f>D249/B1</f>
        <v>0</v>
      </c>
      <c r="F249" s="23">
        <f t="shared" si="4"/>
        <v>0</v>
      </c>
      <c r="G249" s="24">
        <f>F249/B2</f>
        <v>0</v>
      </c>
      <c r="H249" s="25">
        <f t="shared" si="5"/>
        <v>6.47</v>
      </c>
      <c r="I249" s="26">
        <f>H249/B3</f>
        <v>0.3235</v>
      </c>
      <c r="J249" s="22">
        <v>0.0</v>
      </c>
      <c r="K249" s="22">
        <v>0.0</v>
      </c>
      <c r="L249" s="22">
        <v>0.0</v>
      </c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</row>
    <row r="250">
      <c r="A250" s="12">
        <v>46102.0</v>
      </c>
      <c r="B250" s="21" t="s">
        <v>62</v>
      </c>
      <c r="C250" s="22">
        <v>0.0</v>
      </c>
      <c r="D250" s="23">
        <f t="shared" si="3"/>
        <v>0</v>
      </c>
      <c r="E250" s="24">
        <f>D250/B1</f>
        <v>0</v>
      </c>
      <c r="F250" s="23">
        <f t="shared" si="4"/>
        <v>0</v>
      </c>
      <c r="G250" s="24">
        <f>F250/B2</f>
        <v>0</v>
      </c>
      <c r="H250" s="25">
        <f t="shared" si="5"/>
        <v>6.47</v>
      </c>
      <c r="I250" s="26">
        <f>H250/B3</f>
        <v>0.3235</v>
      </c>
      <c r="J250" s="22">
        <v>0.0</v>
      </c>
      <c r="K250" s="22">
        <v>0.0</v>
      </c>
      <c r="L250" s="22">
        <v>0.0</v>
      </c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</row>
    <row r="251">
      <c r="A251" s="12">
        <v>46102.0</v>
      </c>
      <c r="B251" s="21" t="s">
        <v>63</v>
      </c>
      <c r="C251" s="22">
        <v>0.0</v>
      </c>
      <c r="D251" s="23">
        <f t="shared" si="3"/>
        <v>0</v>
      </c>
      <c r="E251" s="24">
        <f>D251/B1</f>
        <v>0</v>
      </c>
      <c r="F251" s="23">
        <f t="shared" si="4"/>
        <v>0</v>
      </c>
      <c r="G251" s="24">
        <f>F251/B2</f>
        <v>0</v>
      </c>
      <c r="H251" s="25">
        <f t="shared" si="5"/>
        <v>6.47</v>
      </c>
      <c r="I251" s="26">
        <f>H251/B3</f>
        <v>0.3235</v>
      </c>
      <c r="J251" s="22">
        <v>0.0</v>
      </c>
      <c r="K251" s="22">
        <v>0.0</v>
      </c>
      <c r="L251" s="22">
        <v>0.0</v>
      </c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</row>
    <row r="252">
      <c r="A252" s="12">
        <v>46103.0</v>
      </c>
      <c r="B252" s="21" t="s">
        <v>61</v>
      </c>
      <c r="C252" s="22">
        <v>0.0</v>
      </c>
      <c r="D252" s="23">
        <f t="shared" si="3"/>
        <v>0</v>
      </c>
      <c r="E252" s="24">
        <f>D252/B1</f>
        <v>0</v>
      </c>
      <c r="F252" s="23">
        <f t="shared" si="4"/>
        <v>0</v>
      </c>
      <c r="G252" s="24">
        <f>F252/B2</f>
        <v>0</v>
      </c>
      <c r="H252" s="25">
        <f t="shared" si="5"/>
        <v>6.47</v>
      </c>
      <c r="I252" s="26">
        <f>H252/B3</f>
        <v>0.3235</v>
      </c>
      <c r="J252" s="22">
        <v>0.0</v>
      </c>
      <c r="K252" s="22">
        <v>0.0</v>
      </c>
      <c r="L252" s="22">
        <v>0.0</v>
      </c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</row>
    <row r="253">
      <c r="A253" s="12">
        <v>46103.0</v>
      </c>
      <c r="B253" s="21" t="s">
        <v>62</v>
      </c>
      <c r="C253" s="22">
        <v>0.0</v>
      </c>
      <c r="D253" s="23">
        <f t="shared" si="3"/>
        <v>0</v>
      </c>
      <c r="E253" s="24">
        <f>D253/B1</f>
        <v>0</v>
      </c>
      <c r="F253" s="23">
        <f t="shared" si="4"/>
        <v>0</v>
      </c>
      <c r="G253" s="24">
        <f>F253/B2</f>
        <v>0</v>
      </c>
      <c r="H253" s="25">
        <f t="shared" si="5"/>
        <v>6.47</v>
      </c>
      <c r="I253" s="26">
        <f>H253/B3</f>
        <v>0.3235</v>
      </c>
      <c r="J253" s="22">
        <v>0.0</v>
      </c>
      <c r="K253" s="22">
        <v>0.0</v>
      </c>
      <c r="L253" s="22">
        <v>0.0</v>
      </c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</row>
    <row r="254">
      <c r="A254" s="12">
        <v>46103.0</v>
      </c>
      <c r="B254" s="21" t="s">
        <v>63</v>
      </c>
      <c r="C254" s="22">
        <v>0.0</v>
      </c>
      <c r="D254" s="23">
        <f t="shared" si="3"/>
        <v>0</v>
      </c>
      <c r="E254" s="24">
        <f>D254/B1</f>
        <v>0</v>
      </c>
      <c r="F254" s="23">
        <f t="shared" si="4"/>
        <v>0</v>
      </c>
      <c r="G254" s="24">
        <f>F254/B2</f>
        <v>0</v>
      </c>
      <c r="H254" s="25">
        <f t="shared" si="5"/>
        <v>6.47</v>
      </c>
      <c r="I254" s="26">
        <f>H254/B3</f>
        <v>0.3235</v>
      </c>
      <c r="J254" s="22">
        <v>0.0</v>
      </c>
      <c r="K254" s="22">
        <v>0.0</v>
      </c>
      <c r="L254" s="22">
        <v>0.0</v>
      </c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</row>
    <row r="255">
      <c r="A255" s="12">
        <v>46104.0</v>
      </c>
      <c r="B255" s="21" t="s">
        <v>61</v>
      </c>
      <c r="C255" s="22">
        <v>0.0</v>
      </c>
      <c r="D255" s="23">
        <f t="shared" si="3"/>
        <v>0</v>
      </c>
      <c r="E255" s="24">
        <f>D255/B1</f>
        <v>0</v>
      </c>
      <c r="F255" s="23">
        <f t="shared" si="4"/>
        <v>0</v>
      </c>
      <c r="G255" s="24">
        <f>F255/B2</f>
        <v>0</v>
      </c>
      <c r="H255" s="25">
        <f t="shared" si="5"/>
        <v>6.47</v>
      </c>
      <c r="I255" s="26">
        <f>H255/B3</f>
        <v>0.3235</v>
      </c>
      <c r="J255" s="22">
        <v>0.0</v>
      </c>
      <c r="K255" s="22">
        <v>0.0</v>
      </c>
      <c r="L255" s="22">
        <v>0.0</v>
      </c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</row>
    <row r="256">
      <c r="A256" s="12">
        <v>46104.0</v>
      </c>
      <c r="B256" s="21" t="s">
        <v>62</v>
      </c>
      <c r="C256" s="22">
        <v>0.0</v>
      </c>
      <c r="D256" s="23">
        <f t="shared" si="3"/>
        <v>0</v>
      </c>
      <c r="E256" s="24">
        <f>D256/B1</f>
        <v>0</v>
      </c>
      <c r="F256" s="23">
        <f t="shared" si="4"/>
        <v>0</v>
      </c>
      <c r="G256" s="24">
        <f>F256/B2</f>
        <v>0</v>
      </c>
      <c r="H256" s="25">
        <f t="shared" si="5"/>
        <v>6.47</v>
      </c>
      <c r="I256" s="26">
        <f>H256/B3</f>
        <v>0.3235</v>
      </c>
      <c r="J256" s="22">
        <v>0.0</v>
      </c>
      <c r="K256" s="22">
        <v>0.0</v>
      </c>
      <c r="L256" s="22">
        <v>0.0</v>
      </c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</row>
    <row r="257">
      <c r="A257" s="12">
        <v>46104.0</v>
      </c>
      <c r="B257" s="21" t="s">
        <v>63</v>
      </c>
      <c r="C257" s="22">
        <v>0.0</v>
      </c>
      <c r="D257" s="23">
        <f t="shared" si="3"/>
        <v>0</v>
      </c>
      <c r="E257" s="24">
        <f>D257/B1</f>
        <v>0</v>
      </c>
      <c r="F257" s="23">
        <f t="shared" si="4"/>
        <v>0</v>
      </c>
      <c r="G257" s="24">
        <f>F257/B2</f>
        <v>0</v>
      </c>
      <c r="H257" s="25">
        <f t="shared" si="5"/>
        <v>6.47</v>
      </c>
      <c r="I257" s="26">
        <f>H257/B3</f>
        <v>0.3235</v>
      </c>
      <c r="J257" s="22">
        <v>0.0</v>
      </c>
      <c r="K257" s="22">
        <v>0.0</v>
      </c>
      <c r="L257" s="22">
        <v>0.0</v>
      </c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</row>
    <row r="258">
      <c r="A258" s="12">
        <v>46105.0</v>
      </c>
      <c r="B258" s="21" t="s">
        <v>61</v>
      </c>
      <c r="C258" s="22">
        <v>0.0</v>
      </c>
      <c r="D258" s="23">
        <f t="shared" si="3"/>
        <v>0</v>
      </c>
      <c r="E258" s="24">
        <f>D258/B1</f>
        <v>0</v>
      </c>
      <c r="F258" s="23">
        <f t="shared" si="4"/>
        <v>0</v>
      </c>
      <c r="G258" s="24">
        <f>F258/B2</f>
        <v>0</v>
      </c>
      <c r="H258" s="25">
        <f t="shared" si="5"/>
        <v>6.47</v>
      </c>
      <c r="I258" s="26">
        <f>H258/B3</f>
        <v>0.3235</v>
      </c>
      <c r="J258" s="22">
        <v>0.0</v>
      </c>
      <c r="K258" s="22">
        <v>0.0</v>
      </c>
      <c r="L258" s="22">
        <v>0.0</v>
      </c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</row>
    <row r="259">
      <c r="A259" s="12">
        <v>46105.0</v>
      </c>
      <c r="B259" s="21" t="s">
        <v>62</v>
      </c>
      <c r="C259" s="22">
        <v>0.0</v>
      </c>
      <c r="D259" s="23">
        <f t="shared" si="3"/>
        <v>0</v>
      </c>
      <c r="E259" s="24">
        <f>D259/B1</f>
        <v>0</v>
      </c>
      <c r="F259" s="23">
        <f t="shared" si="4"/>
        <v>0</v>
      </c>
      <c r="G259" s="24">
        <f>F259/B2</f>
        <v>0</v>
      </c>
      <c r="H259" s="25">
        <f t="shared" si="5"/>
        <v>6.47</v>
      </c>
      <c r="I259" s="26">
        <f>H259/B3</f>
        <v>0.3235</v>
      </c>
      <c r="J259" s="22">
        <v>0.0</v>
      </c>
      <c r="K259" s="22">
        <v>0.0</v>
      </c>
      <c r="L259" s="22">
        <v>0.0</v>
      </c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</row>
    <row r="260">
      <c r="A260" s="12">
        <v>46105.0</v>
      </c>
      <c r="B260" s="21" t="s">
        <v>63</v>
      </c>
      <c r="C260" s="22">
        <v>0.0</v>
      </c>
      <c r="D260" s="23">
        <f t="shared" si="3"/>
        <v>0</v>
      </c>
      <c r="E260" s="24">
        <f>D260/B1</f>
        <v>0</v>
      </c>
      <c r="F260" s="23">
        <f t="shared" si="4"/>
        <v>0</v>
      </c>
      <c r="G260" s="24">
        <f>F260/B2</f>
        <v>0</v>
      </c>
      <c r="H260" s="25">
        <f t="shared" si="5"/>
        <v>6.47</v>
      </c>
      <c r="I260" s="26">
        <f>H260/B3</f>
        <v>0.3235</v>
      </c>
      <c r="J260" s="22">
        <v>0.0</v>
      </c>
      <c r="K260" s="22">
        <v>0.0</v>
      </c>
      <c r="L260" s="22">
        <v>0.0</v>
      </c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</row>
    <row r="261">
      <c r="A261" s="12">
        <v>46106.0</v>
      </c>
      <c r="B261" s="21" t="s">
        <v>61</v>
      </c>
      <c r="C261" s="22">
        <v>0.0</v>
      </c>
      <c r="D261" s="23">
        <f t="shared" si="3"/>
        <v>0</v>
      </c>
      <c r="E261" s="24">
        <f>D261/B1</f>
        <v>0</v>
      </c>
      <c r="F261" s="23">
        <f t="shared" si="4"/>
        <v>0</v>
      </c>
      <c r="G261" s="24">
        <f>F261/B2</f>
        <v>0</v>
      </c>
      <c r="H261" s="25">
        <f t="shared" si="5"/>
        <v>6.47</v>
      </c>
      <c r="I261" s="26">
        <f>H261/B3</f>
        <v>0.3235</v>
      </c>
      <c r="J261" s="22">
        <v>0.0</v>
      </c>
      <c r="K261" s="22">
        <v>0.0</v>
      </c>
      <c r="L261" s="22">
        <v>0.0</v>
      </c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</row>
    <row r="262">
      <c r="A262" s="12">
        <v>46106.0</v>
      </c>
      <c r="B262" s="21" t="s">
        <v>62</v>
      </c>
      <c r="C262" s="22">
        <v>0.0</v>
      </c>
      <c r="D262" s="23">
        <f t="shared" si="3"/>
        <v>0</v>
      </c>
      <c r="E262" s="24">
        <f>D262/B1</f>
        <v>0</v>
      </c>
      <c r="F262" s="23">
        <f t="shared" si="4"/>
        <v>0</v>
      </c>
      <c r="G262" s="24">
        <f>F262/B2</f>
        <v>0</v>
      </c>
      <c r="H262" s="25">
        <f t="shared" si="5"/>
        <v>6.47</v>
      </c>
      <c r="I262" s="26">
        <f>H262/B3</f>
        <v>0.3235</v>
      </c>
      <c r="J262" s="22">
        <v>0.0</v>
      </c>
      <c r="K262" s="22">
        <v>0.0</v>
      </c>
      <c r="L262" s="22">
        <v>0.0</v>
      </c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</row>
    <row r="263">
      <c r="A263" s="12">
        <v>46106.0</v>
      </c>
      <c r="B263" s="21" t="s">
        <v>63</v>
      </c>
      <c r="C263" s="22">
        <v>0.0</v>
      </c>
      <c r="D263" s="23">
        <f t="shared" si="3"/>
        <v>0</v>
      </c>
      <c r="E263" s="24">
        <f>D263/B1</f>
        <v>0</v>
      </c>
      <c r="F263" s="23">
        <f t="shared" si="4"/>
        <v>0</v>
      </c>
      <c r="G263" s="24">
        <f>F263/B2</f>
        <v>0</v>
      </c>
      <c r="H263" s="25">
        <f t="shared" si="5"/>
        <v>6.47</v>
      </c>
      <c r="I263" s="26">
        <f>H263/B3</f>
        <v>0.3235</v>
      </c>
      <c r="J263" s="22">
        <v>0.0</v>
      </c>
      <c r="K263" s="22">
        <v>0.0</v>
      </c>
      <c r="L263" s="22">
        <v>0.0</v>
      </c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</row>
    <row r="264">
      <c r="A264" s="12">
        <v>46107.0</v>
      </c>
      <c r="B264" s="21" t="s">
        <v>61</v>
      </c>
      <c r="C264" s="22">
        <v>0.0</v>
      </c>
      <c r="D264" s="23">
        <f t="shared" si="3"/>
        <v>0</v>
      </c>
      <c r="E264" s="24">
        <f>D264/B1</f>
        <v>0</v>
      </c>
      <c r="F264" s="23">
        <f t="shared" si="4"/>
        <v>0</v>
      </c>
      <c r="G264" s="24">
        <f>F264/B2</f>
        <v>0</v>
      </c>
      <c r="H264" s="25">
        <f t="shared" si="5"/>
        <v>6.47</v>
      </c>
      <c r="I264" s="26">
        <f>H264/B3</f>
        <v>0.3235</v>
      </c>
      <c r="J264" s="22">
        <v>0.0</v>
      </c>
      <c r="K264" s="22">
        <v>0.0</v>
      </c>
      <c r="L264" s="22">
        <v>0.0</v>
      </c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</row>
    <row r="265">
      <c r="A265" s="12">
        <v>46107.0</v>
      </c>
      <c r="B265" s="21" t="s">
        <v>62</v>
      </c>
      <c r="C265" s="22">
        <v>0.0</v>
      </c>
      <c r="D265" s="23">
        <f t="shared" si="3"/>
        <v>0</v>
      </c>
      <c r="E265" s="24">
        <f>D265/B1</f>
        <v>0</v>
      </c>
      <c r="F265" s="23">
        <f t="shared" si="4"/>
        <v>0</v>
      </c>
      <c r="G265" s="24">
        <f>F265/B2</f>
        <v>0</v>
      </c>
      <c r="H265" s="25">
        <f t="shared" si="5"/>
        <v>6.47</v>
      </c>
      <c r="I265" s="26">
        <f>H265/B3</f>
        <v>0.3235</v>
      </c>
      <c r="J265" s="22">
        <v>0.0</v>
      </c>
      <c r="K265" s="22">
        <v>0.0</v>
      </c>
      <c r="L265" s="22">
        <v>0.0</v>
      </c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</row>
    <row r="266">
      <c r="A266" s="12">
        <v>46107.0</v>
      </c>
      <c r="B266" s="21" t="s">
        <v>63</v>
      </c>
      <c r="C266" s="22">
        <v>0.0</v>
      </c>
      <c r="D266" s="23">
        <f t="shared" si="3"/>
        <v>0</v>
      </c>
      <c r="E266" s="24">
        <f>D266/B1</f>
        <v>0</v>
      </c>
      <c r="F266" s="23">
        <f t="shared" si="4"/>
        <v>0</v>
      </c>
      <c r="G266" s="24">
        <f>F266/B2</f>
        <v>0</v>
      </c>
      <c r="H266" s="25">
        <f t="shared" si="5"/>
        <v>6.47</v>
      </c>
      <c r="I266" s="26">
        <f>H266/B3</f>
        <v>0.3235</v>
      </c>
      <c r="J266" s="22">
        <v>0.0</v>
      </c>
      <c r="K266" s="22">
        <v>0.0</v>
      </c>
      <c r="L266" s="22">
        <v>0.0</v>
      </c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</row>
    <row r="267">
      <c r="A267" s="12">
        <v>46108.0</v>
      </c>
      <c r="B267" s="21" t="s">
        <v>61</v>
      </c>
      <c r="C267" s="22">
        <v>0.0</v>
      </c>
      <c r="D267" s="23">
        <f t="shared" si="3"/>
        <v>0</v>
      </c>
      <c r="E267" s="24">
        <f>D267/B1</f>
        <v>0</v>
      </c>
      <c r="F267" s="23">
        <f t="shared" si="4"/>
        <v>0</v>
      </c>
      <c r="G267" s="24">
        <f>F267/B2</f>
        <v>0</v>
      </c>
      <c r="H267" s="25">
        <f t="shared" si="5"/>
        <v>6.47</v>
      </c>
      <c r="I267" s="26">
        <f>H267/B3</f>
        <v>0.3235</v>
      </c>
      <c r="J267" s="22">
        <v>0.0</v>
      </c>
      <c r="K267" s="22">
        <v>0.0</v>
      </c>
      <c r="L267" s="22">
        <v>0.0</v>
      </c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</row>
    <row r="268">
      <c r="A268" s="12">
        <v>46108.0</v>
      </c>
      <c r="B268" s="21" t="s">
        <v>62</v>
      </c>
      <c r="C268" s="22">
        <v>0.0</v>
      </c>
      <c r="D268" s="23">
        <f t="shared" si="3"/>
        <v>0</v>
      </c>
      <c r="E268" s="24">
        <f>D268/B1</f>
        <v>0</v>
      </c>
      <c r="F268" s="23">
        <f t="shared" si="4"/>
        <v>0</v>
      </c>
      <c r="G268" s="24">
        <f>F268/B2</f>
        <v>0</v>
      </c>
      <c r="H268" s="25">
        <f t="shared" si="5"/>
        <v>6.47</v>
      </c>
      <c r="I268" s="26">
        <f>H268/B3</f>
        <v>0.3235</v>
      </c>
      <c r="J268" s="22">
        <v>0.0</v>
      </c>
      <c r="K268" s="22">
        <v>0.0</v>
      </c>
      <c r="L268" s="22">
        <v>0.0</v>
      </c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</row>
    <row r="269">
      <c r="A269" s="12">
        <v>46108.0</v>
      </c>
      <c r="B269" s="21" t="s">
        <v>63</v>
      </c>
      <c r="C269" s="22">
        <v>0.0</v>
      </c>
      <c r="D269" s="23">
        <f t="shared" si="3"/>
        <v>0</v>
      </c>
      <c r="E269" s="24">
        <f>D269/B1</f>
        <v>0</v>
      </c>
      <c r="F269" s="23">
        <f t="shared" si="4"/>
        <v>0</v>
      </c>
      <c r="G269" s="24">
        <f>F269/B2</f>
        <v>0</v>
      </c>
      <c r="H269" s="25">
        <f t="shared" si="5"/>
        <v>6.47</v>
      </c>
      <c r="I269" s="26">
        <f>H269/B3</f>
        <v>0.3235</v>
      </c>
      <c r="J269" s="22">
        <v>0.0</v>
      </c>
      <c r="K269" s="22">
        <v>0.0</v>
      </c>
      <c r="L269" s="22">
        <v>0.0</v>
      </c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</row>
    <row r="270">
      <c r="A270" s="12">
        <v>46109.0</v>
      </c>
      <c r="B270" s="21" t="s">
        <v>61</v>
      </c>
      <c r="C270" s="22">
        <v>0.0</v>
      </c>
      <c r="D270" s="23">
        <f t="shared" si="3"/>
        <v>0</v>
      </c>
      <c r="E270" s="24">
        <f>D270/B1</f>
        <v>0</v>
      </c>
      <c r="F270" s="23">
        <f t="shared" si="4"/>
        <v>0</v>
      </c>
      <c r="G270" s="24">
        <f>F270/B2</f>
        <v>0</v>
      </c>
      <c r="H270" s="25">
        <f t="shared" si="5"/>
        <v>6.47</v>
      </c>
      <c r="I270" s="26">
        <f>H270/B3</f>
        <v>0.3235</v>
      </c>
      <c r="J270" s="22">
        <v>0.0</v>
      </c>
      <c r="K270" s="22">
        <v>0.0</v>
      </c>
      <c r="L270" s="22">
        <v>0.0</v>
      </c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</row>
    <row r="271">
      <c r="A271" s="12">
        <v>46109.0</v>
      </c>
      <c r="B271" s="21" t="s">
        <v>62</v>
      </c>
      <c r="C271" s="22">
        <v>0.0</v>
      </c>
      <c r="D271" s="23">
        <f t="shared" si="3"/>
        <v>0</v>
      </c>
      <c r="E271" s="24">
        <f>D271/B1</f>
        <v>0</v>
      </c>
      <c r="F271" s="23">
        <f t="shared" si="4"/>
        <v>0</v>
      </c>
      <c r="G271" s="24">
        <f>F271/B2</f>
        <v>0</v>
      </c>
      <c r="H271" s="25">
        <f t="shared" si="5"/>
        <v>6.47</v>
      </c>
      <c r="I271" s="26">
        <f>H271/B3</f>
        <v>0.3235</v>
      </c>
      <c r="J271" s="22">
        <v>0.0</v>
      </c>
      <c r="K271" s="22">
        <v>0.0</v>
      </c>
      <c r="L271" s="22">
        <v>0.0</v>
      </c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</row>
    <row r="272">
      <c r="A272" s="12">
        <v>46109.0</v>
      </c>
      <c r="B272" s="21" t="s">
        <v>63</v>
      </c>
      <c r="C272" s="22">
        <v>0.0</v>
      </c>
      <c r="D272" s="23">
        <f t="shared" si="3"/>
        <v>0</v>
      </c>
      <c r="E272" s="24">
        <f>D272/B1</f>
        <v>0</v>
      </c>
      <c r="F272" s="23">
        <f t="shared" si="4"/>
        <v>0</v>
      </c>
      <c r="G272" s="24">
        <f>F272/B2</f>
        <v>0</v>
      </c>
      <c r="H272" s="25">
        <f t="shared" si="5"/>
        <v>6.47</v>
      </c>
      <c r="I272" s="26">
        <f>H272/B3</f>
        <v>0.3235</v>
      </c>
      <c r="J272" s="22">
        <v>0.0</v>
      </c>
      <c r="K272" s="22">
        <v>0.0</v>
      </c>
      <c r="L272" s="22">
        <v>0.0</v>
      </c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</row>
    <row r="273">
      <c r="A273" s="12">
        <v>46110.0</v>
      </c>
      <c r="B273" s="21" t="s">
        <v>61</v>
      </c>
      <c r="C273" s="22">
        <v>0.0</v>
      </c>
      <c r="D273" s="23">
        <f t="shared" si="3"/>
        <v>0</v>
      </c>
      <c r="E273" s="24">
        <f>D273/B1</f>
        <v>0</v>
      </c>
      <c r="F273" s="23">
        <f t="shared" si="4"/>
        <v>0</v>
      </c>
      <c r="G273" s="24">
        <f>F273/B2</f>
        <v>0</v>
      </c>
      <c r="H273" s="25">
        <f t="shared" si="5"/>
        <v>6.47</v>
      </c>
      <c r="I273" s="26">
        <f>H273/B3</f>
        <v>0.3235</v>
      </c>
      <c r="J273" s="22">
        <v>0.0</v>
      </c>
      <c r="K273" s="22">
        <v>0.0</v>
      </c>
      <c r="L273" s="22">
        <v>0.0</v>
      </c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</row>
    <row r="274">
      <c r="A274" s="12">
        <v>46110.0</v>
      </c>
      <c r="B274" s="21" t="s">
        <v>62</v>
      </c>
      <c r="C274" s="22">
        <v>0.0</v>
      </c>
      <c r="D274" s="23">
        <f t="shared" si="3"/>
        <v>0</v>
      </c>
      <c r="E274" s="24">
        <f>D274/B1</f>
        <v>0</v>
      </c>
      <c r="F274" s="23">
        <f t="shared" si="4"/>
        <v>0</v>
      </c>
      <c r="G274" s="24">
        <f>F274/B2</f>
        <v>0</v>
      </c>
      <c r="H274" s="25">
        <f t="shared" si="5"/>
        <v>6.47</v>
      </c>
      <c r="I274" s="26">
        <f>H274/B3</f>
        <v>0.3235</v>
      </c>
      <c r="J274" s="22">
        <v>0.0</v>
      </c>
      <c r="K274" s="22">
        <v>0.0</v>
      </c>
      <c r="L274" s="22">
        <v>0.0</v>
      </c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</row>
    <row r="275">
      <c r="A275" s="12">
        <v>46110.0</v>
      </c>
      <c r="B275" s="21" t="s">
        <v>63</v>
      </c>
      <c r="C275" s="22">
        <v>0.0</v>
      </c>
      <c r="D275" s="23">
        <f t="shared" si="3"/>
        <v>0</v>
      </c>
      <c r="E275" s="24">
        <f>D275/B1</f>
        <v>0</v>
      </c>
      <c r="F275" s="23">
        <f t="shared" si="4"/>
        <v>0</v>
      </c>
      <c r="G275" s="24">
        <f>F275/B2</f>
        <v>0</v>
      </c>
      <c r="H275" s="25">
        <f t="shared" si="5"/>
        <v>6.47</v>
      </c>
      <c r="I275" s="26">
        <f>H275/B3</f>
        <v>0.3235</v>
      </c>
      <c r="J275" s="22">
        <v>0.0</v>
      </c>
      <c r="K275" s="22">
        <v>0.0</v>
      </c>
      <c r="L275" s="22">
        <v>0.0</v>
      </c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</row>
    <row r="276">
      <c r="A276" s="12">
        <v>46111.0</v>
      </c>
      <c r="B276" s="21" t="s">
        <v>61</v>
      </c>
      <c r="C276" s="22">
        <v>0.0</v>
      </c>
      <c r="D276" s="23">
        <f t="shared" si="3"/>
        <v>0</v>
      </c>
      <c r="E276" s="24">
        <f>D276/B1</f>
        <v>0</v>
      </c>
      <c r="F276" s="23">
        <f t="shared" si="4"/>
        <v>0</v>
      </c>
      <c r="G276" s="24">
        <f>F276/B2</f>
        <v>0</v>
      </c>
      <c r="H276" s="25">
        <f t="shared" si="5"/>
        <v>6.47</v>
      </c>
      <c r="I276" s="26">
        <f>H276/B3</f>
        <v>0.3235</v>
      </c>
      <c r="J276" s="22">
        <v>0.0</v>
      </c>
      <c r="K276" s="22">
        <v>0.0</v>
      </c>
      <c r="L276" s="22">
        <v>0.0</v>
      </c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</row>
    <row r="277">
      <c r="A277" s="12">
        <v>46111.0</v>
      </c>
      <c r="B277" s="21" t="s">
        <v>62</v>
      </c>
      <c r="C277" s="22">
        <v>0.0</v>
      </c>
      <c r="D277" s="23">
        <f t="shared" si="3"/>
        <v>0</v>
      </c>
      <c r="E277" s="24">
        <f>D277/B1</f>
        <v>0</v>
      </c>
      <c r="F277" s="23">
        <f t="shared" si="4"/>
        <v>0</v>
      </c>
      <c r="G277" s="24">
        <f>F277/B2</f>
        <v>0</v>
      </c>
      <c r="H277" s="25">
        <f t="shared" si="5"/>
        <v>6.47</v>
      </c>
      <c r="I277" s="26">
        <f>H277/B3</f>
        <v>0.3235</v>
      </c>
      <c r="J277" s="22">
        <v>0.0</v>
      </c>
      <c r="K277" s="22">
        <v>0.0</v>
      </c>
      <c r="L277" s="22">
        <v>0.0</v>
      </c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</row>
    <row r="278">
      <c r="A278" s="12">
        <v>46111.0</v>
      </c>
      <c r="B278" s="21" t="s">
        <v>63</v>
      </c>
      <c r="C278" s="22">
        <v>0.0</v>
      </c>
      <c r="D278" s="23">
        <f t="shared" si="3"/>
        <v>0</v>
      </c>
      <c r="E278" s="24">
        <f>D278/B1</f>
        <v>0</v>
      </c>
      <c r="F278" s="23">
        <f t="shared" si="4"/>
        <v>0</v>
      </c>
      <c r="G278" s="24">
        <f>F278/B2</f>
        <v>0</v>
      </c>
      <c r="H278" s="25">
        <f t="shared" si="5"/>
        <v>6.47</v>
      </c>
      <c r="I278" s="26">
        <f>H278/B3</f>
        <v>0.3235</v>
      </c>
      <c r="J278" s="22">
        <v>0.0</v>
      </c>
      <c r="K278" s="22">
        <v>0.0</v>
      </c>
      <c r="L278" s="22">
        <v>0.0</v>
      </c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</row>
    <row r="279">
      <c r="A279" s="12">
        <v>46112.0</v>
      </c>
      <c r="B279" s="21" t="s">
        <v>61</v>
      </c>
      <c r="C279" s="22">
        <v>0.0</v>
      </c>
      <c r="D279" s="23">
        <f t="shared" si="3"/>
        <v>0</v>
      </c>
      <c r="E279" s="24">
        <f>D279/B1</f>
        <v>0</v>
      </c>
      <c r="F279" s="23">
        <f t="shared" si="4"/>
        <v>0</v>
      </c>
      <c r="G279" s="24">
        <f>F279/B2</f>
        <v>0</v>
      </c>
      <c r="H279" s="25">
        <f t="shared" si="5"/>
        <v>6.47</v>
      </c>
      <c r="I279" s="26">
        <f>H279/B3</f>
        <v>0.3235</v>
      </c>
      <c r="J279" s="22">
        <v>0.0</v>
      </c>
      <c r="K279" s="22">
        <v>0.0</v>
      </c>
      <c r="L279" s="22">
        <v>0.0</v>
      </c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</row>
    <row r="280">
      <c r="A280" s="12">
        <v>46112.0</v>
      </c>
      <c r="B280" s="21" t="s">
        <v>62</v>
      </c>
      <c r="C280" s="22">
        <v>0.0</v>
      </c>
      <c r="D280" s="23">
        <f t="shared" si="3"/>
        <v>0</v>
      </c>
      <c r="E280" s="24">
        <f>D280/B1</f>
        <v>0</v>
      </c>
      <c r="F280" s="23">
        <f t="shared" si="4"/>
        <v>0</v>
      </c>
      <c r="G280" s="24">
        <f>F280/B2</f>
        <v>0</v>
      </c>
      <c r="H280" s="25">
        <f t="shared" si="5"/>
        <v>6.47</v>
      </c>
      <c r="I280" s="26">
        <f>H280/B3</f>
        <v>0.3235</v>
      </c>
      <c r="J280" s="22">
        <v>0.0</v>
      </c>
      <c r="K280" s="22">
        <v>0.0</v>
      </c>
      <c r="L280" s="22">
        <v>0.0</v>
      </c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</row>
    <row r="281">
      <c r="A281" s="12">
        <v>46112.0</v>
      </c>
      <c r="B281" s="21" t="s">
        <v>63</v>
      </c>
      <c r="C281" s="29">
        <v>2.97</v>
      </c>
      <c r="D281" s="23">
        <f t="shared" si="3"/>
        <v>0</v>
      </c>
      <c r="E281" s="24">
        <f>D281/B1</f>
        <v>0</v>
      </c>
      <c r="F281" s="23">
        <f t="shared" si="4"/>
        <v>0</v>
      </c>
      <c r="G281" s="24">
        <f>F281/B2</f>
        <v>0</v>
      </c>
      <c r="H281" s="25">
        <f t="shared" si="5"/>
        <v>3.5</v>
      </c>
      <c r="I281" s="26">
        <f>H281/B3</f>
        <v>0.175</v>
      </c>
      <c r="J281" s="22">
        <v>0.0</v>
      </c>
      <c r="K281" s="22">
        <v>0.0</v>
      </c>
      <c r="L281" s="22">
        <v>0.0</v>
      </c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</row>
    <row r="282">
      <c r="A282" s="20">
        <v>46113.0</v>
      </c>
      <c r="B282" s="21" t="s">
        <v>61</v>
      </c>
      <c r="C282" s="22">
        <v>0.0</v>
      </c>
      <c r="D282" s="23">
        <f t="shared" si="3"/>
        <v>0</v>
      </c>
      <c r="E282" s="24">
        <f>D282/B1</f>
        <v>0</v>
      </c>
      <c r="F282" s="23">
        <f t="shared" si="4"/>
        <v>0</v>
      </c>
      <c r="G282" s="24">
        <f>F282/B2</f>
        <v>0</v>
      </c>
      <c r="H282" s="25">
        <f t="shared" si="5"/>
        <v>3.5</v>
      </c>
      <c r="I282" s="26">
        <f>H282/B3</f>
        <v>0.175</v>
      </c>
      <c r="J282" s="22">
        <v>0.0</v>
      </c>
      <c r="K282" s="22">
        <v>0.0</v>
      </c>
      <c r="L282" s="22">
        <v>0.0</v>
      </c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</row>
    <row r="283">
      <c r="A283" s="20">
        <v>46113.0</v>
      </c>
      <c r="B283" s="21" t="s">
        <v>62</v>
      </c>
      <c r="C283" s="22">
        <v>0.0</v>
      </c>
      <c r="D283" s="23">
        <f t="shared" si="3"/>
        <v>0</v>
      </c>
      <c r="E283" s="24">
        <f>D283/B1</f>
        <v>0</v>
      </c>
      <c r="F283" s="23">
        <f t="shared" si="4"/>
        <v>0</v>
      </c>
      <c r="G283" s="24">
        <f>F283/B2</f>
        <v>0</v>
      </c>
      <c r="H283" s="25">
        <f t="shared" si="5"/>
        <v>3.5</v>
      </c>
      <c r="I283" s="26">
        <f>H283/B3</f>
        <v>0.175</v>
      </c>
      <c r="J283" s="22">
        <v>0.0</v>
      </c>
      <c r="K283" s="22">
        <v>0.0</v>
      </c>
      <c r="L283" s="22">
        <v>0.0</v>
      </c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</row>
    <row r="284">
      <c r="A284" s="20">
        <v>46113.0</v>
      </c>
      <c r="B284" s="21" t="s">
        <v>63</v>
      </c>
      <c r="C284" s="29">
        <v>3.5</v>
      </c>
      <c r="D284" s="23">
        <f t="shared" si="3"/>
        <v>0</v>
      </c>
      <c r="E284" s="24">
        <f>D284/B1</f>
        <v>0</v>
      </c>
      <c r="F284" s="23">
        <f t="shared" si="4"/>
        <v>0</v>
      </c>
      <c r="G284" s="24">
        <f>F284/B2</f>
        <v>0</v>
      </c>
      <c r="H284" s="25">
        <f t="shared" si="5"/>
        <v>0</v>
      </c>
      <c r="I284" s="26">
        <f>H284/B3</f>
        <v>0</v>
      </c>
      <c r="J284" s="22">
        <v>0.0</v>
      </c>
      <c r="K284" s="22">
        <v>0.0</v>
      </c>
      <c r="L284" s="22">
        <v>0.0</v>
      </c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</row>
  </sheetData>
  <dataValidations>
    <dataValidation type="list" allowBlank="1" showErrorMessage="1" sqref="B6:B284">
      <formula1>"WW,FLA,MAC1+"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61.75"/>
    <col customWidth="1" min="2" max="2" width="22.63"/>
    <col customWidth="1" min="3" max="3" width="10.25"/>
    <col customWidth="1" min="4" max="4" width="17.0"/>
    <col customWidth="1" min="5" max="5" width="15.0"/>
    <col customWidth="1" min="6" max="6" width="17.0"/>
    <col customWidth="1" min="7" max="7" width="16.13"/>
    <col customWidth="1" min="8" max="9" width="16.38"/>
    <col customWidth="1" min="10" max="10" width="12.63"/>
    <col customWidth="1" min="11" max="11" width="14.88"/>
    <col customWidth="1" min="12" max="12" width="13.0"/>
  </cols>
  <sheetData>
    <row r="1">
      <c r="A1" s="1" t="s">
        <v>117</v>
      </c>
      <c r="B1" s="2">
        <v>20.0</v>
      </c>
      <c r="C1" s="2">
        <f>D188</f>
        <v>0</v>
      </c>
      <c r="D1" s="5">
        <f t="shared" ref="D1:D4" si="1">C1/B1</f>
        <v>0</v>
      </c>
      <c r="G1" s="1" t="s">
        <v>1</v>
      </c>
      <c r="H1" s="3">
        <f>IFERROR(__xludf.DUMMYFUNCTION("COUNTUNIQUE(A6:A188)"),61.0)</f>
        <v>61</v>
      </c>
      <c r="I1" s="3"/>
      <c r="J1" s="6"/>
      <c r="K1" s="3"/>
      <c r="L1" s="3"/>
      <c r="M1" s="7"/>
      <c r="N1" s="7"/>
    </row>
    <row r="2">
      <c r="A2" s="1" t="s">
        <v>118</v>
      </c>
      <c r="B2" s="2">
        <v>20.0</v>
      </c>
      <c r="C2" s="4">
        <f>F188</f>
        <v>0</v>
      </c>
      <c r="D2" s="5">
        <f t="shared" si="1"/>
        <v>0</v>
      </c>
      <c r="G2" s="1" t="s">
        <v>5</v>
      </c>
      <c r="H2" s="3">
        <f>(B1+B2+B3)/F4</f>
        <v>61</v>
      </c>
      <c r="I2" s="3"/>
      <c r="J2" s="3"/>
      <c r="K2" s="3"/>
      <c r="L2" s="3"/>
      <c r="M2" s="7"/>
      <c r="N2" s="7"/>
    </row>
    <row r="3">
      <c r="A3" s="1" t="s">
        <v>119</v>
      </c>
      <c r="B3" s="2">
        <v>20.0</v>
      </c>
      <c r="C3" s="4">
        <f>H188</f>
        <v>0</v>
      </c>
      <c r="D3" s="8">
        <f t="shared" si="1"/>
        <v>0</v>
      </c>
      <c r="E3" s="3"/>
      <c r="F3" s="6"/>
      <c r="G3" s="3"/>
      <c r="H3" s="3"/>
      <c r="I3" s="3"/>
      <c r="J3" s="3"/>
      <c r="K3" s="3"/>
      <c r="L3" s="3"/>
      <c r="M3" s="7"/>
      <c r="N3" s="7"/>
    </row>
    <row r="4">
      <c r="A4" s="3"/>
      <c r="B4" s="9">
        <f t="shared" ref="B4:C4" si="2">SUM(B1:B3)</f>
        <v>60</v>
      </c>
      <c r="C4" s="9">
        <f t="shared" si="2"/>
        <v>0</v>
      </c>
      <c r="D4" s="5">
        <f t="shared" si="1"/>
        <v>0</v>
      </c>
      <c r="E4" s="1" t="s">
        <v>7</v>
      </c>
      <c r="F4" s="3">
        <f>SUM(C6:C188)/H1</f>
        <v>0.9836065574</v>
      </c>
      <c r="G4" s="3"/>
      <c r="H4" s="3"/>
      <c r="I4" s="3"/>
      <c r="J4" s="3"/>
      <c r="K4" s="3"/>
      <c r="L4" s="3"/>
      <c r="M4" s="7"/>
      <c r="N4" s="7"/>
    </row>
    <row r="5">
      <c r="A5" s="10" t="s">
        <v>8</v>
      </c>
      <c r="B5" s="10" t="s">
        <v>9</v>
      </c>
      <c r="C5" s="10" t="s">
        <v>10</v>
      </c>
      <c r="D5" s="10" t="s">
        <v>122</v>
      </c>
      <c r="E5" s="10" t="s">
        <v>122</v>
      </c>
      <c r="F5" s="10" t="s">
        <v>123</v>
      </c>
      <c r="G5" s="10" t="s">
        <v>123</v>
      </c>
      <c r="H5" s="10" t="s">
        <v>124</v>
      </c>
      <c r="I5" s="10" t="s">
        <v>124</v>
      </c>
      <c r="J5" s="10" t="s">
        <v>125</v>
      </c>
      <c r="K5" s="10" t="s">
        <v>126</v>
      </c>
      <c r="L5" s="10" t="s">
        <v>127</v>
      </c>
      <c r="M5" s="7"/>
      <c r="N5" s="7"/>
    </row>
    <row r="6">
      <c r="A6" s="12">
        <v>46053.0</v>
      </c>
      <c r="B6" s="6" t="s">
        <v>61</v>
      </c>
      <c r="C6" s="2">
        <v>0.72</v>
      </c>
      <c r="D6" s="4">
        <f>IF(B6="WW",B1-C6,B1)</f>
        <v>19.28</v>
      </c>
      <c r="E6" s="13">
        <f>D6/B1</f>
        <v>0.964</v>
      </c>
      <c r="F6" s="2">
        <f>IF(B6="FLA",B2-C6,B2)</f>
        <v>20</v>
      </c>
      <c r="G6" s="14">
        <f>F6/B2</f>
        <v>1</v>
      </c>
      <c r="H6" s="15">
        <f>IF(B6="MAC1+",B3-C6,B3)</f>
        <v>20</v>
      </c>
      <c r="I6" s="14">
        <f>H6/B3</f>
        <v>1</v>
      </c>
      <c r="J6" s="2">
        <v>0.0</v>
      </c>
      <c r="K6" s="2">
        <v>0.0</v>
      </c>
      <c r="L6" s="2">
        <v>0.0</v>
      </c>
      <c r="M6" s="7"/>
      <c r="N6" s="7"/>
    </row>
    <row r="7">
      <c r="A7" s="12">
        <v>46053.0</v>
      </c>
      <c r="B7" s="6" t="s">
        <v>62</v>
      </c>
      <c r="C7" s="2">
        <v>0.61</v>
      </c>
      <c r="D7" s="16">
        <f t="shared" ref="D7:D188" si="3">IF(B7="WW",D6-C7,D6)</f>
        <v>19.28</v>
      </c>
      <c r="E7" s="17">
        <f>D7/B1</f>
        <v>0.964</v>
      </c>
      <c r="F7" s="16">
        <f t="shared" ref="F7:F188" si="4">IF(B7="FLA",F6-C7,F6)</f>
        <v>19.39</v>
      </c>
      <c r="G7" s="17">
        <f>F7/B2</f>
        <v>0.9695</v>
      </c>
      <c r="H7" s="15">
        <f t="shared" ref="H7:H188" si="5">IF(B7="MAC1+",H6-C7,H6)</f>
        <v>20</v>
      </c>
      <c r="I7" s="14">
        <f>H7/B3</f>
        <v>1</v>
      </c>
      <c r="J7" s="2">
        <v>0.0</v>
      </c>
      <c r="K7" s="2">
        <v>0.0</v>
      </c>
      <c r="L7" s="2">
        <v>0.0</v>
      </c>
      <c r="M7" s="7"/>
      <c r="N7" s="7"/>
    </row>
    <row r="8">
      <c r="A8" s="12">
        <v>46053.0</v>
      </c>
      <c r="B8" s="6" t="s">
        <v>63</v>
      </c>
      <c r="C8" s="2">
        <v>0.0</v>
      </c>
      <c r="D8" s="16">
        <f t="shared" si="3"/>
        <v>19.28</v>
      </c>
      <c r="E8" s="17">
        <f>D8/B1</f>
        <v>0.964</v>
      </c>
      <c r="F8" s="16">
        <f t="shared" si="4"/>
        <v>19.39</v>
      </c>
      <c r="G8" s="17">
        <f>F8/B2</f>
        <v>0.9695</v>
      </c>
      <c r="H8" s="15">
        <f t="shared" si="5"/>
        <v>20</v>
      </c>
      <c r="I8" s="14">
        <f>H8/B3</f>
        <v>1</v>
      </c>
      <c r="J8" s="2">
        <v>0.0</v>
      </c>
      <c r="K8" s="2">
        <v>0.0</v>
      </c>
      <c r="L8" s="2">
        <v>0.0</v>
      </c>
      <c r="M8" s="7"/>
      <c r="N8" s="7"/>
    </row>
    <row r="9">
      <c r="A9" s="12">
        <v>46054.0</v>
      </c>
      <c r="B9" s="6" t="s">
        <v>61</v>
      </c>
      <c r="C9" s="2">
        <v>0.0</v>
      </c>
      <c r="D9" s="16">
        <f t="shared" si="3"/>
        <v>19.28</v>
      </c>
      <c r="E9" s="17">
        <f>D9/B1</f>
        <v>0.964</v>
      </c>
      <c r="F9" s="16">
        <f t="shared" si="4"/>
        <v>19.39</v>
      </c>
      <c r="G9" s="17">
        <f>F9/B2</f>
        <v>0.9695</v>
      </c>
      <c r="H9" s="15">
        <f t="shared" si="5"/>
        <v>20</v>
      </c>
      <c r="I9" s="14">
        <f>H9/B3</f>
        <v>1</v>
      </c>
      <c r="J9" s="2">
        <v>0.0</v>
      </c>
      <c r="K9" s="2">
        <v>0.0</v>
      </c>
      <c r="L9" s="2">
        <v>0.0</v>
      </c>
      <c r="M9" s="7"/>
      <c r="N9" s="7"/>
    </row>
    <row r="10">
      <c r="A10" s="12">
        <v>46054.0</v>
      </c>
      <c r="B10" s="6" t="s">
        <v>62</v>
      </c>
      <c r="C10" s="2">
        <v>0.0</v>
      </c>
      <c r="D10" s="16">
        <f t="shared" si="3"/>
        <v>19.28</v>
      </c>
      <c r="E10" s="17">
        <f>D10/B1</f>
        <v>0.964</v>
      </c>
      <c r="F10" s="16">
        <f t="shared" si="4"/>
        <v>19.39</v>
      </c>
      <c r="G10" s="17">
        <f>F10/B2</f>
        <v>0.9695</v>
      </c>
      <c r="H10" s="15">
        <f t="shared" si="5"/>
        <v>20</v>
      </c>
      <c r="I10" s="14">
        <f>H10/B3</f>
        <v>1</v>
      </c>
      <c r="J10" s="2">
        <v>0.0</v>
      </c>
      <c r="K10" s="2">
        <v>0.0</v>
      </c>
      <c r="L10" s="2">
        <v>0.0</v>
      </c>
      <c r="M10" s="7"/>
      <c r="N10" s="7"/>
    </row>
    <row r="11">
      <c r="A11" s="12">
        <v>46054.0</v>
      </c>
      <c r="B11" s="6" t="s">
        <v>63</v>
      </c>
      <c r="C11" s="2">
        <v>0.0</v>
      </c>
      <c r="D11" s="16">
        <f t="shared" si="3"/>
        <v>19.28</v>
      </c>
      <c r="E11" s="17">
        <f>D11/B1</f>
        <v>0.964</v>
      </c>
      <c r="F11" s="16">
        <f t="shared" si="4"/>
        <v>19.39</v>
      </c>
      <c r="G11" s="17">
        <f>F11/B2</f>
        <v>0.9695</v>
      </c>
      <c r="H11" s="15">
        <f t="shared" si="5"/>
        <v>20</v>
      </c>
      <c r="I11" s="14">
        <f>H11/B3</f>
        <v>1</v>
      </c>
      <c r="J11" s="2">
        <v>0.0</v>
      </c>
      <c r="K11" s="2">
        <v>0.0</v>
      </c>
      <c r="L11" s="2">
        <v>0.0</v>
      </c>
      <c r="M11" s="7"/>
      <c r="N11" s="7"/>
    </row>
    <row r="12">
      <c r="A12" s="12">
        <v>46055.0</v>
      </c>
      <c r="B12" s="6" t="s">
        <v>61</v>
      </c>
      <c r="C12" s="2">
        <v>0.0</v>
      </c>
      <c r="D12" s="16">
        <f t="shared" si="3"/>
        <v>19.28</v>
      </c>
      <c r="E12" s="17">
        <f>D12/B1</f>
        <v>0.964</v>
      </c>
      <c r="F12" s="16">
        <f t="shared" si="4"/>
        <v>19.39</v>
      </c>
      <c r="G12" s="17">
        <f>F12/B2</f>
        <v>0.9695</v>
      </c>
      <c r="H12" s="15">
        <f t="shared" si="5"/>
        <v>20</v>
      </c>
      <c r="I12" s="14">
        <f>H12/B3</f>
        <v>1</v>
      </c>
      <c r="J12" s="2">
        <v>0.0</v>
      </c>
      <c r="K12" s="2">
        <v>0.0</v>
      </c>
      <c r="L12" s="2">
        <v>0.0</v>
      </c>
      <c r="M12" s="7"/>
      <c r="N12" s="7"/>
    </row>
    <row r="13">
      <c r="A13" s="12">
        <v>46055.0</v>
      </c>
      <c r="B13" s="6" t="s">
        <v>62</v>
      </c>
      <c r="C13" s="2">
        <v>0.0</v>
      </c>
      <c r="D13" s="16">
        <f t="shared" si="3"/>
        <v>19.28</v>
      </c>
      <c r="E13" s="17">
        <f>D13/B1</f>
        <v>0.964</v>
      </c>
      <c r="F13" s="16">
        <f t="shared" si="4"/>
        <v>19.39</v>
      </c>
      <c r="G13" s="17">
        <f>F13/B2</f>
        <v>0.9695</v>
      </c>
      <c r="H13" s="15">
        <f t="shared" si="5"/>
        <v>20</v>
      </c>
      <c r="I13" s="14">
        <f>H13/B3</f>
        <v>1</v>
      </c>
      <c r="J13" s="2">
        <v>0.0</v>
      </c>
      <c r="K13" s="2">
        <v>0.0</v>
      </c>
      <c r="L13" s="2">
        <v>0.0</v>
      </c>
      <c r="M13" s="7"/>
      <c r="N13" s="7"/>
    </row>
    <row r="14">
      <c r="A14" s="12">
        <v>46055.0</v>
      </c>
      <c r="B14" s="6" t="s">
        <v>63</v>
      </c>
      <c r="C14" s="2">
        <v>0.68</v>
      </c>
      <c r="D14" s="16">
        <f t="shared" si="3"/>
        <v>19.28</v>
      </c>
      <c r="E14" s="17">
        <f>D14/B1</f>
        <v>0.964</v>
      </c>
      <c r="F14" s="16">
        <f t="shared" si="4"/>
        <v>19.39</v>
      </c>
      <c r="G14" s="17">
        <f>F14/B2</f>
        <v>0.9695</v>
      </c>
      <c r="H14" s="15">
        <f t="shared" si="5"/>
        <v>19.32</v>
      </c>
      <c r="I14" s="14">
        <f>H14/B3</f>
        <v>0.966</v>
      </c>
      <c r="J14" s="2">
        <v>0.0</v>
      </c>
      <c r="K14" s="2">
        <v>0.0</v>
      </c>
      <c r="L14" s="2">
        <v>0.0</v>
      </c>
      <c r="M14" s="7"/>
      <c r="N14" s="7"/>
    </row>
    <row r="15">
      <c r="A15" s="12">
        <v>46056.0</v>
      </c>
      <c r="B15" s="6" t="s">
        <v>61</v>
      </c>
      <c r="C15" s="2">
        <v>0.0</v>
      </c>
      <c r="D15" s="16">
        <f t="shared" si="3"/>
        <v>19.28</v>
      </c>
      <c r="E15" s="17">
        <f>D15/B1</f>
        <v>0.964</v>
      </c>
      <c r="F15" s="16">
        <f t="shared" si="4"/>
        <v>19.39</v>
      </c>
      <c r="G15" s="17">
        <f>F15/B2</f>
        <v>0.9695</v>
      </c>
      <c r="H15" s="15">
        <f t="shared" si="5"/>
        <v>19.32</v>
      </c>
      <c r="I15" s="14">
        <f>H15/B3</f>
        <v>0.966</v>
      </c>
      <c r="J15" s="2">
        <v>0.0</v>
      </c>
      <c r="K15" s="2">
        <v>0.0</v>
      </c>
      <c r="L15" s="2">
        <v>0.0</v>
      </c>
      <c r="M15" s="7"/>
      <c r="N15" s="7"/>
    </row>
    <row r="16">
      <c r="A16" s="12">
        <v>46056.0</v>
      </c>
      <c r="B16" s="6" t="s">
        <v>62</v>
      </c>
      <c r="C16" s="2">
        <v>1.05</v>
      </c>
      <c r="D16" s="16">
        <f t="shared" si="3"/>
        <v>19.28</v>
      </c>
      <c r="E16" s="17">
        <f>D16/B1</f>
        <v>0.964</v>
      </c>
      <c r="F16" s="16">
        <f t="shared" si="4"/>
        <v>18.34</v>
      </c>
      <c r="G16" s="17">
        <f>F16/B2</f>
        <v>0.917</v>
      </c>
      <c r="H16" s="15">
        <f t="shared" si="5"/>
        <v>19.32</v>
      </c>
      <c r="I16" s="14">
        <f>H16/B3</f>
        <v>0.966</v>
      </c>
      <c r="J16" s="2">
        <v>0.0</v>
      </c>
      <c r="K16" s="2">
        <v>0.0</v>
      </c>
      <c r="L16" s="2">
        <v>0.0</v>
      </c>
      <c r="M16" s="7"/>
      <c r="N16" s="7"/>
    </row>
    <row r="17">
      <c r="A17" s="12">
        <v>46056.0</v>
      </c>
      <c r="B17" s="6" t="s">
        <v>63</v>
      </c>
      <c r="C17" s="2">
        <v>0.0</v>
      </c>
      <c r="D17" s="16">
        <f t="shared" si="3"/>
        <v>19.28</v>
      </c>
      <c r="E17" s="17">
        <f>D17/B1</f>
        <v>0.964</v>
      </c>
      <c r="F17" s="16">
        <f t="shared" si="4"/>
        <v>18.34</v>
      </c>
      <c r="G17" s="17">
        <f>F17/B2</f>
        <v>0.917</v>
      </c>
      <c r="H17" s="15">
        <f t="shared" si="5"/>
        <v>19.32</v>
      </c>
      <c r="I17" s="14">
        <f>H17/B3</f>
        <v>0.966</v>
      </c>
      <c r="J17" s="2">
        <v>0.0</v>
      </c>
      <c r="K17" s="2">
        <v>0.0</v>
      </c>
      <c r="L17" s="2">
        <v>0.0</v>
      </c>
      <c r="M17" s="7"/>
      <c r="N17" s="7"/>
    </row>
    <row r="18">
      <c r="A18" s="12">
        <v>46057.0</v>
      </c>
      <c r="B18" s="6" t="s">
        <v>61</v>
      </c>
      <c r="C18" s="2">
        <v>0.0</v>
      </c>
      <c r="D18" s="16">
        <f t="shared" si="3"/>
        <v>19.28</v>
      </c>
      <c r="E18" s="17">
        <f>D18/B1</f>
        <v>0.964</v>
      </c>
      <c r="F18" s="16">
        <f t="shared" si="4"/>
        <v>18.34</v>
      </c>
      <c r="G18" s="17">
        <f>F18/B2</f>
        <v>0.917</v>
      </c>
      <c r="H18" s="15">
        <f t="shared" si="5"/>
        <v>19.32</v>
      </c>
      <c r="I18" s="14">
        <f>H18/B3</f>
        <v>0.966</v>
      </c>
      <c r="J18" s="2">
        <v>0.0</v>
      </c>
      <c r="K18" s="2">
        <v>0.0</v>
      </c>
      <c r="L18" s="2">
        <v>0.0</v>
      </c>
      <c r="M18" s="7"/>
      <c r="N18" s="7"/>
    </row>
    <row r="19">
      <c r="A19" s="12">
        <v>46057.0</v>
      </c>
      <c r="B19" s="6" t="s">
        <v>62</v>
      </c>
      <c r="C19" s="2">
        <v>0.0</v>
      </c>
      <c r="D19" s="16">
        <f t="shared" si="3"/>
        <v>19.28</v>
      </c>
      <c r="E19" s="17">
        <f>D19/B1</f>
        <v>0.964</v>
      </c>
      <c r="F19" s="16">
        <f t="shared" si="4"/>
        <v>18.34</v>
      </c>
      <c r="G19" s="17">
        <f>F19/B2</f>
        <v>0.917</v>
      </c>
      <c r="H19" s="15">
        <f t="shared" si="5"/>
        <v>19.32</v>
      </c>
      <c r="I19" s="14">
        <f>H19/B3</f>
        <v>0.966</v>
      </c>
      <c r="J19" s="2">
        <v>0.0</v>
      </c>
      <c r="K19" s="2">
        <v>0.0</v>
      </c>
      <c r="L19" s="2">
        <v>0.0</v>
      </c>
      <c r="M19" s="7"/>
      <c r="N19" s="7"/>
    </row>
    <row r="20">
      <c r="A20" s="12">
        <v>46057.0</v>
      </c>
      <c r="B20" s="6" t="s">
        <v>63</v>
      </c>
      <c r="C20" s="2">
        <v>0.0</v>
      </c>
      <c r="D20" s="16">
        <f t="shared" si="3"/>
        <v>19.28</v>
      </c>
      <c r="E20" s="17">
        <f>D20/B1</f>
        <v>0.964</v>
      </c>
      <c r="F20" s="16">
        <f t="shared" si="4"/>
        <v>18.34</v>
      </c>
      <c r="G20" s="17">
        <f>F20/B2</f>
        <v>0.917</v>
      </c>
      <c r="H20" s="15">
        <f t="shared" si="5"/>
        <v>19.32</v>
      </c>
      <c r="I20" s="14">
        <f>H20/B3</f>
        <v>0.966</v>
      </c>
      <c r="J20" s="2">
        <v>0.0</v>
      </c>
      <c r="K20" s="2">
        <v>0.0</v>
      </c>
      <c r="L20" s="2">
        <v>0.0</v>
      </c>
      <c r="M20" s="7"/>
      <c r="N20" s="7"/>
    </row>
    <row r="21">
      <c r="A21" s="12">
        <v>46058.0</v>
      </c>
      <c r="B21" s="6" t="s">
        <v>61</v>
      </c>
      <c r="C21" s="2">
        <v>0.0</v>
      </c>
      <c r="D21" s="16">
        <f t="shared" si="3"/>
        <v>19.28</v>
      </c>
      <c r="E21" s="17">
        <f>D21/B1</f>
        <v>0.964</v>
      </c>
      <c r="F21" s="16">
        <f t="shared" si="4"/>
        <v>18.34</v>
      </c>
      <c r="G21" s="17">
        <f>F21/B2</f>
        <v>0.917</v>
      </c>
      <c r="H21" s="15">
        <f t="shared" si="5"/>
        <v>19.32</v>
      </c>
      <c r="I21" s="14">
        <f>H21/B3</f>
        <v>0.966</v>
      </c>
      <c r="J21" s="2">
        <v>0.0</v>
      </c>
      <c r="K21" s="2">
        <v>0.0</v>
      </c>
      <c r="L21" s="2">
        <v>0.0</v>
      </c>
      <c r="M21" s="7"/>
      <c r="N21" s="7"/>
    </row>
    <row r="22">
      <c r="A22" s="12">
        <v>46058.0</v>
      </c>
      <c r="B22" s="6" t="s">
        <v>62</v>
      </c>
      <c r="C22" s="2">
        <v>0.0</v>
      </c>
      <c r="D22" s="16">
        <f t="shared" si="3"/>
        <v>19.28</v>
      </c>
      <c r="E22" s="17">
        <f>D22/B1</f>
        <v>0.964</v>
      </c>
      <c r="F22" s="16">
        <f t="shared" si="4"/>
        <v>18.34</v>
      </c>
      <c r="G22" s="17">
        <f>F22/B2</f>
        <v>0.917</v>
      </c>
      <c r="H22" s="15">
        <f t="shared" si="5"/>
        <v>19.32</v>
      </c>
      <c r="I22" s="14">
        <f>H22/B3</f>
        <v>0.966</v>
      </c>
      <c r="J22" s="2">
        <v>0.0</v>
      </c>
      <c r="K22" s="2">
        <v>0.0</v>
      </c>
      <c r="L22" s="2">
        <v>0.0</v>
      </c>
      <c r="M22" s="7"/>
      <c r="N22" s="7"/>
    </row>
    <row r="23">
      <c r="A23" s="12">
        <v>46058.0</v>
      </c>
      <c r="B23" s="6" t="s">
        <v>63</v>
      </c>
      <c r="C23" s="2">
        <v>0.0</v>
      </c>
      <c r="D23" s="16">
        <f t="shared" si="3"/>
        <v>19.28</v>
      </c>
      <c r="E23" s="17">
        <f>D23/B1</f>
        <v>0.964</v>
      </c>
      <c r="F23" s="16">
        <f t="shared" si="4"/>
        <v>18.34</v>
      </c>
      <c r="G23" s="17">
        <f>F23/B2</f>
        <v>0.917</v>
      </c>
      <c r="H23" s="15">
        <f t="shared" si="5"/>
        <v>19.32</v>
      </c>
      <c r="I23" s="14">
        <f>H23/B3</f>
        <v>0.966</v>
      </c>
      <c r="J23" s="2">
        <v>0.0</v>
      </c>
      <c r="K23" s="2">
        <v>0.0</v>
      </c>
      <c r="L23" s="2">
        <v>0.0</v>
      </c>
      <c r="M23" s="7"/>
      <c r="N23" s="7"/>
    </row>
    <row r="24">
      <c r="A24" s="12">
        <v>46059.0</v>
      </c>
      <c r="B24" s="6" t="s">
        <v>61</v>
      </c>
      <c r="C24" s="2">
        <v>0.0</v>
      </c>
      <c r="D24" s="16">
        <f t="shared" si="3"/>
        <v>19.28</v>
      </c>
      <c r="E24" s="17">
        <f>D24/B1</f>
        <v>0.964</v>
      </c>
      <c r="F24" s="16">
        <f t="shared" si="4"/>
        <v>18.34</v>
      </c>
      <c r="G24" s="17">
        <f>F24/B2</f>
        <v>0.917</v>
      </c>
      <c r="H24" s="15">
        <f t="shared" si="5"/>
        <v>19.32</v>
      </c>
      <c r="I24" s="14">
        <f>H24/B3</f>
        <v>0.966</v>
      </c>
      <c r="J24" s="2">
        <v>0.0</v>
      </c>
      <c r="K24" s="2">
        <v>0.0</v>
      </c>
      <c r="L24" s="2">
        <v>0.0</v>
      </c>
      <c r="M24" s="7"/>
      <c r="N24" s="7"/>
    </row>
    <row r="25">
      <c r="A25" s="12">
        <v>46059.0</v>
      </c>
      <c r="B25" s="6" t="s">
        <v>62</v>
      </c>
      <c r="C25" s="2">
        <v>0.0</v>
      </c>
      <c r="D25" s="16">
        <f t="shared" si="3"/>
        <v>19.28</v>
      </c>
      <c r="E25" s="17">
        <f>D25/B1</f>
        <v>0.964</v>
      </c>
      <c r="F25" s="16">
        <f t="shared" si="4"/>
        <v>18.34</v>
      </c>
      <c r="G25" s="17">
        <f>F25/B2</f>
        <v>0.917</v>
      </c>
      <c r="H25" s="15">
        <f t="shared" si="5"/>
        <v>19.32</v>
      </c>
      <c r="I25" s="14">
        <f>H25/B3</f>
        <v>0.966</v>
      </c>
      <c r="J25" s="2">
        <v>0.0</v>
      </c>
      <c r="K25" s="2">
        <v>0.0</v>
      </c>
      <c r="L25" s="2">
        <v>0.0</v>
      </c>
      <c r="M25" s="7"/>
      <c r="N25" s="7"/>
    </row>
    <row r="26">
      <c r="A26" s="12">
        <v>46059.0</v>
      </c>
      <c r="B26" s="6" t="s">
        <v>63</v>
      </c>
      <c r="C26" s="2">
        <v>0.0</v>
      </c>
      <c r="D26" s="16">
        <f t="shared" si="3"/>
        <v>19.28</v>
      </c>
      <c r="E26" s="17">
        <f>D26/B1</f>
        <v>0.964</v>
      </c>
      <c r="F26" s="16">
        <f t="shared" si="4"/>
        <v>18.34</v>
      </c>
      <c r="G26" s="17">
        <f>F26/B2</f>
        <v>0.917</v>
      </c>
      <c r="H26" s="15">
        <f t="shared" si="5"/>
        <v>19.32</v>
      </c>
      <c r="I26" s="14">
        <f>H26/B3</f>
        <v>0.966</v>
      </c>
      <c r="J26" s="2">
        <v>0.0</v>
      </c>
      <c r="K26" s="2">
        <v>0.0</v>
      </c>
      <c r="L26" s="2">
        <v>0.0</v>
      </c>
      <c r="M26" s="7"/>
      <c r="N26" s="7"/>
    </row>
    <row r="27">
      <c r="A27" s="12">
        <v>46060.0</v>
      </c>
      <c r="B27" s="6" t="s">
        <v>61</v>
      </c>
      <c r="C27" s="2">
        <v>0.0</v>
      </c>
      <c r="D27" s="16">
        <f t="shared" si="3"/>
        <v>19.28</v>
      </c>
      <c r="E27" s="17">
        <f>D27/B1</f>
        <v>0.964</v>
      </c>
      <c r="F27" s="16">
        <f t="shared" si="4"/>
        <v>18.34</v>
      </c>
      <c r="G27" s="17">
        <f>F27/B2</f>
        <v>0.917</v>
      </c>
      <c r="H27" s="15">
        <f t="shared" si="5"/>
        <v>19.32</v>
      </c>
      <c r="I27" s="14">
        <f>H27/B3</f>
        <v>0.966</v>
      </c>
      <c r="J27" s="2">
        <v>0.0</v>
      </c>
      <c r="K27" s="2">
        <v>0.0</v>
      </c>
      <c r="L27" s="2">
        <v>0.0</v>
      </c>
      <c r="M27" s="7"/>
      <c r="N27" s="7"/>
    </row>
    <row r="28">
      <c r="A28" s="12">
        <v>46060.0</v>
      </c>
      <c r="B28" s="6" t="s">
        <v>62</v>
      </c>
      <c r="C28" s="2">
        <v>0.0</v>
      </c>
      <c r="D28" s="16">
        <f t="shared" si="3"/>
        <v>19.28</v>
      </c>
      <c r="E28" s="17">
        <f>D28/B1</f>
        <v>0.964</v>
      </c>
      <c r="F28" s="16">
        <f t="shared" si="4"/>
        <v>18.34</v>
      </c>
      <c r="G28" s="17">
        <f>F28/B2</f>
        <v>0.917</v>
      </c>
      <c r="H28" s="15">
        <f t="shared" si="5"/>
        <v>19.32</v>
      </c>
      <c r="I28" s="14">
        <f>H28/B3</f>
        <v>0.966</v>
      </c>
      <c r="J28" s="2">
        <v>0.0</v>
      </c>
      <c r="K28" s="2">
        <v>0.0</v>
      </c>
      <c r="L28" s="2">
        <v>0.0</v>
      </c>
      <c r="M28" s="7"/>
      <c r="N28" s="7"/>
    </row>
    <row r="29">
      <c r="A29" s="12">
        <v>46060.0</v>
      </c>
      <c r="B29" s="6" t="s">
        <v>63</v>
      </c>
      <c r="C29" s="2">
        <v>0.0</v>
      </c>
      <c r="D29" s="16">
        <f t="shared" si="3"/>
        <v>19.28</v>
      </c>
      <c r="E29" s="17">
        <f>D29/B1</f>
        <v>0.964</v>
      </c>
      <c r="F29" s="16">
        <f t="shared" si="4"/>
        <v>18.34</v>
      </c>
      <c r="G29" s="17">
        <f>F29/B2</f>
        <v>0.917</v>
      </c>
      <c r="H29" s="15">
        <f t="shared" si="5"/>
        <v>19.32</v>
      </c>
      <c r="I29" s="14">
        <f>H29/B3</f>
        <v>0.966</v>
      </c>
      <c r="J29" s="2">
        <v>0.0</v>
      </c>
      <c r="K29" s="2">
        <v>0.0</v>
      </c>
      <c r="L29" s="2">
        <v>0.0</v>
      </c>
      <c r="M29" s="7"/>
      <c r="N29" s="7"/>
    </row>
    <row r="30">
      <c r="A30" s="12">
        <v>46061.0</v>
      </c>
      <c r="B30" s="6" t="s">
        <v>61</v>
      </c>
      <c r="C30" s="2">
        <v>0.0</v>
      </c>
      <c r="D30" s="16">
        <f t="shared" si="3"/>
        <v>19.28</v>
      </c>
      <c r="E30" s="17">
        <f>D30/B1</f>
        <v>0.964</v>
      </c>
      <c r="F30" s="16">
        <f t="shared" si="4"/>
        <v>18.34</v>
      </c>
      <c r="G30" s="17">
        <f>F30/B2</f>
        <v>0.917</v>
      </c>
      <c r="H30" s="15">
        <f t="shared" si="5"/>
        <v>19.32</v>
      </c>
      <c r="I30" s="14">
        <f>H30/B3</f>
        <v>0.966</v>
      </c>
      <c r="J30" s="2">
        <v>0.0</v>
      </c>
      <c r="K30" s="2">
        <v>0.0</v>
      </c>
      <c r="L30" s="2">
        <v>0.0</v>
      </c>
      <c r="M30" s="7"/>
      <c r="N30" s="7"/>
    </row>
    <row r="31">
      <c r="A31" s="12">
        <v>46061.0</v>
      </c>
      <c r="B31" s="6" t="s">
        <v>62</v>
      </c>
      <c r="C31" s="2">
        <v>0.0</v>
      </c>
      <c r="D31" s="16">
        <f t="shared" si="3"/>
        <v>19.28</v>
      </c>
      <c r="E31" s="17">
        <f>D31/B1</f>
        <v>0.964</v>
      </c>
      <c r="F31" s="16">
        <f t="shared" si="4"/>
        <v>18.34</v>
      </c>
      <c r="G31" s="17">
        <f>F31/B2</f>
        <v>0.917</v>
      </c>
      <c r="H31" s="15">
        <f t="shared" si="5"/>
        <v>19.32</v>
      </c>
      <c r="I31" s="14">
        <f>H31/B3</f>
        <v>0.966</v>
      </c>
      <c r="J31" s="2">
        <v>0.0</v>
      </c>
      <c r="K31" s="2">
        <v>0.0</v>
      </c>
      <c r="L31" s="2">
        <v>0.0</v>
      </c>
      <c r="M31" s="7"/>
      <c r="N31" s="7"/>
    </row>
    <row r="32">
      <c r="A32" s="12">
        <v>46061.0</v>
      </c>
      <c r="B32" s="6" t="s">
        <v>63</v>
      </c>
      <c r="C32" s="2">
        <v>0.0</v>
      </c>
      <c r="D32" s="16">
        <f t="shared" si="3"/>
        <v>19.28</v>
      </c>
      <c r="E32" s="17">
        <f>D32/B1</f>
        <v>0.964</v>
      </c>
      <c r="F32" s="16">
        <f t="shared" si="4"/>
        <v>18.34</v>
      </c>
      <c r="G32" s="17">
        <f>F32/B2</f>
        <v>0.917</v>
      </c>
      <c r="H32" s="15">
        <f t="shared" si="5"/>
        <v>19.32</v>
      </c>
      <c r="I32" s="14">
        <f>H32/B3</f>
        <v>0.966</v>
      </c>
      <c r="J32" s="2">
        <v>0.0</v>
      </c>
      <c r="K32" s="2">
        <v>0.0</v>
      </c>
      <c r="L32" s="2">
        <v>0.0</v>
      </c>
      <c r="M32" s="7"/>
      <c r="N32" s="7"/>
    </row>
    <row r="33">
      <c r="A33" s="12">
        <v>46062.0</v>
      </c>
      <c r="B33" s="6" t="s">
        <v>61</v>
      </c>
      <c r="C33" s="2">
        <v>0.0</v>
      </c>
      <c r="D33" s="16">
        <f t="shared" si="3"/>
        <v>19.28</v>
      </c>
      <c r="E33" s="17">
        <f>D33/B1</f>
        <v>0.964</v>
      </c>
      <c r="F33" s="16">
        <f t="shared" si="4"/>
        <v>18.34</v>
      </c>
      <c r="G33" s="17">
        <f>F33/B2</f>
        <v>0.917</v>
      </c>
      <c r="H33" s="15">
        <f t="shared" si="5"/>
        <v>19.32</v>
      </c>
      <c r="I33" s="14">
        <f>H33/B3</f>
        <v>0.966</v>
      </c>
      <c r="J33" s="2">
        <v>0.0</v>
      </c>
      <c r="K33" s="2">
        <v>0.0</v>
      </c>
      <c r="L33" s="2">
        <v>0.0</v>
      </c>
      <c r="M33" s="7"/>
      <c r="N33" s="7"/>
    </row>
    <row r="34">
      <c r="A34" s="12">
        <v>46062.0</v>
      </c>
      <c r="B34" s="6" t="s">
        <v>62</v>
      </c>
      <c r="C34" s="2">
        <v>0.0</v>
      </c>
      <c r="D34" s="16">
        <f t="shared" si="3"/>
        <v>19.28</v>
      </c>
      <c r="E34" s="17">
        <f>D34/B1</f>
        <v>0.964</v>
      </c>
      <c r="F34" s="16">
        <f t="shared" si="4"/>
        <v>18.34</v>
      </c>
      <c r="G34" s="17">
        <f>F34/B2</f>
        <v>0.917</v>
      </c>
      <c r="H34" s="15">
        <f t="shared" si="5"/>
        <v>19.32</v>
      </c>
      <c r="I34" s="14">
        <f>H34/B3</f>
        <v>0.966</v>
      </c>
      <c r="J34" s="2">
        <v>0.0</v>
      </c>
      <c r="K34" s="2">
        <v>0.0</v>
      </c>
      <c r="L34" s="2">
        <v>0.0</v>
      </c>
      <c r="M34" s="7"/>
      <c r="N34" s="7"/>
    </row>
    <row r="35">
      <c r="A35" s="12">
        <v>46062.0</v>
      </c>
      <c r="B35" s="6" t="s">
        <v>63</v>
      </c>
      <c r="C35" s="2">
        <v>0.0</v>
      </c>
      <c r="D35" s="16">
        <f t="shared" si="3"/>
        <v>19.28</v>
      </c>
      <c r="E35" s="17">
        <f>D35/B1</f>
        <v>0.964</v>
      </c>
      <c r="F35" s="16">
        <f t="shared" si="4"/>
        <v>18.34</v>
      </c>
      <c r="G35" s="17">
        <f>F35/B2</f>
        <v>0.917</v>
      </c>
      <c r="H35" s="15">
        <f t="shared" si="5"/>
        <v>19.32</v>
      </c>
      <c r="I35" s="14">
        <f>H35/B3</f>
        <v>0.966</v>
      </c>
      <c r="J35" s="2">
        <v>0.0</v>
      </c>
      <c r="K35" s="2">
        <v>0.0</v>
      </c>
      <c r="L35" s="2">
        <v>0.0</v>
      </c>
      <c r="M35" s="7"/>
      <c r="N35" s="7"/>
    </row>
    <row r="36">
      <c r="A36" s="12">
        <v>46063.0</v>
      </c>
      <c r="B36" s="6" t="s">
        <v>61</v>
      </c>
      <c r="C36" s="2">
        <v>0.0</v>
      </c>
      <c r="D36" s="16">
        <f t="shared" si="3"/>
        <v>19.28</v>
      </c>
      <c r="E36" s="17">
        <f>D36/B1</f>
        <v>0.964</v>
      </c>
      <c r="F36" s="16">
        <f t="shared" si="4"/>
        <v>18.34</v>
      </c>
      <c r="G36" s="17">
        <f>F36/B2</f>
        <v>0.917</v>
      </c>
      <c r="H36" s="15">
        <f t="shared" si="5"/>
        <v>19.32</v>
      </c>
      <c r="I36" s="14">
        <f>H36/B3</f>
        <v>0.966</v>
      </c>
      <c r="J36" s="2">
        <v>0.0</v>
      </c>
      <c r="K36" s="2">
        <v>0.0</v>
      </c>
      <c r="L36" s="2">
        <v>0.0</v>
      </c>
      <c r="M36" s="7"/>
      <c r="N36" s="7"/>
    </row>
    <row r="37">
      <c r="A37" s="12">
        <v>46063.0</v>
      </c>
      <c r="B37" s="6" t="s">
        <v>62</v>
      </c>
      <c r="C37" s="2">
        <v>0.0</v>
      </c>
      <c r="D37" s="16">
        <f t="shared" si="3"/>
        <v>19.28</v>
      </c>
      <c r="E37" s="17">
        <f>D37/B1</f>
        <v>0.964</v>
      </c>
      <c r="F37" s="16">
        <f t="shared" si="4"/>
        <v>18.34</v>
      </c>
      <c r="G37" s="17">
        <f>F37/B2</f>
        <v>0.917</v>
      </c>
      <c r="H37" s="15">
        <f t="shared" si="5"/>
        <v>19.32</v>
      </c>
      <c r="I37" s="14">
        <f>H37/B3</f>
        <v>0.966</v>
      </c>
      <c r="J37" s="2">
        <v>0.0</v>
      </c>
      <c r="K37" s="2">
        <v>0.0</v>
      </c>
      <c r="L37" s="2">
        <v>0.0</v>
      </c>
      <c r="M37" s="7"/>
      <c r="N37" s="7"/>
    </row>
    <row r="38">
      <c r="A38" s="12">
        <v>46063.0</v>
      </c>
      <c r="B38" s="6" t="s">
        <v>63</v>
      </c>
      <c r="C38" s="2">
        <v>0.0</v>
      </c>
      <c r="D38" s="16">
        <f t="shared" si="3"/>
        <v>19.28</v>
      </c>
      <c r="E38" s="17">
        <f>D38/B1</f>
        <v>0.964</v>
      </c>
      <c r="F38" s="16">
        <f t="shared" si="4"/>
        <v>18.34</v>
      </c>
      <c r="G38" s="17">
        <f>F38/B2</f>
        <v>0.917</v>
      </c>
      <c r="H38" s="15">
        <f t="shared" si="5"/>
        <v>19.32</v>
      </c>
      <c r="I38" s="14">
        <f>H38/B3</f>
        <v>0.966</v>
      </c>
      <c r="J38" s="2">
        <v>0.0</v>
      </c>
      <c r="K38" s="2">
        <v>0.0</v>
      </c>
      <c r="L38" s="2">
        <v>0.0</v>
      </c>
      <c r="M38" s="7"/>
      <c r="N38" s="7"/>
    </row>
    <row r="39">
      <c r="A39" s="12">
        <v>46064.0</v>
      </c>
      <c r="B39" s="6" t="s">
        <v>61</v>
      </c>
      <c r="C39" s="2">
        <v>0.0</v>
      </c>
      <c r="D39" s="16">
        <f t="shared" si="3"/>
        <v>19.28</v>
      </c>
      <c r="E39" s="17">
        <f>D39/B1</f>
        <v>0.964</v>
      </c>
      <c r="F39" s="16">
        <f t="shared" si="4"/>
        <v>18.34</v>
      </c>
      <c r="G39" s="17">
        <f>F39/B2</f>
        <v>0.917</v>
      </c>
      <c r="H39" s="15">
        <f t="shared" si="5"/>
        <v>19.32</v>
      </c>
      <c r="I39" s="14">
        <f>H39/B3</f>
        <v>0.966</v>
      </c>
      <c r="J39" s="2">
        <v>0.0</v>
      </c>
      <c r="K39" s="2">
        <v>0.0</v>
      </c>
      <c r="L39" s="2">
        <v>0.0</v>
      </c>
      <c r="M39" s="7"/>
      <c r="N39" s="7"/>
    </row>
    <row r="40">
      <c r="A40" s="12">
        <v>46064.0</v>
      </c>
      <c r="B40" s="6" t="s">
        <v>62</v>
      </c>
      <c r="C40" s="2">
        <v>0.0</v>
      </c>
      <c r="D40" s="16">
        <f t="shared" si="3"/>
        <v>19.28</v>
      </c>
      <c r="E40" s="17">
        <f>D40/B1</f>
        <v>0.964</v>
      </c>
      <c r="F40" s="16">
        <f t="shared" si="4"/>
        <v>18.34</v>
      </c>
      <c r="G40" s="17">
        <f>F40/B2</f>
        <v>0.917</v>
      </c>
      <c r="H40" s="15">
        <f t="shared" si="5"/>
        <v>19.32</v>
      </c>
      <c r="I40" s="14">
        <f>H40/B3</f>
        <v>0.966</v>
      </c>
      <c r="J40" s="2">
        <v>0.0</v>
      </c>
      <c r="K40" s="2">
        <v>0.0</v>
      </c>
      <c r="L40" s="2">
        <v>0.0</v>
      </c>
      <c r="M40" s="7"/>
      <c r="N40" s="7"/>
    </row>
    <row r="41">
      <c r="A41" s="12">
        <v>46064.0</v>
      </c>
      <c r="B41" s="6" t="s">
        <v>63</v>
      </c>
      <c r="C41" s="2">
        <v>0.0</v>
      </c>
      <c r="D41" s="16">
        <f t="shared" si="3"/>
        <v>19.28</v>
      </c>
      <c r="E41" s="17">
        <f>D41/B1</f>
        <v>0.964</v>
      </c>
      <c r="F41" s="16">
        <f t="shared" si="4"/>
        <v>18.34</v>
      </c>
      <c r="G41" s="17">
        <f>F41/B2</f>
        <v>0.917</v>
      </c>
      <c r="H41" s="15">
        <f t="shared" si="5"/>
        <v>19.32</v>
      </c>
      <c r="I41" s="14">
        <f>H41/B3</f>
        <v>0.966</v>
      </c>
      <c r="J41" s="2">
        <v>0.0</v>
      </c>
      <c r="K41" s="2">
        <v>0.0</v>
      </c>
      <c r="L41" s="2">
        <v>0.0</v>
      </c>
      <c r="M41" s="7"/>
      <c r="N41" s="7"/>
    </row>
    <row r="42">
      <c r="A42" s="12">
        <v>46065.0</v>
      </c>
      <c r="B42" s="6" t="s">
        <v>61</v>
      </c>
      <c r="C42" s="2">
        <v>0.0</v>
      </c>
      <c r="D42" s="16">
        <f t="shared" si="3"/>
        <v>19.28</v>
      </c>
      <c r="E42" s="17">
        <f>D42/B1</f>
        <v>0.964</v>
      </c>
      <c r="F42" s="16">
        <f t="shared" si="4"/>
        <v>18.34</v>
      </c>
      <c r="G42" s="17">
        <f>F42/B2</f>
        <v>0.917</v>
      </c>
      <c r="H42" s="15">
        <f t="shared" si="5"/>
        <v>19.32</v>
      </c>
      <c r="I42" s="14">
        <f>H42/B3</f>
        <v>0.966</v>
      </c>
      <c r="J42" s="2">
        <v>0.0</v>
      </c>
      <c r="K42" s="2">
        <v>0.0</v>
      </c>
      <c r="L42" s="2">
        <v>0.0</v>
      </c>
      <c r="M42" s="7"/>
      <c r="N42" s="7"/>
    </row>
    <row r="43">
      <c r="A43" s="12">
        <v>46065.0</v>
      </c>
      <c r="B43" s="6" t="s">
        <v>62</v>
      </c>
      <c r="C43" s="2">
        <v>0.0</v>
      </c>
      <c r="D43" s="16">
        <f t="shared" si="3"/>
        <v>19.28</v>
      </c>
      <c r="E43" s="17">
        <f>D43/B1</f>
        <v>0.964</v>
      </c>
      <c r="F43" s="16">
        <f t="shared" si="4"/>
        <v>18.34</v>
      </c>
      <c r="G43" s="17">
        <f>F43/B2</f>
        <v>0.917</v>
      </c>
      <c r="H43" s="15">
        <f t="shared" si="5"/>
        <v>19.32</v>
      </c>
      <c r="I43" s="14">
        <f>H43/B3</f>
        <v>0.966</v>
      </c>
      <c r="J43" s="2">
        <v>0.0</v>
      </c>
      <c r="K43" s="2">
        <v>0.0</v>
      </c>
      <c r="L43" s="2">
        <v>0.0</v>
      </c>
      <c r="M43" s="7"/>
      <c r="N43" s="7"/>
    </row>
    <row r="44">
      <c r="A44" s="12">
        <v>46065.0</v>
      </c>
      <c r="B44" s="6" t="s">
        <v>63</v>
      </c>
      <c r="C44" s="2">
        <v>0.0</v>
      </c>
      <c r="D44" s="16">
        <f t="shared" si="3"/>
        <v>19.28</v>
      </c>
      <c r="E44" s="17">
        <f>D44/B1</f>
        <v>0.964</v>
      </c>
      <c r="F44" s="16">
        <f t="shared" si="4"/>
        <v>18.34</v>
      </c>
      <c r="G44" s="17">
        <f>F44/B2</f>
        <v>0.917</v>
      </c>
      <c r="H44" s="15">
        <f t="shared" si="5"/>
        <v>19.32</v>
      </c>
      <c r="I44" s="14">
        <f>H44/B3</f>
        <v>0.966</v>
      </c>
      <c r="J44" s="2">
        <v>0.0</v>
      </c>
      <c r="K44" s="2">
        <v>0.0</v>
      </c>
      <c r="L44" s="2">
        <v>0.0</v>
      </c>
      <c r="M44" s="7"/>
      <c r="N44" s="7"/>
    </row>
    <row r="45">
      <c r="A45" s="12">
        <v>46066.0</v>
      </c>
      <c r="B45" s="6" t="s">
        <v>61</v>
      </c>
      <c r="C45" s="2">
        <v>0.0</v>
      </c>
      <c r="D45" s="16">
        <f t="shared" si="3"/>
        <v>19.28</v>
      </c>
      <c r="E45" s="17">
        <f>D45/B1</f>
        <v>0.964</v>
      </c>
      <c r="F45" s="16">
        <f t="shared" si="4"/>
        <v>18.34</v>
      </c>
      <c r="G45" s="17">
        <f>F45/B2</f>
        <v>0.917</v>
      </c>
      <c r="H45" s="15">
        <f t="shared" si="5"/>
        <v>19.32</v>
      </c>
      <c r="I45" s="14">
        <f>H45/B3</f>
        <v>0.966</v>
      </c>
      <c r="J45" s="2">
        <v>0.0</v>
      </c>
      <c r="K45" s="2">
        <v>0.0</v>
      </c>
      <c r="L45" s="2">
        <v>0.0</v>
      </c>
      <c r="M45" s="7"/>
      <c r="N45" s="7"/>
    </row>
    <row r="46">
      <c r="A46" s="12">
        <v>46066.0</v>
      </c>
      <c r="B46" s="6" t="s">
        <v>62</v>
      </c>
      <c r="C46" s="2">
        <v>1.27</v>
      </c>
      <c r="D46" s="16">
        <f t="shared" si="3"/>
        <v>19.28</v>
      </c>
      <c r="E46" s="17">
        <f>D46/B1</f>
        <v>0.964</v>
      </c>
      <c r="F46" s="16">
        <f t="shared" si="4"/>
        <v>17.07</v>
      </c>
      <c r="G46" s="17">
        <f>F46/B2</f>
        <v>0.8535</v>
      </c>
      <c r="H46" s="15">
        <f t="shared" si="5"/>
        <v>19.32</v>
      </c>
      <c r="I46" s="14">
        <f>H46/B3</f>
        <v>0.966</v>
      </c>
      <c r="J46" s="2">
        <v>0.0</v>
      </c>
      <c r="K46" s="2">
        <v>0.0</v>
      </c>
      <c r="L46" s="2">
        <v>0.0</v>
      </c>
      <c r="M46" s="7"/>
      <c r="N46" s="7"/>
    </row>
    <row r="47">
      <c r="A47" s="12">
        <v>46066.0</v>
      </c>
      <c r="B47" s="6" t="s">
        <v>63</v>
      </c>
      <c r="C47" s="2">
        <v>0.0</v>
      </c>
      <c r="D47" s="16">
        <f t="shared" si="3"/>
        <v>19.28</v>
      </c>
      <c r="E47" s="17">
        <f>D47/B1</f>
        <v>0.964</v>
      </c>
      <c r="F47" s="16">
        <f t="shared" si="4"/>
        <v>17.07</v>
      </c>
      <c r="G47" s="17">
        <f>F47/B2</f>
        <v>0.8535</v>
      </c>
      <c r="H47" s="15">
        <f t="shared" si="5"/>
        <v>19.32</v>
      </c>
      <c r="I47" s="14">
        <f>H47/B3</f>
        <v>0.966</v>
      </c>
      <c r="J47" s="2">
        <v>0.0</v>
      </c>
      <c r="K47" s="2">
        <v>0.0</v>
      </c>
      <c r="L47" s="2">
        <v>0.0</v>
      </c>
      <c r="M47" s="7"/>
      <c r="N47" s="7"/>
    </row>
    <row r="48">
      <c r="A48" s="12">
        <v>46067.0</v>
      </c>
      <c r="B48" s="6" t="s">
        <v>61</v>
      </c>
      <c r="C48" s="2">
        <v>1.51</v>
      </c>
      <c r="D48" s="16">
        <f t="shared" si="3"/>
        <v>17.77</v>
      </c>
      <c r="E48" s="17">
        <f>D48/B1</f>
        <v>0.8885</v>
      </c>
      <c r="F48" s="16">
        <f t="shared" si="4"/>
        <v>17.07</v>
      </c>
      <c r="G48" s="17">
        <f>F48/B2</f>
        <v>0.8535</v>
      </c>
      <c r="H48" s="15">
        <f t="shared" si="5"/>
        <v>19.32</v>
      </c>
      <c r="I48" s="14">
        <f>H48/B3</f>
        <v>0.966</v>
      </c>
      <c r="J48" s="2">
        <v>0.0</v>
      </c>
      <c r="K48" s="2">
        <v>0.0</v>
      </c>
      <c r="L48" s="2">
        <v>0.0</v>
      </c>
      <c r="M48" s="7"/>
      <c r="N48" s="7"/>
    </row>
    <row r="49">
      <c r="A49" s="12">
        <v>46067.0</v>
      </c>
      <c r="B49" s="6" t="s">
        <v>62</v>
      </c>
      <c r="C49" s="2">
        <v>1.49</v>
      </c>
      <c r="D49" s="16">
        <f t="shared" si="3"/>
        <v>17.77</v>
      </c>
      <c r="E49" s="17">
        <f>D49/B1</f>
        <v>0.8885</v>
      </c>
      <c r="F49" s="16">
        <f t="shared" si="4"/>
        <v>15.58</v>
      </c>
      <c r="G49" s="17">
        <f>F49/B2</f>
        <v>0.779</v>
      </c>
      <c r="H49" s="15">
        <f t="shared" si="5"/>
        <v>19.32</v>
      </c>
      <c r="I49" s="14">
        <f>H49/B3</f>
        <v>0.966</v>
      </c>
      <c r="J49" s="2">
        <v>0.0</v>
      </c>
      <c r="K49" s="2">
        <v>0.0</v>
      </c>
      <c r="L49" s="2">
        <v>0.0</v>
      </c>
      <c r="M49" s="7"/>
      <c r="N49" s="7"/>
    </row>
    <row r="50">
      <c r="A50" s="12">
        <v>46067.0</v>
      </c>
      <c r="B50" s="6" t="s">
        <v>63</v>
      </c>
      <c r="C50" s="2">
        <v>0.0</v>
      </c>
      <c r="D50" s="16">
        <f t="shared" si="3"/>
        <v>17.77</v>
      </c>
      <c r="E50" s="17">
        <f>D50/B1</f>
        <v>0.8885</v>
      </c>
      <c r="F50" s="16">
        <f t="shared" si="4"/>
        <v>15.58</v>
      </c>
      <c r="G50" s="17">
        <f>F50/B2</f>
        <v>0.779</v>
      </c>
      <c r="H50" s="15">
        <f t="shared" si="5"/>
        <v>19.32</v>
      </c>
      <c r="I50" s="14">
        <f>H50/B3</f>
        <v>0.966</v>
      </c>
      <c r="J50" s="2">
        <v>0.0</v>
      </c>
      <c r="K50" s="2">
        <v>0.0</v>
      </c>
      <c r="L50" s="2">
        <v>0.0</v>
      </c>
      <c r="M50" s="7"/>
      <c r="N50" s="7"/>
    </row>
    <row r="51">
      <c r="A51" s="12">
        <v>46068.0</v>
      </c>
      <c r="B51" s="6" t="s">
        <v>61</v>
      </c>
      <c r="C51" s="2">
        <v>0.0</v>
      </c>
      <c r="D51" s="16">
        <f t="shared" si="3"/>
        <v>17.77</v>
      </c>
      <c r="E51" s="17">
        <f>D51/B1</f>
        <v>0.8885</v>
      </c>
      <c r="F51" s="16">
        <f t="shared" si="4"/>
        <v>15.58</v>
      </c>
      <c r="G51" s="17">
        <f>F51/B2</f>
        <v>0.779</v>
      </c>
      <c r="H51" s="15">
        <f t="shared" si="5"/>
        <v>19.32</v>
      </c>
      <c r="I51" s="14">
        <f>H51/B3</f>
        <v>0.966</v>
      </c>
      <c r="J51" s="2">
        <v>0.0</v>
      </c>
      <c r="K51" s="2">
        <v>0.0</v>
      </c>
      <c r="L51" s="2">
        <v>0.0</v>
      </c>
      <c r="M51" s="7"/>
      <c r="N51" s="7"/>
    </row>
    <row r="52">
      <c r="A52" s="12">
        <v>46068.0</v>
      </c>
      <c r="B52" s="6" t="s">
        <v>62</v>
      </c>
      <c r="C52" s="2">
        <v>1.71</v>
      </c>
      <c r="D52" s="16">
        <f t="shared" si="3"/>
        <v>17.77</v>
      </c>
      <c r="E52" s="17">
        <f>D52/B1</f>
        <v>0.8885</v>
      </c>
      <c r="F52" s="16">
        <f t="shared" si="4"/>
        <v>13.87</v>
      </c>
      <c r="G52" s="17">
        <f>F52/B2</f>
        <v>0.6935</v>
      </c>
      <c r="H52" s="15">
        <f t="shared" si="5"/>
        <v>19.32</v>
      </c>
      <c r="I52" s="14">
        <f>H52/B3</f>
        <v>0.966</v>
      </c>
      <c r="J52" s="2">
        <v>0.0</v>
      </c>
      <c r="K52" s="2">
        <v>0.0</v>
      </c>
      <c r="L52" s="2">
        <v>0.0</v>
      </c>
      <c r="M52" s="7"/>
      <c r="N52" s="7"/>
    </row>
    <row r="53">
      <c r="A53" s="12">
        <v>46068.0</v>
      </c>
      <c r="B53" s="6" t="s">
        <v>63</v>
      </c>
      <c r="C53" s="2">
        <v>0.0</v>
      </c>
      <c r="D53" s="16">
        <f t="shared" si="3"/>
        <v>17.77</v>
      </c>
      <c r="E53" s="17">
        <f>D53/B1</f>
        <v>0.8885</v>
      </c>
      <c r="F53" s="16">
        <f t="shared" si="4"/>
        <v>13.87</v>
      </c>
      <c r="G53" s="17">
        <f>F53/B2</f>
        <v>0.6935</v>
      </c>
      <c r="H53" s="15">
        <f t="shared" si="5"/>
        <v>19.32</v>
      </c>
      <c r="I53" s="14">
        <f>H53/B3</f>
        <v>0.966</v>
      </c>
      <c r="J53" s="2">
        <v>0.0</v>
      </c>
      <c r="K53" s="2">
        <v>0.0</v>
      </c>
      <c r="L53" s="2">
        <v>0.0</v>
      </c>
      <c r="M53" s="7"/>
      <c r="N53" s="7"/>
    </row>
    <row r="54">
      <c r="A54" s="12">
        <v>46069.0</v>
      </c>
      <c r="B54" s="6" t="s">
        <v>61</v>
      </c>
      <c r="C54" s="2">
        <v>0.0</v>
      </c>
      <c r="D54" s="16">
        <f t="shared" si="3"/>
        <v>17.77</v>
      </c>
      <c r="E54" s="17">
        <f>D54/B1</f>
        <v>0.8885</v>
      </c>
      <c r="F54" s="16">
        <f t="shared" si="4"/>
        <v>13.87</v>
      </c>
      <c r="G54" s="17">
        <f>F54/B2</f>
        <v>0.6935</v>
      </c>
      <c r="H54" s="15">
        <f t="shared" si="5"/>
        <v>19.32</v>
      </c>
      <c r="I54" s="14">
        <f>H54/B3</f>
        <v>0.966</v>
      </c>
      <c r="J54" s="2">
        <v>0.0</v>
      </c>
      <c r="K54" s="2">
        <v>0.0</v>
      </c>
      <c r="L54" s="2">
        <v>0.0</v>
      </c>
      <c r="M54" s="7"/>
      <c r="N54" s="7"/>
    </row>
    <row r="55">
      <c r="A55" s="12">
        <v>46069.0</v>
      </c>
      <c r="B55" s="6" t="s">
        <v>62</v>
      </c>
      <c r="C55" s="2">
        <v>0.0</v>
      </c>
      <c r="D55" s="16">
        <f t="shared" si="3"/>
        <v>17.77</v>
      </c>
      <c r="E55" s="17">
        <f>D55/B1</f>
        <v>0.8885</v>
      </c>
      <c r="F55" s="16">
        <f t="shared" si="4"/>
        <v>13.87</v>
      </c>
      <c r="G55" s="17">
        <f>F55/B2</f>
        <v>0.6935</v>
      </c>
      <c r="H55" s="15">
        <f t="shared" si="5"/>
        <v>19.32</v>
      </c>
      <c r="I55" s="14">
        <f>H55/B3</f>
        <v>0.966</v>
      </c>
      <c r="J55" s="2">
        <v>0.0</v>
      </c>
      <c r="K55" s="2">
        <v>0.0</v>
      </c>
      <c r="L55" s="2">
        <v>0.0</v>
      </c>
      <c r="M55" s="7"/>
      <c r="N55" s="7"/>
    </row>
    <row r="56">
      <c r="A56" s="12">
        <v>46069.0</v>
      </c>
      <c r="B56" s="6" t="s">
        <v>63</v>
      </c>
      <c r="C56" s="2">
        <v>0.0</v>
      </c>
      <c r="D56" s="16">
        <f t="shared" si="3"/>
        <v>17.77</v>
      </c>
      <c r="E56" s="17">
        <f>D56/B1</f>
        <v>0.8885</v>
      </c>
      <c r="F56" s="16">
        <f t="shared" si="4"/>
        <v>13.87</v>
      </c>
      <c r="G56" s="17">
        <f>F56/B2</f>
        <v>0.6935</v>
      </c>
      <c r="H56" s="15">
        <f t="shared" si="5"/>
        <v>19.32</v>
      </c>
      <c r="I56" s="14">
        <f>H56/B3</f>
        <v>0.966</v>
      </c>
      <c r="J56" s="2">
        <v>0.0</v>
      </c>
      <c r="K56" s="2">
        <v>0.0</v>
      </c>
      <c r="L56" s="2">
        <v>0.0</v>
      </c>
      <c r="M56" s="7"/>
      <c r="N56" s="7"/>
    </row>
    <row r="57">
      <c r="A57" s="12">
        <v>46070.0</v>
      </c>
      <c r="B57" s="6" t="s">
        <v>61</v>
      </c>
      <c r="C57" s="2">
        <v>0.0</v>
      </c>
      <c r="D57" s="16">
        <f t="shared" si="3"/>
        <v>17.77</v>
      </c>
      <c r="E57" s="17">
        <f>D57/B1</f>
        <v>0.8885</v>
      </c>
      <c r="F57" s="16">
        <f t="shared" si="4"/>
        <v>13.87</v>
      </c>
      <c r="G57" s="17">
        <f>F57/B2</f>
        <v>0.6935</v>
      </c>
      <c r="H57" s="15">
        <f t="shared" si="5"/>
        <v>19.32</v>
      </c>
      <c r="I57" s="14">
        <f>H57/B3</f>
        <v>0.966</v>
      </c>
      <c r="J57" s="2">
        <v>0.0</v>
      </c>
      <c r="K57" s="2">
        <v>0.0</v>
      </c>
      <c r="L57" s="2">
        <v>0.0</v>
      </c>
      <c r="M57" s="7"/>
      <c r="N57" s="7"/>
    </row>
    <row r="58">
      <c r="A58" s="12">
        <v>46070.0</v>
      </c>
      <c r="B58" s="6" t="s">
        <v>62</v>
      </c>
      <c r="C58" s="2">
        <v>0.0</v>
      </c>
      <c r="D58" s="16">
        <f t="shared" si="3"/>
        <v>17.77</v>
      </c>
      <c r="E58" s="17">
        <f>D58/B1</f>
        <v>0.8885</v>
      </c>
      <c r="F58" s="16">
        <f t="shared" si="4"/>
        <v>13.87</v>
      </c>
      <c r="G58" s="17">
        <f>F58/B2</f>
        <v>0.6935</v>
      </c>
      <c r="H58" s="15">
        <f t="shared" si="5"/>
        <v>19.32</v>
      </c>
      <c r="I58" s="14">
        <f>H58/B3</f>
        <v>0.966</v>
      </c>
      <c r="J58" s="2">
        <v>0.0</v>
      </c>
      <c r="K58" s="2">
        <v>0.0</v>
      </c>
      <c r="L58" s="2">
        <v>0.0</v>
      </c>
      <c r="M58" s="7"/>
      <c r="N58" s="7"/>
    </row>
    <row r="59">
      <c r="A59" s="12">
        <v>46070.0</v>
      </c>
      <c r="B59" s="6" t="s">
        <v>63</v>
      </c>
      <c r="C59" s="2">
        <v>0.0</v>
      </c>
      <c r="D59" s="16">
        <f t="shared" si="3"/>
        <v>17.77</v>
      </c>
      <c r="E59" s="17">
        <f>D59/B1</f>
        <v>0.8885</v>
      </c>
      <c r="F59" s="16">
        <f t="shared" si="4"/>
        <v>13.87</v>
      </c>
      <c r="G59" s="17">
        <f>F59/B2</f>
        <v>0.6935</v>
      </c>
      <c r="H59" s="15">
        <f t="shared" si="5"/>
        <v>19.32</v>
      </c>
      <c r="I59" s="14">
        <f>H59/B3</f>
        <v>0.966</v>
      </c>
      <c r="J59" s="2">
        <v>0.0</v>
      </c>
      <c r="K59" s="2">
        <v>0.0</v>
      </c>
      <c r="L59" s="2">
        <v>0.0</v>
      </c>
    </row>
    <row r="60">
      <c r="A60" s="12">
        <v>46071.0</v>
      </c>
      <c r="B60" s="6" t="s">
        <v>61</v>
      </c>
      <c r="C60" s="2">
        <v>0.0</v>
      </c>
      <c r="D60" s="16">
        <f t="shared" si="3"/>
        <v>17.77</v>
      </c>
      <c r="E60" s="17">
        <f>D60/B1</f>
        <v>0.8885</v>
      </c>
      <c r="F60" s="16">
        <f t="shared" si="4"/>
        <v>13.87</v>
      </c>
      <c r="G60" s="17">
        <f>F60/B2</f>
        <v>0.6935</v>
      </c>
      <c r="H60" s="15">
        <f t="shared" si="5"/>
        <v>19.32</v>
      </c>
      <c r="I60" s="14">
        <f>H60/B3</f>
        <v>0.966</v>
      </c>
      <c r="J60" s="2">
        <v>0.0</v>
      </c>
      <c r="K60" s="2">
        <v>0.0</v>
      </c>
      <c r="L60" s="2">
        <v>0.0</v>
      </c>
    </row>
    <row r="61">
      <c r="A61" s="12">
        <v>46071.0</v>
      </c>
      <c r="B61" s="6" t="s">
        <v>62</v>
      </c>
      <c r="C61" s="2">
        <v>0.0</v>
      </c>
      <c r="D61" s="16">
        <f t="shared" si="3"/>
        <v>17.77</v>
      </c>
      <c r="E61" s="17">
        <f>D61/B1</f>
        <v>0.8885</v>
      </c>
      <c r="F61" s="16">
        <f t="shared" si="4"/>
        <v>13.87</v>
      </c>
      <c r="G61" s="17">
        <f>F61/B2</f>
        <v>0.6935</v>
      </c>
      <c r="H61" s="15">
        <f t="shared" si="5"/>
        <v>19.32</v>
      </c>
      <c r="I61" s="14">
        <f>H61/B3</f>
        <v>0.966</v>
      </c>
      <c r="J61" s="2">
        <v>0.0</v>
      </c>
      <c r="K61" s="2">
        <v>0.0</v>
      </c>
      <c r="L61" s="2">
        <v>0.0</v>
      </c>
    </row>
    <row r="62">
      <c r="A62" s="12">
        <v>46071.0</v>
      </c>
      <c r="B62" s="6" t="s">
        <v>63</v>
      </c>
      <c r="C62" s="2">
        <v>0.0</v>
      </c>
      <c r="D62" s="16">
        <f t="shared" si="3"/>
        <v>17.77</v>
      </c>
      <c r="E62" s="17">
        <f>D62/B1</f>
        <v>0.8885</v>
      </c>
      <c r="F62" s="16">
        <f t="shared" si="4"/>
        <v>13.87</v>
      </c>
      <c r="G62" s="17">
        <f>F62/B2</f>
        <v>0.6935</v>
      </c>
      <c r="H62" s="15">
        <f t="shared" si="5"/>
        <v>19.32</v>
      </c>
      <c r="I62" s="14">
        <f>H62/B3</f>
        <v>0.966</v>
      </c>
      <c r="J62" s="2">
        <v>0.0</v>
      </c>
      <c r="K62" s="2">
        <v>0.0</v>
      </c>
      <c r="L62" s="2">
        <v>0.0</v>
      </c>
    </row>
    <row r="63">
      <c r="A63" s="12">
        <v>46072.0</v>
      </c>
      <c r="B63" s="6" t="s">
        <v>61</v>
      </c>
      <c r="C63" s="2">
        <v>0.0</v>
      </c>
      <c r="D63" s="16">
        <f t="shared" si="3"/>
        <v>17.77</v>
      </c>
      <c r="E63" s="17">
        <f>D63/B1</f>
        <v>0.8885</v>
      </c>
      <c r="F63" s="16">
        <f t="shared" si="4"/>
        <v>13.87</v>
      </c>
      <c r="G63" s="17">
        <f>F63/B2</f>
        <v>0.6935</v>
      </c>
      <c r="H63" s="15">
        <f t="shared" si="5"/>
        <v>19.32</v>
      </c>
      <c r="I63" s="14">
        <f>H63/B3</f>
        <v>0.966</v>
      </c>
      <c r="J63" s="2">
        <v>0.0</v>
      </c>
      <c r="K63" s="2">
        <v>0.0</v>
      </c>
      <c r="L63" s="2">
        <v>0.0</v>
      </c>
    </row>
    <row r="64">
      <c r="A64" s="12">
        <v>46072.0</v>
      </c>
      <c r="B64" s="6" t="s">
        <v>62</v>
      </c>
      <c r="C64" s="2">
        <v>0.0</v>
      </c>
      <c r="D64" s="16">
        <f t="shared" si="3"/>
        <v>17.77</v>
      </c>
      <c r="E64" s="17">
        <f>D64/B1</f>
        <v>0.8885</v>
      </c>
      <c r="F64" s="16">
        <f t="shared" si="4"/>
        <v>13.87</v>
      </c>
      <c r="G64" s="17">
        <f>F64/B2</f>
        <v>0.6935</v>
      </c>
      <c r="H64" s="15">
        <f t="shared" si="5"/>
        <v>19.32</v>
      </c>
      <c r="I64" s="14">
        <f>H64/B3</f>
        <v>0.966</v>
      </c>
      <c r="J64" s="2">
        <v>0.0</v>
      </c>
      <c r="K64" s="2">
        <v>0.0</v>
      </c>
      <c r="L64" s="2">
        <v>0.0</v>
      </c>
    </row>
    <row r="65">
      <c r="A65" s="12">
        <v>46072.0</v>
      </c>
      <c r="B65" s="6" t="s">
        <v>63</v>
      </c>
      <c r="C65" s="2">
        <v>0.0</v>
      </c>
      <c r="D65" s="16">
        <f t="shared" si="3"/>
        <v>17.77</v>
      </c>
      <c r="E65" s="17">
        <f>D65/B1</f>
        <v>0.8885</v>
      </c>
      <c r="F65" s="16">
        <f t="shared" si="4"/>
        <v>13.87</v>
      </c>
      <c r="G65" s="17">
        <f>F65/B2</f>
        <v>0.6935</v>
      </c>
      <c r="H65" s="15">
        <f t="shared" si="5"/>
        <v>19.32</v>
      </c>
      <c r="I65" s="14">
        <f>H65/B3</f>
        <v>0.966</v>
      </c>
      <c r="J65" s="2">
        <v>0.0</v>
      </c>
      <c r="K65" s="2">
        <v>0.0</v>
      </c>
      <c r="L65" s="2">
        <v>0.0</v>
      </c>
    </row>
    <row r="66">
      <c r="A66" s="12">
        <v>46073.0</v>
      </c>
      <c r="B66" s="6" t="s">
        <v>61</v>
      </c>
      <c r="C66" s="2">
        <v>0.0</v>
      </c>
      <c r="D66" s="16">
        <f t="shared" si="3"/>
        <v>17.77</v>
      </c>
      <c r="E66" s="17">
        <f>D66/B1</f>
        <v>0.8885</v>
      </c>
      <c r="F66" s="16">
        <f t="shared" si="4"/>
        <v>13.87</v>
      </c>
      <c r="G66" s="17">
        <f>F66/B2</f>
        <v>0.6935</v>
      </c>
      <c r="H66" s="15">
        <f t="shared" si="5"/>
        <v>19.32</v>
      </c>
      <c r="I66" s="14">
        <f>H66/B3</f>
        <v>0.966</v>
      </c>
      <c r="J66" s="2">
        <v>0.0</v>
      </c>
      <c r="K66" s="2">
        <v>0.0</v>
      </c>
      <c r="L66" s="2">
        <v>0.0</v>
      </c>
    </row>
    <row r="67">
      <c r="A67" s="12">
        <v>46073.0</v>
      </c>
      <c r="B67" s="6" t="s">
        <v>62</v>
      </c>
      <c r="C67" s="2">
        <v>1.21</v>
      </c>
      <c r="D67" s="16">
        <f t="shared" si="3"/>
        <v>17.77</v>
      </c>
      <c r="E67" s="17">
        <f>D67/B1</f>
        <v>0.8885</v>
      </c>
      <c r="F67" s="16">
        <f t="shared" si="4"/>
        <v>12.66</v>
      </c>
      <c r="G67" s="17">
        <f>F67/B2</f>
        <v>0.633</v>
      </c>
      <c r="H67" s="15">
        <f t="shared" si="5"/>
        <v>19.32</v>
      </c>
      <c r="I67" s="14">
        <f>H67/B3</f>
        <v>0.966</v>
      </c>
      <c r="J67" s="2">
        <v>0.0</v>
      </c>
      <c r="K67" s="2">
        <v>0.0</v>
      </c>
      <c r="L67" s="2">
        <v>0.0</v>
      </c>
    </row>
    <row r="68">
      <c r="A68" s="12">
        <v>46073.0</v>
      </c>
      <c r="B68" s="6" t="s">
        <v>63</v>
      </c>
      <c r="C68" s="2">
        <v>0.0</v>
      </c>
      <c r="D68" s="16">
        <f t="shared" si="3"/>
        <v>17.77</v>
      </c>
      <c r="E68" s="17">
        <f>D68/B1</f>
        <v>0.8885</v>
      </c>
      <c r="F68" s="16">
        <f t="shared" si="4"/>
        <v>12.66</v>
      </c>
      <c r="G68" s="17">
        <f>F68/B2</f>
        <v>0.633</v>
      </c>
      <c r="H68" s="15">
        <f t="shared" si="5"/>
        <v>19.32</v>
      </c>
      <c r="I68" s="14">
        <f>H68/B3</f>
        <v>0.966</v>
      </c>
      <c r="J68" s="2">
        <v>0.0</v>
      </c>
      <c r="K68" s="2">
        <v>0.0</v>
      </c>
      <c r="L68" s="2">
        <v>0.0</v>
      </c>
    </row>
    <row r="69">
      <c r="A69" s="12">
        <v>46074.0</v>
      </c>
      <c r="B69" s="6" t="s">
        <v>61</v>
      </c>
      <c r="C69" s="2">
        <v>1.64</v>
      </c>
      <c r="D69" s="16">
        <f t="shared" si="3"/>
        <v>16.13</v>
      </c>
      <c r="E69" s="17">
        <f>D69/B1</f>
        <v>0.8065</v>
      </c>
      <c r="F69" s="16">
        <f t="shared" si="4"/>
        <v>12.66</v>
      </c>
      <c r="G69" s="17">
        <f>F69/B2</f>
        <v>0.633</v>
      </c>
      <c r="H69" s="15">
        <f t="shared" si="5"/>
        <v>19.32</v>
      </c>
      <c r="I69" s="14">
        <f>H69/B3</f>
        <v>0.966</v>
      </c>
      <c r="J69" s="2">
        <v>0.0</v>
      </c>
      <c r="K69" s="2">
        <v>0.0</v>
      </c>
      <c r="L69" s="2">
        <v>0.0</v>
      </c>
    </row>
    <row r="70">
      <c r="A70" s="12">
        <v>46074.0</v>
      </c>
      <c r="B70" s="6" t="s">
        <v>62</v>
      </c>
      <c r="C70" s="2">
        <v>1.83</v>
      </c>
      <c r="D70" s="16">
        <f t="shared" si="3"/>
        <v>16.13</v>
      </c>
      <c r="E70" s="17">
        <f>D70/B1</f>
        <v>0.8065</v>
      </c>
      <c r="F70" s="16">
        <f t="shared" si="4"/>
        <v>10.83</v>
      </c>
      <c r="G70" s="17">
        <f>F70/B2</f>
        <v>0.5415</v>
      </c>
      <c r="H70" s="15">
        <f t="shared" si="5"/>
        <v>19.32</v>
      </c>
      <c r="I70" s="14">
        <f>H70/B3</f>
        <v>0.966</v>
      </c>
      <c r="J70" s="2">
        <v>0.0</v>
      </c>
      <c r="K70" s="2">
        <v>0.0</v>
      </c>
      <c r="L70" s="2">
        <v>0.0</v>
      </c>
    </row>
    <row r="71">
      <c r="A71" s="12">
        <v>46074.0</v>
      </c>
      <c r="B71" s="6" t="s">
        <v>63</v>
      </c>
      <c r="C71" s="2">
        <v>0.0</v>
      </c>
      <c r="D71" s="16">
        <f t="shared" si="3"/>
        <v>16.13</v>
      </c>
      <c r="E71" s="17">
        <f>D71/B1</f>
        <v>0.8065</v>
      </c>
      <c r="F71" s="16">
        <f t="shared" si="4"/>
        <v>10.83</v>
      </c>
      <c r="G71" s="17">
        <f>F71/B2</f>
        <v>0.5415</v>
      </c>
      <c r="H71" s="15">
        <f t="shared" si="5"/>
        <v>19.32</v>
      </c>
      <c r="I71" s="14">
        <f>H71/B3</f>
        <v>0.966</v>
      </c>
      <c r="J71" s="2">
        <v>0.0</v>
      </c>
      <c r="K71" s="2">
        <v>0.0</v>
      </c>
      <c r="L71" s="2">
        <v>0.0</v>
      </c>
    </row>
    <row r="72">
      <c r="A72" s="12">
        <v>46075.0</v>
      </c>
      <c r="B72" s="6" t="s">
        <v>61</v>
      </c>
      <c r="C72" s="2">
        <v>0.0</v>
      </c>
      <c r="D72" s="16">
        <f t="shared" si="3"/>
        <v>16.13</v>
      </c>
      <c r="E72" s="17">
        <f>D72/B1</f>
        <v>0.8065</v>
      </c>
      <c r="F72" s="16">
        <f t="shared" si="4"/>
        <v>10.83</v>
      </c>
      <c r="G72" s="17">
        <f>F72/B2</f>
        <v>0.5415</v>
      </c>
      <c r="H72" s="15">
        <f t="shared" si="5"/>
        <v>19.32</v>
      </c>
      <c r="I72" s="14">
        <f>H72/B3</f>
        <v>0.966</v>
      </c>
      <c r="J72" s="2">
        <v>0.0</v>
      </c>
      <c r="K72" s="2">
        <v>0.0</v>
      </c>
      <c r="L72" s="2">
        <v>0.0</v>
      </c>
    </row>
    <row r="73">
      <c r="A73" s="12">
        <v>46075.0</v>
      </c>
      <c r="B73" s="6" t="s">
        <v>62</v>
      </c>
      <c r="C73" s="2">
        <v>0.0</v>
      </c>
      <c r="D73" s="16">
        <f t="shared" si="3"/>
        <v>16.13</v>
      </c>
      <c r="E73" s="17">
        <f>D73/B1</f>
        <v>0.8065</v>
      </c>
      <c r="F73" s="16">
        <f t="shared" si="4"/>
        <v>10.83</v>
      </c>
      <c r="G73" s="17">
        <f>F73/B2</f>
        <v>0.5415</v>
      </c>
      <c r="H73" s="15">
        <f t="shared" si="5"/>
        <v>19.32</v>
      </c>
      <c r="I73" s="14">
        <f>H73/B3</f>
        <v>0.966</v>
      </c>
      <c r="J73" s="2">
        <v>0.0</v>
      </c>
      <c r="K73" s="2">
        <v>0.0</v>
      </c>
      <c r="L73" s="2">
        <v>0.0</v>
      </c>
    </row>
    <row r="74">
      <c r="A74" s="12">
        <v>46075.0</v>
      </c>
      <c r="B74" s="6" t="s">
        <v>63</v>
      </c>
      <c r="C74" s="2">
        <v>0.0</v>
      </c>
      <c r="D74" s="16">
        <f t="shared" si="3"/>
        <v>16.13</v>
      </c>
      <c r="E74" s="17">
        <f>D74/B1</f>
        <v>0.8065</v>
      </c>
      <c r="F74" s="16">
        <f t="shared" si="4"/>
        <v>10.83</v>
      </c>
      <c r="G74" s="17">
        <f>F74/B2</f>
        <v>0.5415</v>
      </c>
      <c r="H74" s="15">
        <f t="shared" si="5"/>
        <v>19.32</v>
      </c>
      <c r="I74" s="14">
        <f>H74/B3</f>
        <v>0.966</v>
      </c>
      <c r="J74" s="2">
        <v>0.0</v>
      </c>
      <c r="K74" s="2">
        <v>0.0</v>
      </c>
      <c r="L74" s="2">
        <v>0.0</v>
      </c>
    </row>
    <row r="75">
      <c r="A75" s="12">
        <v>46076.0</v>
      </c>
      <c r="B75" s="6" t="s">
        <v>61</v>
      </c>
      <c r="C75" s="2">
        <v>0.0</v>
      </c>
      <c r="D75" s="16">
        <f t="shared" si="3"/>
        <v>16.13</v>
      </c>
      <c r="E75" s="17">
        <f>D75/B1</f>
        <v>0.8065</v>
      </c>
      <c r="F75" s="16">
        <f t="shared" si="4"/>
        <v>10.83</v>
      </c>
      <c r="G75" s="17">
        <f>F75/B2</f>
        <v>0.5415</v>
      </c>
      <c r="H75" s="15">
        <f t="shared" si="5"/>
        <v>19.32</v>
      </c>
      <c r="I75" s="14">
        <f>H75/B3</f>
        <v>0.966</v>
      </c>
      <c r="J75" s="2">
        <v>0.0</v>
      </c>
      <c r="K75" s="2">
        <v>0.0</v>
      </c>
      <c r="L75" s="2">
        <v>0.0</v>
      </c>
    </row>
    <row r="76">
      <c r="A76" s="12">
        <v>46076.0</v>
      </c>
      <c r="B76" s="6" t="s">
        <v>62</v>
      </c>
      <c r="C76" s="2">
        <v>0.0</v>
      </c>
      <c r="D76" s="16">
        <f t="shared" si="3"/>
        <v>16.13</v>
      </c>
      <c r="E76" s="17">
        <f>D76/B1</f>
        <v>0.8065</v>
      </c>
      <c r="F76" s="16">
        <f t="shared" si="4"/>
        <v>10.83</v>
      </c>
      <c r="G76" s="17">
        <f>F76/B2</f>
        <v>0.5415</v>
      </c>
      <c r="H76" s="15">
        <f t="shared" si="5"/>
        <v>19.32</v>
      </c>
      <c r="I76" s="14">
        <f>H76/B3</f>
        <v>0.966</v>
      </c>
      <c r="J76" s="2">
        <v>0.0</v>
      </c>
      <c r="K76" s="2">
        <v>0.0</v>
      </c>
      <c r="L76" s="2">
        <v>0.0</v>
      </c>
    </row>
    <row r="77">
      <c r="A77" s="12">
        <v>46076.0</v>
      </c>
      <c r="B77" s="6" t="s">
        <v>63</v>
      </c>
      <c r="C77" s="2">
        <v>0.0</v>
      </c>
      <c r="D77" s="16">
        <f t="shared" si="3"/>
        <v>16.13</v>
      </c>
      <c r="E77" s="17">
        <f>D77/B1</f>
        <v>0.8065</v>
      </c>
      <c r="F77" s="16">
        <f t="shared" si="4"/>
        <v>10.83</v>
      </c>
      <c r="G77" s="17">
        <f>F77/B2</f>
        <v>0.5415</v>
      </c>
      <c r="H77" s="15">
        <f t="shared" si="5"/>
        <v>19.32</v>
      </c>
      <c r="I77" s="14">
        <f>H77/B3</f>
        <v>0.966</v>
      </c>
      <c r="J77" s="2">
        <v>0.0</v>
      </c>
      <c r="K77" s="2">
        <v>0.0</v>
      </c>
      <c r="L77" s="2">
        <v>0.0</v>
      </c>
    </row>
    <row r="78">
      <c r="A78" s="12">
        <v>46077.0</v>
      </c>
      <c r="B78" s="6" t="s">
        <v>61</v>
      </c>
      <c r="C78" s="2">
        <v>0.0</v>
      </c>
      <c r="D78" s="16">
        <f t="shared" si="3"/>
        <v>16.13</v>
      </c>
      <c r="E78" s="17">
        <f>D78/B1</f>
        <v>0.8065</v>
      </c>
      <c r="F78" s="16">
        <f t="shared" si="4"/>
        <v>10.83</v>
      </c>
      <c r="G78" s="17">
        <f>F78/B2</f>
        <v>0.5415</v>
      </c>
      <c r="H78" s="15">
        <f t="shared" si="5"/>
        <v>19.32</v>
      </c>
      <c r="I78" s="14">
        <f>H78/B3</f>
        <v>0.966</v>
      </c>
      <c r="J78" s="2">
        <v>0.0</v>
      </c>
      <c r="K78" s="2">
        <v>0.0</v>
      </c>
      <c r="L78" s="2">
        <v>0.0</v>
      </c>
    </row>
    <row r="79">
      <c r="A79" s="12">
        <v>46077.0</v>
      </c>
      <c r="B79" s="6" t="s">
        <v>62</v>
      </c>
      <c r="C79" s="2">
        <v>0.0</v>
      </c>
      <c r="D79" s="16">
        <f t="shared" si="3"/>
        <v>16.13</v>
      </c>
      <c r="E79" s="17">
        <f>D79/B1</f>
        <v>0.8065</v>
      </c>
      <c r="F79" s="16">
        <f t="shared" si="4"/>
        <v>10.83</v>
      </c>
      <c r="G79" s="17">
        <f>F79/B2</f>
        <v>0.5415</v>
      </c>
      <c r="H79" s="15">
        <f t="shared" si="5"/>
        <v>19.32</v>
      </c>
      <c r="I79" s="14">
        <f>H79/B3</f>
        <v>0.966</v>
      </c>
      <c r="J79" s="2">
        <v>0.0</v>
      </c>
      <c r="K79" s="2">
        <v>0.0</v>
      </c>
      <c r="L79" s="2">
        <v>0.0</v>
      </c>
    </row>
    <row r="80">
      <c r="A80" s="12">
        <v>46077.0</v>
      </c>
      <c r="B80" s="6" t="s">
        <v>63</v>
      </c>
      <c r="C80" s="2">
        <v>0.0</v>
      </c>
      <c r="D80" s="16">
        <f t="shared" si="3"/>
        <v>16.13</v>
      </c>
      <c r="E80" s="17">
        <f>D80/B1</f>
        <v>0.8065</v>
      </c>
      <c r="F80" s="16">
        <f t="shared" si="4"/>
        <v>10.83</v>
      </c>
      <c r="G80" s="17">
        <f>F80/B2</f>
        <v>0.5415</v>
      </c>
      <c r="H80" s="15">
        <f t="shared" si="5"/>
        <v>19.32</v>
      </c>
      <c r="I80" s="14">
        <f>H80/B3</f>
        <v>0.966</v>
      </c>
      <c r="J80" s="2">
        <v>0.0</v>
      </c>
      <c r="K80" s="2">
        <v>0.0</v>
      </c>
      <c r="L80" s="2">
        <v>0.0</v>
      </c>
    </row>
    <row r="81">
      <c r="A81" s="12">
        <v>46078.0</v>
      </c>
      <c r="B81" s="6" t="s">
        <v>61</v>
      </c>
      <c r="C81" s="2">
        <v>0.0</v>
      </c>
      <c r="D81" s="16">
        <f t="shared" si="3"/>
        <v>16.13</v>
      </c>
      <c r="E81" s="17">
        <f>D81/B1</f>
        <v>0.8065</v>
      </c>
      <c r="F81" s="16">
        <f t="shared" si="4"/>
        <v>10.83</v>
      </c>
      <c r="G81" s="17">
        <f>F81/B2</f>
        <v>0.5415</v>
      </c>
      <c r="H81" s="15">
        <f t="shared" si="5"/>
        <v>19.32</v>
      </c>
      <c r="I81" s="14">
        <f>H81/B3</f>
        <v>0.966</v>
      </c>
      <c r="J81" s="2">
        <v>0.0</v>
      </c>
      <c r="K81" s="2">
        <v>0.0</v>
      </c>
      <c r="L81" s="2">
        <v>0.0</v>
      </c>
    </row>
    <row r="82">
      <c r="A82" s="12">
        <v>46078.0</v>
      </c>
      <c r="B82" s="6" t="s">
        <v>62</v>
      </c>
      <c r="C82" s="2">
        <v>0.0</v>
      </c>
      <c r="D82" s="16">
        <f t="shared" si="3"/>
        <v>16.13</v>
      </c>
      <c r="E82" s="17">
        <f>D82/B1</f>
        <v>0.8065</v>
      </c>
      <c r="F82" s="16">
        <f t="shared" si="4"/>
        <v>10.83</v>
      </c>
      <c r="G82" s="17">
        <f>F82/B2</f>
        <v>0.5415</v>
      </c>
      <c r="H82" s="15">
        <f t="shared" si="5"/>
        <v>19.32</v>
      </c>
      <c r="I82" s="14">
        <f>H82/B3</f>
        <v>0.966</v>
      </c>
      <c r="J82" s="2">
        <v>0.0</v>
      </c>
      <c r="K82" s="2">
        <v>0.0</v>
      </c>
      <c r="L82" s="2">
        <v>0.0</v>
      </c>
    </row>
    <row r="83">
      <c r="A83" s="12">
        <v>46078.0</v>
      </c>
      <c r="B83" s="6" t="s">
        <v>63</v>
      </c>
      <c r="C83" s="2">
        <v>0.0</v>
      </c>
      <c r="D83" s="16">
        <f t="shared" si="3"/>
        <v>16.13</v>
      </c>
      <c r="E83" s="17">
        <f>D83/B1</f>
        <v>0.8065</v>
      </c>
      <c r="F83" s="16">
        <f t="shared" si="4"/>
        <v>10.83</v>
      </c>
      <c r="G83" s="17">
        <f>F83/B2</f>
        <v>0.5415</v>
      </c>
      <c r="H83" s="15">
        <f t="shared" si="5"/>
        <v>19.32</v>
      </c>
      <c r="I83" s="14">
        <f>H83/B3</f>
        <v>0.966</v>
      </c>
      <c r="J83" s="2">
        <v>0.0</v>
      </c>
      <c r="K83" s="2">
        <v>0.0</v>
      </c>
      <c r="L83" s="2">
        <v>0.0</v>
      </c>
    </row>
    <row r="84">
      <c r="A84" s="12">
        <v>46079.0</v>
      </c>
      <c r="B84" s="6" t="s">
        <v>61</v>
      </c>
      <c r="C84" s="2">
        <v>0.0</v>
      </c>
      <c r="D84" s="16">
        <f t="shared" si="3"/>
        <v>16.13</v>
      </c>
      <c r="E84" s="17">
        <f>D84/B1</f>
        <v>0.8065</v>
      </c>
      <c r="F84" s="16">
        <f t="shared" si="4"/>
        <v>10.83</v>
      </c>
      <c r="G84" s="17">
        <f>F84/B2</f>
        <v>0.5415</v>
      </c>
      <c r="H84" s="15">
        <f t="shared" si="5"/>
        <v>19.32</v>
      </c>
      <c r="I84" s="14">
        <f>H84/B3</f>
        <v>0.966</v>
      </c>
      <c r="J84" s="2">
        <v>0.0</v>
      </c>
      <c r="K84" s="2">
        <v>0.0</v>
      </c>
      <c r="L84" s="2">
        <v>0.0</v>
      </c>
    </row>
    <row r="85">
      <c r="A85" s="12">
        <v>46079.0</v>
      </c>
      <c r="B85" s="6" t="s">
        <v>62</v>
      </c>
      <c r="C85" s="2">
        <v>0.0</v>
      </c>
      <c r="D85" s="16">
        <f t="shared" si="3"/>
        <v>16.13</v>
      </c>
      <c r="E85" s="17">
        <f>D85/B1</f>
        <v>0.8065</v>
      </c>
      <c r="F85" s="16">
        <f t="shared" si="4"/>
        <v>10.83</v>
      </c>
      <c r="G85" s="17">
        <f>F85/B2</f>
        <v>0.5415</v>
      </c>
      <c r="H85" s="15">
        <f t="shared" si="5"/>
        <v>19.32</v>
      </c>
      <c r="I85" s="14">
        <f>H85/B3</f>
        <v>0.966</v>
      </c>
      <c r="J85" s="2">
        <v>0.0</v>
      </c>
      <c r="K85" s="2">
        <v>0.0</v>
      </c>
      <c r="L85" s="2">
        <v>0.0</v>
      </c>
    </row>
    <row r="86">
      <c r="A86" s="12">
        <v>46079.0</v>
      </c>
      <c r="B86" s="6" t="s">
        <v>63</v>
      </c>
      <c r="C86" s="2">
        <v>0.0</v>
      </c>
      <c r="D86" s="16">
        <f t="shared" si="3"/>
        <v>16.13</v>
      </c>
      <c r="E86" s="17">
        <f>D86/B1</f>
        <v>0.8065</v>
      </c>
      <c r="F86" s="16">
        <f t="shared" si="4"/>
        <v>10.83</v>
      </c>
      <c r="G86" s="17">
        <f>F86/B2</f>
        <v>0.5415</v>
      </c>
      <c r="H86" s="15">
        <f t="shared" si="5"/>
        <v>19.32</v>
      </c>
      <c r="I86" s="14">
        <f>H86/B3</f>
        <v>0.966</v>
      </c>
      <c r="J86" s="2">
        <v>0.0</v>
      </c>
      <c r="K86" s="2">
        <v>0.0</v>
      </c>
      <c r="L86" s="2">
        <v>0.0</v>
      </c>
    </row>
    <row r="87">
      <c r="A87" s="12">
        <v>46080.0</v>
      </c>
      <c r="B87" s="6" t="s">
        <v>61</v>
      </c>
      <c r="C87" s="2">
        <v>0.0</v>
      </c>
      <c r="D87" s="16">
        <f t="shared" si="3"/>
        <v>16.13</v>
      </c>
      <c r="E87" s="17">
        <f>D87/B1</f>
        <v>0.8065</v>
      </c>
      <c r="F87" s="16">
        <f t="shared" si="4"/>
        <v>10.83</v>
      </c>
      <c r="G87" s="17">
        <f>F87/B2</f>
        <v>0.5415</v>
      </c>
      <c r="H87" s="15">
        <f t="shared" si="5"/>
        <v>19.32</v>
      </c>
      <c r="I87" s="14">
        <f>H87/B3</f>
        <v>0.966</v>
      </c>
      <c r="J87" s="2">
        <v>0.0</v>
      </c>
      <c r="K87" s="2">
        <v>0.0</v>
      </c>
      <c r="L87" s="2">
        <v>0.0</v>
      </c>
    </row>
    <row r="88">
      <c r="A88" s="12">
        <v>46080.0</v>
      </c>
      <c r="B88" s="6" t="s">
        <v>62</v>
      </c>
      <c r="C88" s="2">
        <f>1.49+1.91</f>
        <v>3.4</v>
      </c>
      <c r="D88" s="16">
        <f t="shared" si="3"/>
        <v>16.13</v>
      </c>
      <c r="E88" s="17">
        <f>D88/B1</f>
        <v>0.8065</v>
      </c>
      <c r="F88" s="16">
        <f t="shared" si="4"/>
        <v>7.43</v>
      </c>
      <c r="G88" s="17">
        <f>F88/B2</f>
        <v>0.3715</v>
      </c>
      <c r="H88" s="15">
        <f t="shared" si="5"/>
        <v>19.32</v>
      </c>
      <c r="I88" s="14">
        <f>H88/B3</f>
        <v>0.966</v>
      </c>
      <c r="J88" s="2">
        <v>0.0</v>
      </c>
      <c r="K88" s="2">
        <v>0.0</v>
      </c>
      <c r="L88" s="2">
        <v>0.0</v>
      </c>
    </row>
    <row r="89">
      <c r="A89" s="12">
        <v>46080.0</v>
      </c>
      <c r="B89" s="6" t="s">
        <v>63</v>
      </c>
      <c r="C89" s="2">
        <v>0.0</v>
      </c>
      <c r="D89" s="16">
        <f t="shared" si="3"/>
        <v>16.13</v>
      </c>
      <c r="E89" s="17">
        <f>D89/B1</f>
        <v>0.8065</v>
      </c>
      <c r="F89" s="16">
        <f t="shared" si="4"/>
        <v>7.43</v>
      </c>
      <c r="G89" s="17">
        <f>F89/B2</f>
        <v>0.3715</v>
      </c>
      <c r="H89" s="15">
        <f t="shared" si="5"/>
        <v>19.32</v>
      </c>
      <c r="I89" s="14">
        <f>H89/B3</f>
        <v>0.966</v>
      </c>
      <c r="J89" s="2">
        <v>0.0</v>
      </c>
      <c r="K89" s="2">
        <v>0.0</v>
      </c>
      <c r="L89" s="2">
        <v>0.0</v>
      </c>
    </row>
    <row r="90">
      <c r="A90" s="12">
        <v>46081.0</v>
      </c>
      <c r="B90" s="6" t="s">
        <v>61</v>
      </c>
      <c r="C90" s="2">
        <v>1.74</v>
      </c>
      <c r="D90" s="16">
        <f t="shared" si="3"/>
        <v>14.39</v>
      </c>
      <c r="E90" s="17">
        <f>D90/B1</f>
        <v>0.7195</v>
      </c>
      <c r="F90" s="16">
        <f t="shared" si="4"/>
        <v>7.43</v>
      </c>
      <c r="G90" s="17">
        <f>F90/B2</f>
        <v>0.3715</v>
      </c>
      <c r="H90" s="15">
        <f t="shared" si="5"/>
        <v>19.32</v>
      </c>
      <c r="I90" s="14">
        <f>H90/B3</f>
        <v>0.966</v>
      </c>
      <c r="J90" s="2">
        <v>0.0</v>
      </c>
      <c r="K90" s="2">
        <v>0.0</v>
      </c>
      <c r="L90" s="2">
        <v>0.0</v>
      </c>
    </row>
    <row r="91">
      <c r="A91" s="12">
        <v>46081.0</v>
      </c>
      <c r="B91" s="6" t="s">
        <v>62</v>
      </c>
      <c r="C91" s="2">
        <v>0.0</v>
      </c>
      <c r="D91" s="16">
        <f t="shared" si="3"/>
        <v>14.39</v>
      </c>
      <c r="E91" s="17">
        <f>D91/B1</f>
        <v>0.7195</v>
      </c>
      <c r="F91" s="16">
        <f t="shared" si="4"/>
        <v>7.43</v>
      </c>
      <c r="G91" s="17">
        <f>F91/B2</f>
        <v>0.3715</v>
      </c>
      <c r="H91" s="15">
        <f t="shared" si="5"/>
        <v>19.32</v>
      </c>
      <c r="I91" s="14">
        <f>H91/B3</f>
        <v>0.966</v>
      </c>
      <c r="J91" s="2">
        <v>0.0</v>
      </c>
      <c r="K91" s="2">
        <v>0.0</v>
      </c>
      <c r="L91" s="2">
        <v>0.0</v>
      </c>
    </row>
    <row r="92">
      <c r="A92" s="12">
        <v>46081.0</v>
      </c>
      <c r="B92" s="6" t="s">
        <v>63</v>
      </c>
      <c r="C92" s="2">
        <v>0.0</v>
      </c>
      <c r="D92" s="16">
        <f t="shared" si="3"/>
        <v>14.39</v>
      </c>
      <c r="E92" s="17">
        <f>D92/B1</f>
        <v>0.7195</v>
      </c>
      <c r="F92" s="16">
        <f t="shared" si="4"/>
        <v>7.43</v>
      </c>
      <c r="G92" s="17">
        <f>F92/B2</f>
        <v>0.3715</v>
      </c>
      <c r="H92" s="15">
        <f t="shared" si="5"/>
        <v>19.32</v>
      </c>
      <c r="I92" s="14">
        <f>H92/B3</f>
        <v>0.966</v>
      </c>
      <c r="J92" s="2">
        <v>0.0</v>
      </c>
      <c r="K92" s="2">
        <v>0.0</v>
      </c>
      <c r="L92" s="2">
        <v>0.0</v>
      </c>
    </row>
    <row r="93">
      <c r="A93" s="12">
        <v>46082.0</v>
      </c>
      <c r="B93" s="6" t="s">
        <v>61</v>
      </c>
      <c r="C93" s="2">
        <v>0.0</v>
      </c>
      <c r="D93" s="16">
        <f t="shared" si="3"/>
        <v>14.39</v>
      </c>
      <c r="E93" s="17">
        <f>D93/B1</f>
        <v>0.7195</v>
      </c>
      <c r="F93" s="16">
        <f t="shared" si="4"/>
        <v>7.43</v>
      </c>
      <c r="G93" s="17">
        <f>F93/B2</f>
        <v>0.3715</v>
      </c>
      <c r="H93" s="15">
        <f t="shared" si="5"/>
        <v>19.32</v>
      </c>
      <c r="I93" s="14">
        <f>H93/B3</f>
        <v>0.966</v>
      </c>
      <c r="J93" s="2">
        <v>0.0</v>
      </c>
      <c r="K93" s="2">
        <v>0.0</v>
      </c>
      <c r="L93" s="2">
        <v>0.0</v>
      </c>
    </row>
    <row r="94">
      <c r="A94" s="12">
        <v>46082.0</v>
      </c>
      <c r="B94" s="6" t="s">
        <v>62</v>
      </c>
      <c r="C94" s="2">
        <v>2.84</v>
      </c>
      <c r="D94" s="16">
        <f t="shared" si="3"/>
        <v>14.39</v>
      </c>
      <c r="E94" s="17">
        <f>D94/B1</f>
        <v>0.7195</v>
      </c>
      <c r="F94" s="16">
        <f t="shared" si="4"/>
        <v>4.59</v>
      </c>
      <c r="G94" s="17">
        <f>F94/B2</f>
        <v>0.2295</v>
      </c>
      <c r="H94" s="15">
        <f t="shared" si="5"/>
        <v>19.32</v>
      </c>
      <c r="I94" s="14">
        <f>H94/B3</f>
        <v>0.966</v>
      </c>
      <c r="J94" s="2">
        <v>0.0</v>
      </c>
      <c r="K94" s="2">
        <v>0.0</v>
      </c>
      <c r="L94" s="2">
        <v>0.0</v>
      </c>
    </row>
    <row r="95">
      <c r="A95" s="12">
        <v>46082.0</v>
      </c>
      <c r="B95" s="6" t="s">
        <v>63</v>
      </c>
      <c r="C95" s="2">
        <v>0.0</v>
      </c>
      <c r="D95" s="16">
        <f t="shared" si="3"/>
        <v>14.39</v>
      </c>
      <c r="E95" s="17">
        <f>D95/B1</f>
        <v>0.7195</v>
      </c>
      <c r="F95" s="16">
        <f t="shared" si="4"/>
        <v>4.59</v>
      </c>
      <c r="G95" s="17">
        <f>F95/B2</f>
        <v>0.2295</v>
      </c>
      <c r="H95" s="15">
        <f t="shared" si="5"/>
        <v>19.32</v>
      </c>
      <c r="I95" s="14">
        <f>H95/B3</f>
        <v>0.966</v>
      </c>
      <c r="J95" s="2">
        <v>0.0</v>
      </c>
      <c r="K95" s="2">
        <v>0.0</v>
      </c>
      <c r="L95" s="2">
        <v>0.0</v>
      </c>
    </row>
    <row r="96">
      <c r="A96" s="12">
        <v>46083.0</v>
      </c>
      <c r="B96" s="6" t="s">
        <v>61</v>
      </c>
      <c r="C96" s="2">
        <v>0.0</v>
      </c>
      <c r="D96" s="16">
        <f t="shared" si="3"/>
        <v>14.39</v>
      </c>
      <c r="E96" s="17">
        <f>D96/B1</f>
        <v>0.7195</v>
      </c>
      <c r="F96" s="16">
        <f t="shared" si="4"/>
        <v>4.59</v>
      </c>
      <c r="G96" s="17">
        <f>F96/B2</f>
        <v>0.2295</v>
      </c>
      <c r="H96" s="15">
        <f t="shared" si="5"/>
        <v>19.32</v>
      </c>
      <c r="I96" s="14">
        <f>H96/B3</f>
        <v>0.966</v>
      </c>
      <c r="J96" s="2">
        <v>0.0</v>
      </c>
      <c r="K96" s="2">
        <v>0.0</v>
      </c>
      <c r="L96" s="2">
        <v>0.0</v>
      </c>
    </row>
    <row r="97">
      <c r="A97" s="12">
        <v>46083.0</v>
      </c>
      <c r="B97" s="6" t="s">
        <v>62</v>
      </c>
      <c r="C97" s="2">
        <v>0.0</v>
      </c>
      <c r="D97" s="16">
        <f t="shared" si="3"/>
        <v>14.39</v>
      </c>
      <c r="E97" s="17">
        <f>D97/B1</f>
        <v>0.7195</v>
      </c>
      <c r="F97" s="16">
        <f t="shared" si="4"/>
        <v>4.59</v>
      </c>
      <c r="G97" s="17">
        <f>F97/B2</f>
        <v>0.2295</v>
      </c>
      <c r="H97" s="15">
        <f t="shared" si="5"/>
        <v>19.32</v>
      </c>
      <c r="I97" s="14">
        <f>H97/B3</f>
        <v>0.966</v>
      </c>
      <c r="J97" s="2">
        <v>0.0</v>
      </c>
      <c r="K97" s="2">
        <v>0.0</v>
      </c>
      <c r="L97" s="2">
        <v>0.0</v>
      </c>
    </row>
    <row r="98">
      <c r="A98" s="12">
        <v>46083.0</v>
      </c>
      <c r="B98" s="6" t="s">
        <v>63</v>
      </c>
      <c r="C98" s="2">
        <v>0.0</v>
      </c>
      <c r="D98" s="16">
        <f t="shared" si="3"/>
        <v>14.39</v>
      </c>
      <c r="E98" s="17">
        <f>D98/B1</f>
        <v>0.7195</v>
      </c>
      <c r="F98" s="16">
        <f t="shared" si="4"/>
        <v>4.59</v>
      </c>
      <c r="G98" s="17">
        <f>F98/B2</f>
        <v>0.2295</v>
      </c>
      <c r="H98" s="15">
        <f t="shared" si="5"/>
        <v>19.32</v>
      </c>
      <c r="I98" s="14">
        <f>H98/B3</f>
        <v>0.966</v>
      </c>
      <c r="J98" s="2">
        <v>0.0</v>
      </c>
      <c r="K98" s="2">
        <v>0.0</v>
      </c>
      <c r="L98" s="2">
        <v>0.0</v>
      </c>
    </row>
    <row r="99">
      <c r="A99" s="12">
        <v>46084.0</v>
      </c>
      <c r="B99" s="6" t="s">
        <v>61</v>
      </c>
      <c r="C99" s="2">
        <v>0.0</v>
      </c>
      <c r="D99" s="16">
        <f t="shared" si="3"/>
        <v>14.39</v>
      </c>
      <c r="E99" s="17">
        <f>D99/B1</f>
        <v>0.7195</v>
      </c>
      <c r="F99" s="16">
        <f t="shared" si="4"/>
        <v>4.59</v>
      </c>
      <c r="G99" s="17">
        <f>F99/B2</f>
        <v>0.2295</v>
      </c>
      <c r="H99" s="15">
        <f t="shared" si="5"/>
        <v>19.32</v>
      </c>
      <c r="I99" s="14">
        <f>H99/B3</f>
        <v>0.966</v>
      </c>
      <c r="J99" s="2">
        <v>0.0</v>
      </c>
      <c r="K99" s="2">
        <v>0.0</v>
      </c>
      <c r="L99" s="2">
        <v>0.0</v>
      </c>
    </row>
    <row r="100">
      <c r="A100" s="12">
        <v>46084.0</v>
      </c>
      <c r="B100" s="6" t="s">
        <v>62</v>
      </c>
      <c r="C100" s="2">
        <v>0.0</v>
      </c>
      <c r="D100" s="16">
        <f t="shared" si="3"/>
        <v>14.39</v>
      </c>
      <c r="E100" s="17">
        <f>D100/B1</f>
        <v>0.7195</v>
      </c>
      <c r="F100" s="16">
        <f t="shared" si="4"/>
        <v>4.59</v>
      </c>
      <c r="G100" s="17">
        <f>F100/B2</f>
        <v>0.2295</v>
      </c>
      <c r="H100" s="15">
        <f t="shared" si="5"/>
        <v>19.32</v>
      </c>
      <c r="I100" s="14">
        <f>H100/B3</f>
        <v>0.966</v>
      </c>
      <c r="J100" s="2">
        <v>0.0</v>
      </c>
      <c r="K100" s="2">
        <v>0.0</v>
      </c>
      <c r="L100" s="2">
        <v>0.0</v>
      </c>
    </row>
    <row r="101">
      <c r="A101" s="12">
        <v>46084.0</v>
      </c>
      <c r="B101" s="6" t="s">
        <v>63</v>
      </c>
      <c r="C101" s="2">
        <v>0.0</v>
      </c>
      <c r="D101" s="16">
        <f t="shared" si="3"/>
        <v>14.39</v>
      </c>
      <c r="E101" s="17">
        <f>D101/B1</f>
        <v>0.7195</v>
      </c>
      <c r="F101" s="16">
        <f t="shared" si="4"/>
        <v>4.59</v>
      </c>
      <c r="G101" s="17">
        <f>F101/B2</f>
        <v>0.2295</v>
      </c>
      <c r="H101" s="15">
        <f t="shared" si="5"/>
        <v>19.32</v>
      </c>
      <c r="I101" s="14">
        <f>H101/B3</f>
        <v>0.966</v>
      </c>
      <c r="J101" s="2">
        <v>0.0</v>
      </c>
      <c r="K101" s="2">
        <v>0.0</v>
      </c>
      <c r="L101" s="2">
        <v>0.0</v>
      </c>
    </row>
    <row r="102">
      <c r="A102" s="12">
        <v>46085.0</v>
      </c>
      <c r="B102" s="21" t="s">
        <v>61</v>
      </c>
      <c r="C102" s="2">
        <v>0.0</v>
      </c>
      <c r="D102" s="23">
        <f t="shared" si="3"/>
        <v>14.39</v>
      </c>
      <c r="E102" s="24">
        <f>D102/B1</f>
        <v>0.7195</v>
      </c>
      <c r="F102" s="23">
        <f t="shared" si="4"/>
        <v>4.59</v>
      </c>
      <c r="G102" s="24">
        <f>F102/B2</f>
        <v>0.2295</v>
      </c>
      <c r="H102" s="25">
        <f t="shared" si="5"/>
        <v>19.32</v>
      </c>
      <c r="I102" s="26">
        <f>H102/B3</f>
        <v>0.966</v>
      </c>
      <c r="J102" s="22">
        <v>0.0</v>
      </c>
      <c r="K102" s="22">
        <v>0.0</v>
      </c>
      <c r="L102" s="22">
        <v>0.0</v>
      </c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</row>
    <row r="103">
      <c r="A103" s="12">
        <v>46085.0</v>
      </c>
      <c r="B103" s="21" t="s">
        <v>62</v>
      </c>
      <c r="C103" s="2">
        <v>0.0</v>
      </c>
      <c r="D103" s="23">
        <f t="shared" si="3"/>
        <v>14.39</v>
      </c>
      <c r="E103" s="24">
        <f>D103/B1</f>
        <v>0.7195</v>
      </c>
      <c r="F103" s="23">
        <f t="shared" si="4"/>
        <v>4.59</v>
      </c>
      <c r="G103" s="24">
        <f>F103/B2</f>
        <v>0.2295</v>
      </c>
      <c r="H103" s="25">
        <f t="shared" si="5"/>
        <v>19.32</v>
      </c>
      <c r="I103" s="26">
        <f>H103/B3</f>
        <v>0.966</v>
      </c>
      <c r="J103" s="22">
        <v>0.0</v>
      </c>
      <c r="K103" s="22">
        <v>0.0</v>
      </c>
      <c r="L103" s="22">
        <v>0.0</v>
      </c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</row>
    <row r="104">
      <c r="A104" s="12">
        <v>46085.0</v>
      </c>
      <c r="B104" s="21" t="s">
        <v>63</v>
      </c>
      <c r="C104" s="2">
        <v>0.0</v>
      </c>
      <c r="D104" s="23">
        <f t="shared" si="3"/>
        <v>14.39</v>
      </c>
      <c r="E104" s="24">
        <f>D104/B1</f>
        <v>0.7195</v>
      </c>
      <c r="F104" s="23">
        <f t="shared" si="4"/>
        <v>4.59</v>
      </c>
      <c r="G104" s="24">
        <f>F104/B2</f>
        <v>0.2295</v>
      </c>
      <c r="H104" s="25">
        <f t="shared" si="5"/>
        <v>19.32</v>
      </c>
      <c r="I104" s="26">
        <f>H104/B3</f>
        <v>0.966</v>
      </c>
      <c r="J104" s="22">
        <v>0.0</v>
      </c>
      <c r="K104" s="22">
        <v>0.0</v>
      </c>
      <c r="L104" s="22">
        <v>0.0</v>
      </c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</row>
    <row r="105">
      <c r="A105" s="12">
        <v>46086.0</v>
      </c>
      <c r="B105" s="21" t="s">
        <v>61</v>
      </c>
      <c r="C105" s="2">
        <v>0.0</v>
      </c>
      <c r="D105" s="23">
        <f t="shared" si="3"/>
        <v>14.39</v>
      </c>
      <c r="E105" s="24">
        <f>D105/B1</f>
        <v>0.7195</v>
      </c>
      <c r="F105" s="23">
        <f t="shared" si="4"/>
        <v>4.59</v>
      </c>
      <c r="G105" s="24">
        <f>F105/B2</f>
        <v>0.2295</v>
      </c>
      <c r="H105" s="25">
        <f t="shared" si="5"/>
        <v>19.32</v>
      </c>
      <c r="I105" s="26">
        <f>H105/B3</f>
        <v>0.966</v>
      </c>
      <c r="J105" s="22">
        <v>0.0</v>
      </c>
      <c r="K105" s="22">
        <v>0.0</v>
      </c>
      <c r="L105" s="22">
        <v>0.0</v>
      </c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</row>
    <row r="106">
      <c r="A106" s="12">
        <v>46086.0</v>
      </c>
      <c r="B106" s="21" t="s">
        <v>62</v>
      </c>
      <c r="C106" s="2">
        <v>0.0</v>
      </c>
      <c r="D106" s="23">
        <f t="shared" si="3"/>
        <v>14.39</v>
      </c>
      <c r="E106" s="24">
        <f>D106/B1</f>
        <v>0.7195</v>
      </c>
      <c r="F106" s="23">
        <f t="shared" si="4"/>
        <v>4.59</v>
      </c>
      <c r="G106" s="24">
        <f>F106/B2</f>
        <v>0.2295</v>
      </c>
      <c r="H106" s="25">
        <f t="shared" si="5"/>
        <v>19.32</v>
      </c>
      <c r="I106" s="26">
        <f>H106/B3</f>
        <v>0.966</v>
      </c>
      <c r="J106" s="22">
        <v>0.0</v>
      </c>
      <c r="K106" s="22">
        <v>0.0</v>
      </c>
      <c r="L106" s="22">
        <v>0.0</v>
      </c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</row>
    <row r="107">
      <c r="A107" s="12">
        <v>46086.0</v>
      </c>
      <c r="B107" s="21" t="s">
        <v>63</v>
      </c>
      <c r="C107" s="2">
        <v>0.0</v>
      </c>
      <c r="D107" s="23">
        <f t="shared" si="3"/>
        <v>14.39</v>
      </c>
      <c r="E107" s="24">
        <f>D107/B1</f>
        <v>0.7195</v>
      </c>
      <c r="F107" s="23">
        <f t="shared" si="4"/>
        <v>4.59</v>
      </c>
      <c r="G107" s="24">
        <f>F107/B2</f>
        <v>0.2295</v>
      </c>
      <c r="H107" s="25">
        <f t="shared" si="5"/>
        <v>19.32</v>
      </c>
      <c r="I107" s="26">
        <f>H107/B3</f>
        <v>0.966</v>
      </c>
      <c r="J107" s="22">
        <v>0.0</v>
      </c>
      <c r="K107" s="22">
        <v>0.0</v>
      </c>
      <c r="L107" s="22">
        <v>0.0</v>
      </c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</row>
    <row r="108">
      <c r="A108" s="12">
        <v>46087.0</v>
      </c>
      <c r="B108" s="21" t="s">
        <v>61</v>
      </c>
      <c r="C108" s="2">
        <v>1.75</v>
      </c>
      <c r="D108" s="23">
        <f t="shared" si="3"/>
        <v>12.64</v>
      </c>
      <c r="E108" s="24">
        <f>D108/B1</f>
        <v>0.632</v>
      </c>
      <c r="F108" s="23">
        <f t="shared" si="4"/>
        <v>4.59</v>
      </c>
      <c r="G108" s="24">
        <f>F108/B2</f>
        <v>0.2295</v>
      </c>
      <c r="H108" s="25">
        <f t="shared" si="5"/>
        <v>19.32</v>
      </c>
      <c r="I108" s="26">
        <f>H108/B3</f>
        <v>0.966</v>
      </c>
      <c r="J108" s="22">
        <v>0.0</v>
      </c>
      <c r="K108" s="22">
        <v>0.0</v>
      </c>
      <c r="L108" s="22">
        <v>0.0</v>
      </c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</row>
    <row r="109">
      <c r="A109" s="12">
        <v>46087.0</v>
      </c>
      <c r="B109" s="21" t="s">
        <v>62</v>
      </c>
      <c r="C109" s="2">
        <v>1.67</v>
      </c>
      <c r="D109" s="23">
        <f t="shared" si="3"/>
        <v>12.64</v>
      </c>
      <c r="E109" s="24">
        <f>D109/B1</f>
        <v>0.632</v>
      </c>
      <c r="F109" s="23">
        <f t="shared" si="4"/>
        <v>2.92</v>
      </c>
      <c r="G109" s="24">
        <f>F109/B2</f>
        <v>0.146</v>
      </c>
      <c r="H109" s="25">
        <f t="shared" si="5"/>
        <v>19.32</v>
      </c>
      <c r="I109" s="26">
        <f>H109/B3</f>
        <v>0.966</v>
      </c>
      <c r="J109" s="22">
        <v>0.0</v>
      </c>
      <c r="K109" s="22">
        <v>0.0</v>
      </c>
      <c r="L109" s="22">
        <v>0.0</v>
      </c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</row>
    <row r="110">
      <c r="A110" s="12">
        <v>46087.0</v>
      </c>
      <c r="B110" s="21" t="s">
        <v>63</v>
      </c>
      <c r="C110" s="2">
        <v>0.0</v>
      </c>
      <c r="D110" s="23">
        <f t="shared" si="3"/>
        <v>12.64</v>
      </c>
      <c r="E110" s="24">
        <f>D110/B1</f>
        <v>0.632</v>
      </c>
      <c r="F110" s="23">
        <f t="shared" si="4"/>
        <v>2.92</v>
      </c>
      <c r="G110" s="24">
        <f>F110/B2</f>
        <v>0.146</v>
      </c>
      <c r="H110" s="25">
        <f t="shared" si="5"/>
        <v>19.32</v>
      </c>
      <c r="I110" s="26">
        <f>H110/B3</f>
        <v>0.966</v>
      </c>
      <c r="J110" s="22">
        <v>0.0</v>
      </c>
      <c r="K110" s="22">
        <v>0.0</v>
      </c>
      <c r="L110" s="22">
        <v>0.0</v>
      </c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</row>
    <row r="111">
      <c r="A111" s="12">
        <v>46088.0</v>
      </c>
      <c r="B111" s="21" t="s">
        <v>61</v>
      </c>
      <c r="C111" s="2">
        <v>0.0</v>
      </c>
      <c r="D111" s="23">
        <f t="shared" si="3"/>
        <v>12.64</v>
      </c>
      <c r="E111" s="24">
        <f>D111/B1</f>
        <v>0.632</v>
      </c>
      <c r="F111" s="23">
        <f t="shared" si="4"/>
        <v>2.92</v>
      </c>
      <c r="G111" s="24">
        <f>F111/B2</f>
        <v>0.146</v>
      </c>
      <c r="H111" s="25">
        <f t="shared" si="5"/>
        <v>19.32</v>
      </c>
      <c r="I111" s="26">
        <f>H111/B3</f>
        <v>0.966</v>
      </c>
      <c r="J111" s="22">
        <v>0.0</v>
      </c>
      <c r="K111" s="22">
        <v>0.0</v>
      </c>
      <c r="L111" s="22">
        <v>0.0</v>
      </c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</row>
    <row r="112">
      <c r="A112" s="12">
        <v>46088.0</v>
      </c>
      <c r="B112" s="21" t="s">
        <v>62</v>
      </c>
      <c r="C112" s="2">
        <v>1.78</v>
      </c>
      <c r="D112" s="23">
        <f t="shared" si="3"/>
        <v>12.64</v>
      </c>
      <c r="E112" s="24">
        <f>D112/B1</f>
        <v>0.632</v>
      </c>
      <c r="F112" s="23">
        <f t="shared" si="4"/>
        <v>1.14</v>
      </c>
      <c r="G112" s="30" t="s">
        <v>137</v>
      </c>
      <c r="H112" s="25">
        <f t="shared" si="5"/>
        <v>19.32</v>
      </c>
      <c r="I112" s="26">
        <f>H112/B3</f>
        <v>0.966</v>
      </c>
      <c r="J112" s="22">
        <v>0.0</v>
      </c>
      <c r="K112" s="22">
        <v>0.0</v>
      </c>
      <c r="L112" s="22">
        <v>0.0</v>
      </c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</row>
    <row r="113">
      <c r="A113" s="12">
        <v>46088.0</v>
      </c>
      <c r="B113" s="21" t="s">
        <v>63</v>
      </c>
      <c r="C113" s="2">
        <v>0.0</v>
      </c>
      <c r="D113" s="23">
        <f t="shared" si="3"/>
        <v>12.64</v>
      </c>
      <c r="E113" s="24">
        <f>D113/B1</f>
        <v>0.632</v>
      </c>
      <c r="F113" s="23">
        <f t="shared" si="4"/>
        <v>1.14</v>
      </c>
      <c r="G113" s="24">
        <f>F113/B2</f>
        <v>0.057</v>
      </c>
      <c r="H113" s="25">
        <f t="shared" si="5"/>
        <v>19.32</v>
      </c>
      <c r="I113" s="26">
        <f>H113/B3</f>
        <v>0.966</v>
      </c>
      <c r="J113" s="22">
        <v>0.0</v>
      </c>
      <c r="K113" s="22">
        <v>0.0</v>
      </c>
      <c r="L113" s="22">
        <v>0.0</v>
      </c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</row>
    <row r="114">
      <c r="A114" s="12">
        <v>46089.0</v>
      </c>
      <c r="B114" s="21" t="s">
        <v>61</v>
      </c>
      <c r="C114" s="2">
        <v>1.54</v>
      </c>
      <c r="D114" s="23">
        <f t="shared" si="3"/>
        <v>11.1</v>
      </c>
      <c r="E114" s="24">
        <f>D114/B1</f>
        <v>0.555</v>
      </c>
      <c r="F114" s="23">
        <f t="shared" si="4"/>
        <v>1.14</v>
      </c>
      <c r="G114" s="24">
        <f>F114/B2</f>
        <v>0.057</v>
      </c>
      <c r="H114" s="25">
        <f t="shared" si="5"/>
        <v>19.32</v>
      </c>
      <c r="I114" s="26">
        <f>H114/B3</f>
        <v>0.966</v>
      </c>
      <c r="J114" s="22">
        <v>0.0</v>
      </c>
      <c r="K114" s="22">
        <v>0.0</v>
      </c>
      <c r="L114" s="22">
        <v>0.0</v>
      </c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</row>
    <row r="115">
      <c r="A115" s="12">
        <v>46089.0</v>
      </c>
      <c r="B115" s="21" t="s">
        <v>62</v>
      </c>
      <c r="C115" s="2">
        <v>1.14</v>
      </c>
      <c r="D115" s="23">
        <f t="shared" si="3"/>
        <v>11.1</v>
      </c>
      <c r="E115" s="24">
        <f>D115/B1</f>
        <v>0.555</v>
      </c>
      <c r="F115" s="23">
        <f t="shared" si="4"/>
        <v>0</v>
      </c>
      <c r="G115" s="24">
        <f>F115/B2</f>
        <v>0</v>
      </c>
      <c r="H115" s="25">
        <f t="shared" si="5"/>
        <v>19.32</v>
      </c>
      <c r="I115" s="26">
        <f>H115/B3</f>
        <v>0.966</v>
      </c>
      <c r="J115" s="22">
        <v>0.0</v>
      </c>
      <c r="K115" s="22">
        <v>0.0</v>
      </c>
      <c r="L115" s="22">
        <v>0.0</v>
      </c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</row>
    <row r="116">
      <c r="A116" s="12">
        <v>46089.0</v>
      </c>
      <c r="B116" s="21" t="s">
        <v>63</v>
      </c>
      <c r="C116" s="2">
        <v>0.0</v>
      </c>
      <c r="D116" s="23">
        <f t="shared" si="3"/>
        <v>11.1</v>
      </c>
      <c r="E116" s="24">
        <f>D116/B1</f>
        <v>0.555</v>
      </c>
      <c r="F116" s="23">
        <f t="shared" si="4"/>
        <v>0</v>
      </c>
      <c r="G116" s="24">
        <f>F116/B2</f>
        <v>0</v>
      </c>
      <c r="H116" s="25">
        <f t="shared" si="5"/>
        <v>19.32</v>
      </c>
      <c r="I116" s="26">
        <f>H116/B3</f>
        <v>0.966</v>
      </c>
      <c r="J116" s="22">
        <v>0.0</v>
      </c>
      <c r="K116" s="22">
        <v>0.0</v>
      </c>
      <c r="L116" s="22">
        <v>0.0</v>
      </c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</row>
    <row r="117">
      <c r="A117" s="12">
        <v>46090.0</v>
      </c>
      <c r="B117" s="21" t="s">
        <v>61</v>
      </c>
      <c r="C117" s="2">
        <v>0.0</v>
      </c>
      <c r="D117" s="23">
        <f t="shared" si="3"/>
        <v>11.1</v>
      </c>
      <c r="E117" s="24">
        <f>D117/B1</f>
        <v>0.555</v>
      </c>
      <c r="F117" s="23">
        <f t="shared" si="4"/>
        <v>0</v>
      </c>
      <c r="G117" s="24">
        <f>F117/B2</f>
        <v>0</v>
      </c>
      <c r="H117" s="25">
        <f t="shared" si="5"/>
        <v>19.32</v>
      </c>
      <c r="I117" s="26">
        <f>H117/B3</f>
        <v>0.966</v>
      </c>
      <c r="J117" s="22">
        <v>0.0</v>
      </c>
      <c r="K117" s="22">
        <v>0.0</v>
      </c>
      <c r="L117" s="22">
        <v>0.0</v>
      </c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</row>
    <row r="118">
      <c r="A118" s="12">
        <v>46090.0</v>
      </c>
      <c r="B118" s="21" t="s">
        <v>62</v>
      </c>
      <c r="C118" s="2">
        <v>0.0</v>
      </c>
      <c r="D118" s="23">
        <f t="shared" si="3"/>
        <v>11.1</v>
      </c>
      <c r="E118" s="24">
        <f>D118/B1</f>
        <v>0.555</v>
      </c>
      <c r="F118" s="23">
        <f t="shared" si="4"/>
        <v>0</v>
      </c>
      <c r="G118" s="24">
        <f>F118/B2</f>
        <v>0</v>
      </c>
      <c r="H118" s="25">
        <f t="shared" si="5"/>
        <v>19.32</v>
      </c>
      <c r="I118" s="26">
        <f>H118/B3</f>
        <v>0.966</v>
      </c>
      <c r="J118" s="22">
        <v>0.0</v>
      </c>
      <c r="K118" s="22">
        <v>0.0</v>
      </c>
      <c r="L118" s="22">
        <v>0.0</v>
      </c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</row>
    <row r="119">
      <c r="A119" s="12">
        <v>46090.0</v>
      </c>
      <c r="B119" s="21" t="s">
        <v>63</v>
      </c>
      <c r="C119" s="2">
        <v>0.0</v>
      </c>
      <c r="D119" s="23">
        <f t="shared" si="3"/>
        <v>11.1</v>
      </c>
      <c r="E119" s="24">
        <f>D119/B1</f>
        <v>0.555</v>
      </c>
      <c r="F119" s="23">
        <f t="shared" si="4"/>
        <v>0</v>
      </c>
      <c r="G119" s="24">
        <f>F119/B2</f>
        <v>0</v>
      </c>
      <c r="H119" s="25">
        <f t="shared" si="5"/>
        <v>19.32</v>
      </c>
      <c r="I119" s="26">
        <f>H119/B3</f>
        <v>0.966</v>
      </c>
      <c r="J119" s="22">
        <v>0.0</v>
      </c>
      <c r="K119" s="22">
        <v>0.0</v>
      </c>
      <c r="L119" s="22">
        <v>0.0</v>
      </c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</row>
    <row r="120">
      <c r="A120" s="12">
        <v>46091.0</v>
      </c>
      <c r="B120" s="21" t="s">
        <v>61</v>
      </c>
      <c r="C120" s="2">
        <v>0.0</v>
      </c>
      <c r="D120" s="23">
        <f t="shared" si="3"/>
        <v>11.1</v>
      </c>
      <c r="E120" s="24">
        <f>D120/B1</f>
        <v>0.555</v>
      </c>
      <c r="F120" s="23">
        <f t="shared" si="4"/>
        <v>0</v>
      </c>
      <c r="G120" s="24">
        <f>F120/B2</f>
        <v>0</v>
      </c>
      <c r="H120" s="25">
        <f t="shared" si="5"/>
        <v>19.32</v>
      </c>
      <c r="I120" s="26">
        <f>H120/B3</f>
        <v>0.966</v>
      </c>
      <c r="J120" s="22">
        <v>0.0</v>
      </c>
      <c r="K120" s="22">
        <v>0.0</v>
      </c>
      <c r="L120" s="22">
        <v>0.0</v>
      </c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</row>
    <row r="121">
      <c r="A121" s="12">
        <v>46091.0</v>
      </c>
      <c r="B121" s="21" t="s">
        <v>62</v>
      </c>
      <c r="C121" s="2">
        <v>0.0</v>
      </c>
      <c r="D121" s="23">
        <f t="shared" si="3"/>
        <v>11.1</v>
      </c>
      <c r="E121" s="24">
        <f>D121/B1</f>
        <v>0.555</v>
      </c>
      <c r="F121" s="23">
        <f t="shared" si="4"/>
        <v>0</v>
      </c>
      <c r="G121" s="24">
        <f>F121/B2</f>
        <v>0</v>
      </c>
      <c r="H121" s="25">
        <f t="shared" si="5"/>
        <v>19.32</v>
      </c>
      <c r="I121" s="26">
        <f>H121/B3</f>
        <v>0.966</v>
      </c>
      <c r="J121" s="22">
        <v>0.0</v>
      </c>
      <c r="K121" s="22">
        <v>0.0</v>
      </c>
      <c r="L121" s="22">
        <v>0.0</v>
      </c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</row>
    <row r="122">
      <c r="A122" s="12">
        <v>46091.0</v>
      </c>
      <c r="B122" s="21" t="s">
        <v>63</v>
      </c>
      <c r="C122" s="2">
        <v>0.0</v>
      </c>
      <c r="D122" s="23">
        <f t="shared" si="3"/>
        <v>11.1</v>
      </c>
      <c r="E122" s="24">
        <f>D122/B1</f>
        <v>0.555</v>
      </c>
      <c r="F122" s="23">
        <f t="shared" si="4"/>
        <v>0</v>
      </c>
      <c r="G122" s="24">
        <f>F122/B2</f>
        <v>0</v>
      </c>
      <c r="H122" s="25">
        <f t="shared" si="5"/>
        <v>19.32</v>
      </c>
      <c r="I122" s="26">
        <f>H122/B3</f>
        <v>0.966</v>
      </c>
      <c r="J122" s="22">
        <v>0.0</v>
      </c>
      <c r="K122" s="22">
        <v>0.0</v>
      </c>
      <c r="L122" s="22">
        <v>0.0</v>
      </c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</row>
    <row r="123">
      <c r="A123" s="12">
        <v>46092.0</v>
      </c>
      <c r="B123" s="21" t="s">
        <v>61</v>
      </c>
      <c r="C123" s="2">
        <v>0.0</v>
      </c>
      <c r="D123" s="23">
        <f t="shared" si="3"/>
        <v>11.1</v>
      </c>
      <c r="E123" s="24">
        <f>D123/B1</f>
        <v>0.555</v>
      </c>
      <c r="F123" s="23">
        <f t="shared" si="4"/>
        <v>0</v>
      </c>
      <c r="G123" s="24">
        <f>F123/B2</f>
        <v>0</v>
      </c>
      <c r="H123" s="25">
        <f t="shared" si="5"/>
        <v>19.32</v>
      </c>
      <c r="I123" s="26">
        <f>H123/B3</f>
        <v>0.966</v>
      </c>
      <c r="J123" s="22">
        <v>0.0</v>
      </c>
      <c r="K123" s="22">
        <v>0.0</v>
      </c>
      <c r="L123" s="22">
        <v>0.0</v>
      </c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</row>
    <row r="124">
      <c r="A124" s="12">
        <v>46092.0</v>
      </c>
      <c r="B124" s="21" t="s">
        <v>62</v>
      </c>
      <c r="C124" s="2">
        <v>0.0</v>
      </c>
      <c r="D124" s="23">
        <f t="shared" si="3"/>
        <v>11.1</v>
      </c>
      <c r="E124" s="24">
        <f>D124/B1</f>
        <v>0.555</v>
      </c>
      <c r="F124" s="23">
        <f t="shared" si="4"/>
        <v>0</v>
      </c>
      <c r="G124" s="24">
        <f>F124/B2</f>
        <v>0</v>
      </c>
      <c r="H124" s="25">
        <f t="shared" si="5"/>
        <v>19.32</v>
      </c>
      <c r="I124" s="26">
        <f>H124/B3</f>
        <v>0.966</v>
      </c>
      <c r="J124" s="22">
        <v>0.0</v>
      </c>
      <c r="K124" s="22">
        <v>0.0</v>
      </c>
      <c r="L124" s="22">
        <v>0.0</v>
      </c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</row>
    <row r="125">
      <c r="A125" s="12">
        <v>46092.0</v>
      </c>
      <c r="B125" s="21" t="s">
        <v>63</v>
      </c>
      <c r="C125" s="2">
        <v>0.0</v>
      </c>
      <c r="D125" s="23">
        <f t="shared" si="3"/>
        <v>11.1</v>
      </c>
      <c r="E125" s="24">
        <f>D125/B1</f>
        <v>0.555</v>
      </c>
      <c r="F125" s="23">
        <f t="shared" si="4"/>
        <v>0</v>
      </c>
      <c r="G125" s="24">
        <f>F125/B2</f>
        <v>0</v>
      </c>
      <c r="H125" s="25">
        <f t="shared" si="5"/>
        <v>19.32</v>
      </c>
      <c r="I125" s="26">
        <f>H125/B3</f>
        <v>0.966</v>
      </c>
      <c r="J125" s="22">
        <v>0.0</v>
      </c>
      <c r="K125" s="22">
        <v>0.0</v>
      </c>
      <c r="L125" s="22">
        <v>0.0</v>
      </c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</row>
    <row r="126">
      <c r="A126" s="12">
        <v>46093.0</v>
      </c>
      <c r="B126" s="21" t="s">
        <v>61</v>
      </c>
      <c r="C126" s="2">
        <v>1.78</v>
      </c>
      <c r="D126" s="23">
        <f t="shared" si="3"/>
        <v>9.32</v>
      </c>
      <c r="E126" s="24">
        <f>D126/B1</f>
        <v>0.466</v>
      </c>
      <c r="F126" s="23">
        <f t="shared" si="4"/>
        <v>0</v>
      </c>
      <c r="G126" s="24">
        <f>F126/B2</f>
        <v>0</v>
      </c>
      <c r="H126" s="25">
        <f t="shared" si="5"/>
        <v>19.32</v>
      </c>
      <c r="I126" s="26">
        <f>H126/B3</f>
        <v>0.966</v>
      </c>
      <c r="J126" s="22">
        <v>0.0</v>
      </c>
      <c r="K126" s="22">
        <v>0.0</v>
      </c>
      <c r="L126" s="22">
        <v>0.0</v>
      </c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</row>
    <row r="127">
      <c r="A127" s="12">
        <v>46093.0</v>
      </c>
      <c r="B127" s="21" t="s">
        <v>62</v>
      </c>
      <c r="C127" s="2">
        <v>0.0</v>
      </c>
      <c r="D127" s="23">
        <f t="shared" si="3"/>
        <v>9.32</v>
      </c>
      <c r="E127" s="24">
        <f>D127/B1</f>
        <v>0.466</v>
      </c>
      <c r="F127" s="23">
        <f t="shared" si="4"/>
        <v>0</v>
      </c>
      <c r="G127" s="24">
        <f>F127/B2</f>
        <v>0</v>
      </c>
      <c r="H127" s="25">
        <f t="shared" si="5"/>
        <v>19.32</v>
      </c>
      <c r="I127" s="26">
        <f>H127/B3</f>
        <v>0.966</v>
      </c>
      <c r="J127" s="22">
        <v>0.0</v>
      </c>
      <c r="K127" s="22">
        <v>0.0</v>
      </c>
      <c r="L127" s="22">
        <v>0.0</v>
      </c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</row>
    <row r="128">
      <c r="A128" s="12">
        <v>46093.0</v>
      </c>
      <c r="B128" s="21" t="s">
        <v>63</v>
      </c>
      <c r="C128" s="2">
        <v>0.0</v>
      </c>
      <c r="D128" s="23">
        <f t="shared" si="3"/>
        <v>9.32</v>
      </c>
      <c r="E128" s="24">
        <f>D128/B1</f>
        <v>0.466</v>
      </c>
      <c r="F128" s="23">
        <f t="shared" si="4"/>
        <v>0</v>
      </c>
      <c r="G128" s="24">
        <f>F128/B2</f>
        <v>0</v>
      </c>
      <c r="H128" s="25">
        <f t="shared" si="5"/>
        <v>19.32</v>
      </c>
      <c r="I128" s="26">
        <f>H128/B3</f>
        <v>0.966</v>
      </c>
      <c r="J128" s="22">
        <v>0.0</v>
      </c>
      <c r="K128" s="22">
        <v>0.0</v>
      </c>
      <c r="L128" s="22">
        <v>0.0</v>
      </c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</row>
    <row r="129">
      <c r="A129" s="12">
        <v>46094.0</v>
      </c>
      <c r="B129" s="6" t="s">
        <v>61</v>
      </c>
      <c r="C129" s="2">
        <v>0.0</v>
      </c>
      <c r="D129" s="16">
        <f t="shared" si="3"/>
        <v>9.32</v>
      </c>
      <c r="E129" s="17">
        <f>D129/B1</f>
        <v>0.466</v>
      </c>
      <c r="F129" s="16">
        <f t="shared" si="4"/>
        <v>0</v>
      </c>
      <c r="G129" s="17">
        <f>F129/B2</f>
        <v>0</v>
      </c>
      <c r="H129" s="15">
        <f t="shared" si="5"/>
        <v>19.32</v>
      </c>
      <c r="I129" s="14">
        <f>H129/B3</f>
        <v>0.966</v>
      </c>
      <c r="J129" s="2">
        <v>0.0</v>
      </c>
      <c r="K129" s="2">
        <v>0.0</v>
      </c>
      <c r="L129" s="2">
        <v>0.0</v>
      </c>
    </row>
    <row r="130">
      <c r="A130" s="12">
        <v>46094.0</v>
      </c>
      <c r="B130" s="6" t="s">
        <v>62</v>
      </c>
      <c r="C130" s="2">
        <v>0.0</v>
      </c>
      <c r="D130" s="16">
        <f t="shared" si="3"/>
        <v>9.32</v>
      </c>
      <c r="E130" s="17">
        <f>D130/B1</f>
        <v>0.466</v>
      </c>
      <c r="F130" s="16">
        <f t="shared" si="4"/>
        <v>0</v>
      </c>
      <c r="G130" s="17">
        <f>F130/B2</f>
        <v>0</v>
      </c>
      <c r="H130" s="15">
        <f t="shared" si="5"/>
        <v>19.32</v>
      </c>
      <c r="I130" s="14">
        <f>H130/B3</f>
        <v>0.966</v>
      </c>
      <c r="J130" s="2">
        <v>0.0</v>
      </c>
      <c r="K130" s="2">
        <v>0.0</v>
      </c>
      <c r="L130" s="2">
        <v>0.0</v>
      </c>
    </row>
    <row r="131">
      <c r="A131" s="12">
        <v>46094.0</v>
      </c>
      <c r="B131" s="6" t="s">
        <v>63</v>
      </c>
      <c r="C131" s="2">
        <v>1.13</v>
      </c>
      <c r="D131" s="16">
        <f t="shared" si="3"/>
        <v>9.32</v>
      </c>
      <c r="E131" s="17">
        <f>D131/B1</f>
        <v>0.466</v>
      </c>
      <c r="F131" s="16">
        <f t="shared" si="4"/>
        <v>0</v>
      </c>
      <c r="G131" s="17">
        <f>F131/B2</f>
        <v>0</v>
      </c>
      <c r="H131" s="15">
        <f t="shared" si="5"/>
        <v>18.19</v>
      </c>
      <c r="I131" s="14">
        <f>H131/B3</f>
        <v>0.9095</v>
      </c>
      <c r="J131" s="2">
        <v>0.0</v>
      </c>
      <c r="K131" s="2">
        <v>0.0</v>
      </c>
      <c r="L131" s="2">
        <v>0.0</v>
      </c>
    </row>
    <row r="132">
      <c r="A132" s="12">
        <v>46095.0</v>
      </c>
      <c r="B132" s="6" t="s">
        <v>61</v>
      </c>
      <c r="C132" s="2">
        <v>0.0</v>
      </c>
      <c r="D132" s="16">
        <f t="shared" si="3"/>
        <v>9.32</v>
      </c>
      <c r="E132" s="17">
        <f>D132/B1</f>
        <v>0.466</v>
      </c>
      <c r="F132" s="16">
        <f t="shared" si="4"/>
        <v>0</v>
      </c>
      <c r="G132" s="17">
        <f>F132/B2</f>
        <v>0</v>
      </c>
      <c r="H132" s="15">
        <f t="shared" si="5"/>
        <v>18.19</v>
      </c>
      <c r="I132" s="14">
        <f>H132/B3</f>
        <v>0.9095</v>
      </c>
      <c r="J132" s="2">
        <v>0.0</v>
      </c>
      <c r="K132" s="2">
        <v>0.0</v>
      </c>
      <c r="L132" s="2">
        <v>0.0</v>
      </c>
    </row>
    <row r="133">
      <c r="A133" s="12">
        <v>46095.0</v>
      </c>
      <c r="B133" s="6" t="s">
        <v>62</v>
      </c>
      <c r="C133" s="2">
        <v>0.0</v>
      </c>
      <c r="D133" s="16">
        <f t="shared" si="3"/>
        <v>9.32</v>
      </c>
      <c r="E133" s="17">
        <f>D133/B1</f>
        <v>0.466</v>
      </c>
      <c r="F133" s="16">
        <f t="shared" si="4"/>
        <v>0</v>
      </c>
      <c r="G133" s="17">
        <f>F133/B2</f>
        <v>0</v>
      </c>
      <c r="H133" s="15">
        <f t="shared" si="5"/>
        <v>18.19</v>
      </c>
      <c r="I133" s="14">
        <f>H133/B3</f>
        <v>0.9095</v>
      </c>
      <c r="J133" s="2">
        <v>0.0</v>
      </c>
      <c r="K133" s="2">
        <v>0.0</v>
      </c>
      <c r="L133" s="2">
        <v>0.0</v>
      </c>
    </row>
    <row r="134">
      <c r="A134" s="12">
        <v>46095.0</v>
      </c>
      <c r="B134" s="6" t="s">
        <v>63</v>
      </c>
      <c r="C134" s="2">
        <v>2.02</v>
      </c>
      <c r="D134" s="16">
        <f t="shared" si="3"/>
        <v>9.32</v>
      </c>
      <c r="E134" s="17">
        <f>D134/B1</f>
        <v>0.466</v>
      </c>
      <c r="F134" s="16">
        <f t="shared" si="4"/>
        <v>0</v>
      </c>
      <c r="G134" s="17">
        <f>F134/B2</f>
        <v>0</v>
      </c>
      <c r="H134" s="15">
        <f t="shared" si="5"/>
        <v>16.17</v>
      </c>
      <c r="I134" s="14">
        <f>H134/B3</f>
        <v>0.8085</v>
      </c>
      <c r="J134" s="2">
        <v>0.0</v>
      </c>
      <c r="K134" s="2">
        <v>0.0</v>
      </c>
      <c r="L134" s="2">
        <v>0.0</v>
      </c>
    </row>
    <row r="135">
      <c r="A135" s="12">
        <v>46096.0</v>
      </c>
      <c r="B135" s="6" t="s">
        <v>61</v>
      </c>
      <c r="C135" s="2">
        <v>0.0</v>
      </c>
      <c r="D135" s="16">
        <f t="shared" si="3"/>
        <v>9.32</v>
      </c>
      <c r="E135" s="17">
        <f>D135/B1</f>
        <v>0.466</v>
      </c>
      <c r="F135" s="16">
        <f t="shared" si="4"/>
        <v>0</v>
      </c>
      <c r="G135" s="17">
        <f>F135/B2</f>
        <v>0</v>
      </c>
      <c r="H135" s="15">
        <f t="shared" si="5"/>
        <v>16.17</v>
      </c>
      <c r="I135" s="14">
        <f>H135/B3</f>
        <v>0.8085</v>
      </c>
      <c r="J135" s="2">
        <v>0.0</v>
      </c>
      <c r="K135" s="2">
        <v>0.0</v>
      </c>
      <c r="L135" s="2">
        <v>0.0</v>
      </c>
    </row>
    <row r="136">
      <c r="A136" s="12">
        <v>46096.0</v>
      </c>
      <c r="B136" s="6" t="s">
        <v>62</v>
      </c>
      <c r="C136" s="2">
        <v>0.0</v>
      </c>
      <c r="D136" s="16">
        <f t="shared" si="3"/>
        <v>9.32</v>
      </c>
      <c r="E136" s="17">
        <f>D136/B1</f>
        <v>0.466</v>
      </c>
      <c r="F136" s="16">
        <f t="shared" si="4"/>
        <v>0</v>
      </c>
      <c r="G136" s="17">
        <f>F136/B2</f>
        <v>0</v>
      </c>
      <c r="H136" s="15">
        <f t="shared" si="5"/>
        <v>16.17</v>
      </c>
      <c r="I136" s="14">
        <f>H136/B3</f>
        <v>0.8085</v>
      </c>
      <c r="J136" s="2">
        <v>0.0</v>
      </c>
      <c r="K136" s="2">
        <v>0.0</v>
      </c>
      <c r="L136" s="2">
        <v>0.0</v>
      </c>
    </row>
    <row r="137">
      <c r="A137" s="12">
        <v>46096.0</v>
      </c>
      <c r="B137" s="6" t="s">
        <v>63</v>
      </c>
      <c r="C137" s="2">
        <v>4.03</v>
      </c>
      <c r="D137" s="16">
        <f t="shared" si="3"/>
        <v>9.32</v>
      </c>
      <c r="E137" s="17">
        <f>D137/B1</f>
        <v>0.466</v>
      </c>
      <c r="F137" s="16">
        <f t="shared" si="4"/>
        <v>0</v>
      </c>
      <c r="G137" s="17">
        <f>F137/B2</f>
        <v>0</v>
      </c>
      <c r="H137" s="15">
        <f t="shared" si="5"/>
        <v>12.14</v>
      </c>
      <c r="I137" s="14">
        <f>H137/B3</f>
        <v>0.607</v>
      </c>
      <c r="J137" s="2">
        <v>0.0</v>
      </c>
      <c r="K137" s="2">
        <v>0.0</v>
      </c>
      <c r="L137" s="2">
        <v>0.0</v>
      </c>
    </row>
    <row r="138">
      <c r="A138" s="12">
        <v>46097.0</v>
      </c>
      <c r="B138" s="6" t="s">
        <v>61</v>
      </c>
      <c r="C138" s="2">
        <v>0.0</v>
      </c>
      <c r="D138" s="16">
        <f t="shared" si="3"/>
        <v>9.32</v>
      </c>
      <c r="E138" s="17">
        <f>D138/B1</f>
        <v>0.466</v>
      </c>
      <c r="F138" s="16">
        <f t="shared" si="4"/>
        <v>0</v>
      </c>
      <c r="G138" s="17">
        <f>F138/B2</f>
        <v>0</v>
      </c>
      <c r="H138" s="15">
        <f t="shared" si="5"/>
        <v>12.14</v>
      </c>
      <c r="I138" s="14">
        <f>H138/B3</f>
        <v>0.607</v>
      </c>
      <c r="J138" s="2">
        <v>0.0</v>
      </c>
      <c r="K138" s="2">
        <v>0.0</v>
      </c>
      <c r="L138" s="2">
        <v>0.0</v>
      </c>
    </row>
    <row r="139">
      <c r="A139" s="12">
        <v>46097.0</v>
      </c>
      <c r="B139" s="6" t="s">
        <v>62</v>
      </c>
      <c r="C139" s="2">
        <v>0.0</v>
      </c>
      <c r="D139" s="16">
        <f t="shared" si="3"/>
        <v>9.32</v>
      </c>
      <c r="E139" s="17">
        <f>D139/B1</f>
        <v>0.466</v>
      </c>
      <c r="F139" s="16">
        <f t="shared" si="4"/>
        <v>0</v>
      </c>
      <c r="G139" s="17">
        <f>F139/B2</f>
        <v>0</v>
      </c>
      <c r="H139" s="15">
        <f t="shared" si="5"/>
        <v>12.14</v>
      </c>
      <c r="I139" s="14">
        <f>H139/B3</f>
        <v>0.607</v>
      </c>
      <c r="J139" s="2">
        <v>0.0</v>
      </c>
      <c r="K139" s="2">
        <v>0.0</v>
      </c>
      <c r="L139" s="2">
        <v>0.0</v>
      </c>
    </row>
    <row r="140">
      <c r="A140" s="12">
        <v>46097.0</v>
      </c>
      <c r="B140" s="6" t="s">
        <v>63</v>
      </c>
      <c r="C140" s="2">
        <v>0.0</v>
      </c>
      <c r="D140" s="16">
        <f t="shared" si="3"/>
        <v>9.32</v>
      </c>
      <c r="E140" s="17">
        <f>D140/B1</f>
        <v>0.466</v>
      </c>
      <c r="F140" s="16">
        <f t="shared" si="4"/>
        <v>0</v>
      </c>
      <c r="G140" s="17">
        <f>F140/B2</f>
        <v>0</v>
      </c>
      <c r="H140" s="15">
        <f t="shared" si="5"/>
        <v>12.14</v>
      </c>
      <c r="I140" s="14">
        <f>H140/B3</f>
        <v>0.607</v>
      </c>
      <c r="J140" s="2">
        <v>0.0</v>
      </c>
      <c r="K140" s="2">
        <v>0.0</v>
      </c>
      <c r="L140" s="2">
        <v>0.0</v>
      </c>
    </row>
    <row r="141">
      <c r="A141" s="12">
        <v>46098.0</v>
      </c>
      <c r="B141" s="21" t="s">
        <v>61</v>
      </c>
      <c r="C141" s="2">
        <v>0.0</v>
      </c>
      <c r="D141" s="23">
        <f t="shared" si="3"/>
        <v>9.32</v>
      </c>
      <c r="E141" s="24">
        <f>D141/B1</f>
        <v>0.466</v>
      </c>
      <c r="F141" s="23">
        <f t="shared" si="4"/>
        <v>0</v>
      </c>
      <c r="G141" s="24">
        <f>F141/B2</f>
        <v>0</v>
      </c>
      <c r="H141" s="25">
        <f t="shared" si="5"/>
        <v>12.14</v>
      </c>
      <c r="I141" s="26">
        <f>H141/B3</f>
        <v>0.607</v>
      </c>
      <c r="J141" s="22">
        <v>0.0</v>
      </c>
      <c r="K141" s="22">
        <v>0.0</v>
      </c>
      <c r="L141" s="22">
        <v>0.0</v>
      </c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</row>
    <row r="142">
      <c r="A142" s="12">
        <v>46098.0</v>
      </c>
      <c r="B142" s="21" t="s">
        <v>62</v>
      </c>
      <c r="C142" s="2">
        <v>0.0</v>
      </c>
      <c r="D142" s="23">
        <f t="shared" si="3"/>
        <v>9.32</v>
      </c>
      <c r="E142" s="24">
        <f>D142/B1</f>
        <v>0.466</v>
      </c>
      <c r="F142" s="23">
        <f t="shared" si="4"/>
        <v>0</v>
      </c>
      <c r="G142" s="24">
        <f>F142/B2</f>
        <v>0</v>
      </c>
      <c r="H142" s="25">
        <f t="shared" si="5"/>
        <v>12.14</v>
      </c>
      <c r="I142" s="26">
        <f>H142/B3</f>
        <v>0.607</v>
      </c>
      <c r="J142" s="22">
        <v>0.0</v>
      </c>
      <c r="K142" s="22">
        <v>0.0</v>
      </c>
      <c r="L142" s="22">
        <v>0.0</v>
      </c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</row>
    <row r="143">
      <c r="A143" s="12">
        <v>46098.0</v>
      </c>
      <c r="B143" s="21" t="s">
        <v>63</v>
      </c>
      <c r="C143" s="2">
        <v>0.0</v>
      </c>
      <c r="D143" s="23">
        <f t="shared" si="3"/>
        <v>9.32</v>
      </c>
      <c r="E143" s="24">
        <f>D143/B1</f>
        <v>0.466</v>
      </c>
      <c r="F143" s="23">
        <f t="shared" si="4"/>
        <v>0</v>
      </c>
      <c r="G143" s="24">
        <f>F143/B2</f>
        <v>0</v>
      </c>
      <c r="H143" s="25">
        <f t="shared" si="5"/>
        <v>12.14</v>
      </c>
      <c r="I143" s="26">
        <f>H143/B3</f>
        <v>0.607</v>
      </c>
      <c r="J143" s="22">
        <v>0.0</v>
      </c>
      <c r="K143" s="22">
        <v>0.0</v>
      </c>
      <c r="L143" s="22">
        <v>0.0</v>
      </c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</row>
    <row r="144">
      <c r="A144" s="12">
        <v>46099.0</v>
      </c>
      <c r="B144" s="21" t="s">
        <v>61</v>
      </c>
      <c r="C144" s="2">
        <v>0.0</v>
      </c>
      <c r="D144" s="23">
        <f t="shared" si="3"/>
        <v>9.32</v>
      </c>
      <c r="E144" s="24">
        <f>D144/B1</f>
        <v>0.466</v>
      </c>
      <c r="F144" s="23">
        <f t="shared" si="4"/>
        <v>0</v>
      </c>
      <c r="G144" s="24">
        <f>F144/B2</f>
        <v>0</v>
      </c>
      <c r="H144" s="25">
        <f t="shared" si="5"/>
        <v>12.14</v>
      </c>
      <c r="I144" s="26">
        <f>H144/B3</f>
        <v>0.607</v>
      </c>
      <c r="J144" s="22">
        <v>0.0</v>
      </c>
      <c r="K144" s="22">
        <v>0.0</v>
      </c>
      <c r="L144" s="22">
        <v>0.0</v>
      </c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</row>
    <row r="145">
      <c r="A145" s="12">
        <v>46099.0</v>
      </c>
      <c r="B145" s="21" t="s">
        <v>62</v>
      </c>
      <c r="C145" s="2">
        <v>0.0</v>
      </c>
      <c r="D145" s="23">
        <f t="shared" si="3"/>
        <v>9.32</v>
      </c>
      <c r="E145" s="24">
        <f>D145/B1</f>
        <v>0.466</v>
      </c>
      <c r="F145" s="23">
        <f t="shared" si="4"/>
        <v>0</v>
      </c>
      <c r="G145" s="24">
        <f>F145/B2</f>
        <v>0</v>
      </c>
      <c r="H145" s="25">
        <f t="shared" si="5"/>
        <v>12.14</v>
      </c>
      <c r="I145" s="26">
        <f>H145/B3</f>
        <v>0.607</v>
      </c>
      <c r="J145" s="22">
        <v>0.0</v>
      </c>
      <c r="K145" s="22">
        <v>0.0</v>
      </c>
      <c r="L145" s="22">
        <v>0.0</v>
      </c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</row>
    <row r="146">
      <c r="A146" s="12">
        <v>46099.0</v>
      </c>
      <c r="B146" s="21" t="s">
        <v>63</v>
      </c>
      <c r="C146" s="2">
        <v>0.0</v>
      </c>
      <c r="D146" s="23">
        <f t="shared" si="3"/>
        <v>9.32</v>
      </c>
      <c r="E146" s="24">
        <f>D146/B1</f>
        <v>0.466</v>
      </c>
      <c r="F146" s="23">
        <f t="shared" si="4"/>
        <v>0</v>
      </c>
      <c r="G146" s="24">
        <f>F146/B2</f>
        <v>0</v>
      </c>
      <c r="H146" s="25">
        <f t="shared" si="5"/>
        <v>12.14</v>
      </c>
      <c r="I146" s="26">
        <f>H146/B3</f>
        <v>0.607</v>
      </c>
      <c r="J146" s="22">
        <v>0.0</v>
      </c>
      <c r="K146" s="22">
        <v>0.0</v>
      </c>
      <c r="L146" s="22">
        <v>0.0</v>
      </c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</row>
    <row r="147">
      <c r="A147" s="12">
        <v>46100.0</v>
      </c>
      <c r="B147" s="21" t="s">
        <v>61</v>
      </c>
      <c r="C147" s="2">
        <v>0.0</v>
      </c>
      <c r="D147" s="23">
        <f t="shared" si="3"/>
        <v>9.32</v>
      </c>
      <c r="E147" s="24">
        <f>D147/B1</f>
        <v>0.466</v>
      </c>
      <c r="F147" s="23">
        <f t="shared" si="4"/>
        <v>0</v>
      </c>
      <c r="G147" s="24">
        <f>F147/B2</f>
        <v>0</v>
      </c>
      <c r="H147" s="25">
        <f t="shared" si="5"/>
        <v>12.14</v>
      </c>
      <c r="I147" s="26">
        <f>H147/B3</f>
        <v>0.607</v>
      </c>
      <c r="J147" s="22">
        <v>0.0</v>
      </c>
      <c r="K147" s="22">
        <v>0.0</v>
      </c>
      <c r="L147" s="22">
        <v>0.0</v>
      </c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</row>
    <row r="148">
      <c r="A148" s="12">
        <v>46100.0</v>
      </c>
      <c r="B148" s="21" t="s">
        <v>62</v>
      </c>
      <c r="C148" s="2">
        <v>0.0</v>
      </c>
      <c r="D148" s="23">
        <f t="shared" si="3"/>
        <v>9.32</v>
      </c>
      <c r="E148" s="24">
        <f>D148/B1</f>
        <v>0.466</v>
      </c>
      <c r="F148" s="23">
        <f t="shared" si="4"/>
        <v>0</v>
      </c>
      <c r="G148" s="24">
        <f>F148/B2</f>
        <v>0</v>
      </c>
      <c r="H148" s="25">
        <f t="shared" si="5"/>
        <v>12.14</v>
      </c>
      <c r="I148" s="26">
        <f>H148/B3</f>
        <v>0.607</v>
      </c>
      <c r="J148" s="22">
        <v>0.0</v>
      </c>
      <c r="K148" s="22">
        <v>0.0</v>
      </c>
      <c r="L148" s="22">
        <v>0.0</v>
      </c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</row>
    <row r="149">
      <c r="A149" s="12">
        <v>46100.0</v>
      </c>
      <c r="B149" s="21" t="s">
        <v>63</v>
      </c>
      <c r="C149" s="2">
        <v>0.0</v>
      </c>
      <c r="D149" s="23">
        <f t="shared" si="3"/>
        <v>9.32</v>
      </c>
      <c r="E149" s="24">
        <f>D149/B1</f>
        <v>0.466</v>
      </c>
      <c r="F149" s="23">
        <f t="shared" si="4"/>
        <v>0</v>
      </c>
      <c r="G149" s="24">
        <f>F149/B2</f>
        <v>0</v>
      </c>
      <c r="H149" s="25">
        <f t="shared" si="5"/>
        <v>12.14</v>
      </c>
      <c r="I149" s="26">
        <f>H149/B3</f>
        <v>0.607</v>
      </c>
      <c r="J149" s="22">
        <v>0.0</v>
      </c>
      <c r="K149" s="22">
        <v>0.0</v>
      </c>
      <c r="L149" s="22">
        <v>0.0</v>
      </c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</row>
    <row r="150">
      <c r="A150" s="12">
        <v>46101.0</v>
      </c>
      <c r="B150" s="21" t="s">
        <v>61</v>
      </c>
      <c r="C150" s="2">
        <v>0.0</v>
      </c>
      <c r="D150" s="23">
        <f t="shared" si="3"/>
        <v>9.32</v>
      </c>
      <c r="E150" s="24">
        <f>D150/B1</f>
        <v>0.466</v>
      </c>
      <c r="F150" s="23">
        <f t="shared" si="4"/>
        <v>0</v>
      </c>
      <c r="G150" s="24">
        <f>F150/B2</f>
        <v>0</v>
      </c>
      <c r="H150" s="25">
        <f t="shared" si="5"/>
        <v>12.14</v>
      </c>
      <c r="I150" s="26">
        <f>H150/B3</f>
        <v>0.607</v>
      </c>
      <c r="J150" s="22">
        <v>0.0</v>
      </c>
      <c r="K150" s="22">
        <v>0.0</v>
      </c>
      <c r="L150" s="22">
        <v>0.0</v>
      </c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</row>
    <row r="151">
      <c r="A151" s="12">
        <v>46101.0</v>
      </c>
      <c r="B151" s="21" t="s">
        <v>62</v>
      </c>
      <c r="C151" s="2">
        <v>0.0</v>
      </c>
      <c r="D151" s="23">
        <f t="shared" si="3"/>
        <v>9.32</v>
      </c>
      <c r="E151" s="24">
        <f>D151/B1</f>
        <v>0.466</v>
      </c>
      <c r="F151" s="23">
        <f t="shared" si="4"/>
        <v>0</v>
      </c>
      <c r="G151" s="24">
        <f>F151/B2</f>
        <v>0</v>
      </c>
      <c r="H151" s="25">
        <f t="shared" si="5"/>
        <v>12.14</v>
      </c>
      <c r="I151" s="26">
        <f>H151/B3</f>
        <v>0.607</v>
      </c>
      <c r="J151" s="22">
        <v>0.0</v>
      </c>
      <c r="K151" s="22">
        <v>0.0</v>
      </c>
      <c r="L151" s="22">
        <v>0.0</v>
      </c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</row>
    <row r="152">
      <c r="A152" s="12">
        <v>46101.0</v>
      </c>
      <c r="B152" s="21" t="s">
        <v>63</v>
      </c>
      <c r="C152" s="2">
        <v>4.12</v>
      </c>
      <c r="D152" s="23">
        <f t="shared" si="3"/>
        <v>9.32</v>
      </c>
      <c r="E152" s="24">
        <f>D152/B1</f>
        <v>0.466</v>
      </c>
      <c r="F152" s="23">
        <f t="shared" si="4"/>
        <v>0</v>
      </c>
      <c r="G152" s="24">
        <f>F152/B2</f>
        <v>0</v>
      </c>
      <c r="H152" s="25">
        <f t="shared" si="5"/>
        <v>8.02</v>
      </c>
      <c r="I152" s="26">
        <f>H152/B3</f>
        <v>0.401</v>
      </c>
      <c r="J152" s="22">
        <v>0.0</v>
      </c>
      <c r="K152" s="22">
        <v>0.0</v>
      </c>
      <c r="L152" s="22">
        <v>0.0</v>
      </c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</row>
    <row r="153">
      <c r="A153" s="12">
        <v>46102.0</v>
      </c>
      <c r="B153" s="21" t="s">
        <v>61</v>
      </c>
      <c r="C153" s="2">
        <v>0.0</v>
      </c>
      <c r="D153" s="23">
        <f t="shared" si="3"/>
        <v>9.32</v>
      </c>
      <c r="E153" s="24">
        <f>D153/B1</f>
        <v>0.466</v>
      </c>
      <c r="F153" s="23">
        <f t="shared" si="4"/>
        <v>0</v>
      </c>
      <c r="G153" s="24">
        <f>F153/B2</f>
        <v>0</v>
      </c>
      <c r="H153" s="25">
        <f t="shared" si="5"/>
        <v>8.02</v>
      </c>
      <c r="I153" s="26">
        <f>H153/B3</f>
        <v>0.401</v>
      </c>
      <c r="J153" s="22">
        <v>0.0</v>
      </c>
      <c r="K153" s="22">
        <v>0.0</v>
      </c>
      <c r="L153" s="22">
        <v>0.0</v>
      </c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</row>
    <row r="154">
      <c r="A154" s="12">
        <v>46102.0</v>
      </c>
      <c r="B154" s="21" t="s">
        <v>62</v>
      </c>
      <c r="C154" s="2">
        <v>0.0</v>
      </c>
      <c r="D154" s="23">
        <f t="shared" si="3"/>
        <v>9.32</v>
      </c>
      <c r="E154" s="24">
        <f>D154/B1</f>
        <v>0.466</v>
      </c>
      <c r="F154" s="23">
        <f t="shared" si="4"/>
        <v>0</v>
      </c>
      <c r="G154" s="24">
        <f>F154/B2</f>
        <v>0</v>
      </c>
      <c r="H154" s="25">
        <f t="shared" si="5"/>
        <v>8.02</v>
      </c>
      <c r="I154" s="26">
        <f>H154/B3</f>
        <v>0.401</v>
      </c>
      <c r="J154" s="22">
        <v>0.0</v>
      </c>
      <c r="K154" s="22">
        <v>0.0</v>
      </c>
      <c r="L154" s="22">
        <v>0.0</v>
      </c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</row>
    <row r="155">
      <c r="A155" s="12">
        <v>46102.0</v>
      </c>
      <c r="B155" s="21" t="s">
        <v>63</v>
      </c>
      <c r="C155" s="2">
        <v>0.0</v>
      </c>
      <c r="D155" s="23">
        <f t="shared" si="3"/>
        <v>9.32</v>
      </c>
      <c r="E155" s="24">
        <f>D155/B1</f>
        <v>0.466</v>
      </c>
      <c r="F155" s="23">
        <f t="shared" si="4"/>
        <v>0</v>
      </c>
      <c r="G155" s="24">
        <f>F155/B2</f>
        <v>0</v>
      </c>
      <c r="H155" s="25">
        <f t="shared" si="5"/>
        <v>8.02</v>
      </c>
      <c r="I155" s="26">
        <f>H155/B3</f>
        <v>0.401</v>
      </c>
      <c r="J155" s="22">
        <v>0.0</v>
      </c>
      <c r="K155" s="22">
        <v>0.0</v>
      </c>
      <c r="L155" s="22">
        <v>0.0</v>
      </c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</row>
    <row r="156">
      <c r="A156" s="12">
        <v>46103.0</v>
      </c>
      <c r="B156" s="21" t="s">
        <v>61</v>
      </c>
      <c r="C156" s="2">
        <v>0.0</v>
      </c>
      <c r="D156" s="23">
        <f t="shared" si="3"/>
        <v>9.32</v>
      </c>
      <c r="E156" s="24">
        <f>D156/B1</f>
        <v>0.466</v>
      </c>
      <c r="F156" s="23">
        <f t="shared" si="4"/>
        <v>0</v>
      </c>
      <c r="G156" s="24">
        <f>F156/B2</f>
        <v>0</v>
      </c>
      <c r="H156" s="25">
        <f t="shared" si="5"/>
        <v>8.02</v>
      </c>
      <c r="I156" s="26">
        <f>H156/B3</f>
        <v>0.401</v>
      </c>
      <c r="J156" s="22">
        <v>0.0</v>
      </c>
      <c r="K156" s="22">
        <v>0.0</v>
      </c>
      <c r="L156" s="22">
        <v>0.0</v>
      </c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</row>
    <row r="157">
      <c r="A157" s="12">
        <v>46103.0</v>
      </c>
      <c r="B157" s="21" t="s">
        <v>62</v>
      </c>
      <c r="C157" s="2">
        <v>0.0</v>
      </c>
      <c r="D157" s="23">
        <f t="shared" si="3"/>
        <v>9.32</v>
      </c>
      <c r="E157" s="24">
        <f>D157/B1</f>
        <v>0.466</v>
      </c>
      <c r="F157" s="23">
        <f t="shared" si="4"/>
        <v>0</v>
      </c>
      <c r="G157" s="24">
        <f>F157/B2</f>
        <v>0</v>
      </c>
      <c r="H157" s="25">
        <f t="shared" si="5"/>
        <v>8.02</v>
      </c>
      <c r="I157" s="26">
        <f>H157/B3</f>
        <v>0.401</v>
      </c>
      <c r="J157" s="22">
        <v>0.0</v>
      </c>
      <c r="K157" s="22">
        <v>0.0</v>
      </c>
      <c r="L157" s="22">
        <v>0.0</v>
      </c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</row>
    <row r="158">
      <c r="A158" s="12">
        <v>46103.0</v>
      </c>
      <c r="B158" s="21" t="s">
        <v>63</v>
      </c>
      <c r="C158" s="2">
        <v>1.81</v>
      </c>
      <c r="D158" s="23">
        <f t="shared" si="3"/>
        <v>9.32</v>
      </c>
      <c r="E158" s="24">
        <f>D158/B1</f>
        <v>0.466</v>
      </c>
      <c r="F158" s="23">
        <f t="shared" si="4"/>
        <v>0</v>
      </c>
      <c r="G158" s="24">
        <f>F158/B2</f>
        <v>0</v>
      </c>
      <c r="H158" s="25">
        <f t="shared" si="5"/>
        <v>6.21</v>
      </c>
      <c r="I158" s="26">
        <f>H158/B3</f>
        <v>0.3105</v>
      </c>
      <c r="J158" s="22">
        <v>0.0</v>
      </c>
      <c r="K158" s="22">
        <v>0.0</v>
      </c>
      <c r="L158" s="22">
        <v>0.0</v>
      </c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</row>
    <row r="159">
      <c r="A159" s="12">
        <v>46104.0</v>
      </c>
      <c r="B159" s="21" t="s">
        <v>61</v>
      </c>
      <c r="C159" s="2">
        <v>0.0</v>
      </c>
      <c r="D159" s="23">
        <f t="shared" si="3"/>
        <v>9.32</v>
      </c>
      <c r="E159" s="24">
        <f>D159/B1</f>
        <v>0.466</v>
      </c>
      <c r="F159" s="23">
        <f t="shared" si="4"/>
        <v>0</v>
      </c>
      <c r="G159" s="24">
        <f>F159/B2</f>
        <v>0</v>
      </c>
      <c r="H159" s="25">
        <f t="shared" si="5"/>
        <v>6.21</v>
      </c>
      <c r="I159" s="26">
        <f>H159/B3</f>
        <v>0.3105</v>
      </c>
      <c r="J159" s="22">
        <v>0.0</v>
      </c>
      <c r="K159" s="22">
        <v>0.0</v>
      </c>
      <c r="L159" s="22">
        <v>0.0</v>
      </c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</row>
    <row r="160">
      <c r="A160" s="12">
        <v>46104.0</v>
      </c>
      <c r="B160" s="21" t="s">
        <v>62</v>
      </c>
      <c r="C160" s="2">
        <v>0.0</v>
      </c>
      <c r="D160" s="23">
        <f t="shared" si="3"/>
        <v>9.32</v>
      </c>
      <c r="E160" s="24">
        <f>D160/B1</f>
        <v>0.466</v>
      </c>
      <c r="F160" s="23">
        <f t="shared" si="4"/>
        <v>0</v>
      </c>
      <c r="G160" s="24">
        <f>F160/B2</f>
        <v>0</v>
      </c>
      <c r="H160" s="25">
        <f t="shared" si="5"/>
        <v>6.21</v>
      </c>
      <c r="I160" s="26">
        <f>H160/B3</f>
        <v>0.3105</v>
      </c>
      <c r="J160" s="22">
        <v>0.0</v>
      </c>
      <c r="K160" s="22">
        <v>0.0</v>
      </c>
      <c r="L160" s="22">
        <v>0.0</v>
      </c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</row>
    <row r="161">
      <c r="A161" s="12">
        <v>46104.0</v>
      </c>
      <c r="B161" s="21" t="s">
        <v>63</v>
      </c>
      <c r="C161" s="2">
        <v>2.67</v>
      </c>
      <c r="D161" s="23">
        <f t="shared" si="3"/>
        <v>9.32</v>
      </c>
      <c r="E161" s="24">
        <f>D161/B1</f>
        <v>0.466</v>
      </c>
      <c r="F161" s="23">
        <f t="shared" si="4"/>
        <v>0</v>
      </c>
      <c r="G161" s="24">
        <f>F161/B2</f>
        <v>0</v>
      </c>
      <c r="H161" s="25">
        <f t="shared" si="5"/>
        <v>3.54</v>
      </c>
      <c r="I161" s="26">
        <f>H161/B3</f>
        <v>0.177</v>
      </c>
      <c r="J161" s="22">
        <v>0.0</v>
      </c>
      <c r="K161" s="22">
        <v>0.0</v>
      </c>
      <c r="L161" s="22">
        <v>0.0</v>
      </c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</row>
    <row r="162">
      <c r="A162" s="12">
        <v>46105.0</v>
      </c>
      <c r="B162" s="21" t="s">
        <v>61</v>
      </c>
      <c r="C162" s="2">
        <v>0.0</v>
      </c>
      <c r="D162" s="23">
        <f t="shared" si="3"/>
        <v>9.32</v>
      </c>
      <c r="E162" s="24">
        <f>D162/B1</f>
        <v>0.466</v>
      </c>
      <c r="F162" s="23">
        <f t="shared" si="4"/>
        <v>0</v>
      </c>
      <c r="G162" s="24">
        <f>F162/B2</f>
        <v>0</v>
      </c>
      <c r="H162" s="25">
        <f t="shared" si="5"/>
        <v>3.54</v>
      </c>
      <c r="I162" s="26">
        <f>H162/B3</f>
        <v>0.177</v>
      </c>
      <c r="J162" s="22">
        <v>0.0</v>
      </c>
      <c r="K162" s="22">
        <v>0.0</v>
      </c>
      <c r="L162" s="22">
        <v>0.0</v>
      </c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</row>
    <row r="163">
      <c r="A163" s="12">
        <v>46105.0</v>
      </c>
      <c r="B163" s="21" t="s">
        <v>62</v>
      </c>
      <c r="C163" s="2">
        <v>0.0</v>
      </c>
      <c r="D163" s="23">
        <f t="shared" si="3"/>
        <v>9.32</v>
      </c>
      <c r="E163" s="24">
        <f>D163/B1</f>
        <v>0.466</v>
      </c>
      <c r="F163" s="23">
        <f t="shared" si="4"/>
        <v>0</v>
      </c>
      <c r="G163" s="24">
        <f>F163/B2</f>
        <v>0</v>
      </c>
      <c r="H163" s="25">
        <f t="shared" si="5"/>
        <v>3.54</v>
      </c>
      <c r="I163" s="26">
        <f>H163/B3</f>
        <v>0.177</v>
      </c>
      <c r="J163" s="22">
        <v>0.0</v>
      </c>
      <c r="K163" s="22">
        <v>0.0</v>
      </c>
      <c r="L163" s="22">
        <v>0.0</v>
      </c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</row>
    <row r="164">
      <c r="A164" s="12">
        <v>46105.0</v>
      </c>
      <c r="B164" s="21" t="s">
        <v>63</v>
      </c>
      <c r="C164" s="2">
        <v>0.0</v>
      </c>
      <c r="D164" s="23">
        <f t="shared" si="3"/>
        <v>9.32</v>
      </c>
      <c r="E164" s="24">
        <f>D164/B1</f>
        <v>0.466</v>
      </c>
      <c r="F164" s="23">
        <f t="shared" si="4"/>
        <v>0</v>
      </c>
      <c r="G164" s="24">
        <f>F164/B2</f>
        <v>0</v>
      </c>
      <c r="H164" s="25">
        <f t="shared" si="5"/>
        <v>3.54</v>
      </c>
      <c r="I164" s="26">
        <f>H164/B3</f>
        <v>0.177</v>
      </c>
      <c r="J164" s="22">
        <v>0.0</v>
      </c>
      <c r="K164" s="22">
        <v>0.0</v>
      </c>
      <c r="L164" s="22">
        <v>0.0</v>
      </c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</row>
    <row r="165">
      <c r="A165" s="12">
        <v>46106.0</v>
      </c>
      <c r="B165" s="21" t="s">
        <v>61</v>
      </c>
      <c r="C165" s="2">
        <v>0.0</v>
      </c>
      <c r="D165" s="23">
        <f t="shared" si="3"/>
        <v>9.32</v>
      </c>
      <c r="E165" s="24">
        <f>D165/B1</f>
        <v>0.466</v>
      </c>
      <c r="F165" s="23">
        <f t="shared" si="4"/>
        <v>0</v>
      </c>
      <c r="G165" s="24">
        <f>F165/B2</f>
        <v>0</v>
      </c>
      <c r="H165" s="25">
        <f t="shared" si="5"/>
        <v>3.54</v>
      </c>
      <c r="I165" s="26">
        <f>H165/B3</f>
        <v>0.177</v>
      </c>
      <c r="J165" s="22">
        <v>0.0</v>
      </c>
      <c r="K165" s="22">
        <v>0.0</v>
      </c>
      <c r="L165" s="22">
        <v>0.0</v>
      </c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</row>
    <row r="166">
      <c r="A166" s="12">
        <v>46106.0</v>
      </c>
      <c r="B166" s="21" t="s">
        <v>62</v>
      </c>
      <c r="C166" s="2">
        <v>0.0</v>
      </c>
      <c r="D166" s="23">
        <f t="shared" si="3"/>
        <v>9.32</v>
      </c>
      <c r="E166" s="24">
        <f>D166/B1</f>
        <v>0.466</v>
      </c>
      <c r="F166" s="23">
        <f t="shared" si="4"/>
        <v>0</v>
      </c>
      <c r="G166" s="24">
        <f>F166/B2</f>
        <v>0</v>
      </c>
      <c r="H166" s="25">
        <f t="shared" si="5"/>
        <v>3.54</v>
      </c>
      <c r="I166" s="26">
        <f>H166/B3</f>
        <v>0.177</v>
      </c>
      <c r="J166" s="22">
        <v>0.0</v>
      </c>
      <c r="K166" s="22">
        <v>0.0</v>
      </c>
      <c r="L166" s="22">
        <v>0.0</v>
      </c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</row>
    <row r="167">
      <c r="A167" s="12">
        <v>46106.0</v>
      </c>
      <c r="B167" s="21" t="s">
        <v>63</v>
      </c>
      <c r="C167" s="2">
        <v>0.0</v>
      </c>
      <c r="D167" s="23">
        <f t="shared" si="3"/>
        <v>9.32</v>
      </c>
      <c r="E167" s="24">
        <f>D167/B1</f>
        <v>0.466</v>
      </c>
      <c r="F167" s="23">
        <f t="shared" si="4"/>
        <v>0</v>
      </c>
      <c r="G167" s="24">
        <f>F167/B2</f>
        <v>0</v>
      </c>
      <c r="H167" s="25">
        <f t="shared" si="5"/>
        <v>3.54</v>
      </c>
      <c r="I167" s="26">
        <f>H167/B3</f>
        <v>0.177</v>
      </c>
      <c r="J167" s="22">
        <v>0.0</v>
      </c>
      <c r="K167" s="22">
        <v>0.0</v>
      </c>
      <c r="L167" s="22">
        <v>0.0</v>
      </c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</row>
    <row r="168">
      <c r="A168" s="12">
        <v>46107.0</v>
      </c>
      <c r="B168" s="21" t="s">
        <v>61</v>
      </c>
      <c r="C168" s="2">
        <v>0.0</v>
      </c>
      <c r="D168" s="23">
        <f t="shared" si="3"/>
        <v>9.32</v>
      </c>
      <c r="E168" s="24">
        <f>D168/B1</f>
        <v>0.466</v>
      </c>
      <c r="F168" s="23">
        <f t="shared" si="4"/>
        <v>0</v>
      </c>
      <c r="G168" s="24">
        <f>F168/B2</f>
        <v>0</v>
      </c>
      <c r="H168" s="25">
        <f t="shared" si="5"/>
        <v>3.54</v>
      </c>
      <c r="I168" s="26">
        <f>H168/B3</f>
        <v>0.177</v>
      </c>
      <c r="J168" s="22">
        <v>0.0</v>
      </c>
      <c r="K168" s="22">
        <v>0.0</v>
      </c>
      <c r="L168" s="22">
        <v>0.0</v>
      </c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</row>
    <row r="169">
      <c r="A169" s="12">
        <v>46107.0</v>
      </c>
      <c r="B169" s="21" t="s">
        <v>62</v>
      </c>
      <c r="C169" s="2">
        <v>0.0</v>
      </c>
      <c r="D169" s="23">
        <f t="shared" si="3"/>
        <v>9.32</v>
      </c>
      <c r="E169" s="24">
        <f>D169/B1</f>
        <v>0.466</v>
      </c>
      <c r="F169" s="23">
        <f t="shared" si="4"/>
        <v>0</v>
      </c>
      <c r="G169" s="24">
        <f>F169/B2</f>
        <v>0</v>
      </c>
      <c r="H169" s="25">
        <f t="shared" si="5"/>
        <v>3.54</v>
      </c>
      <c r="I169" s="26">
        <f>H169/B3</f>
        <v>0.177</v>
      </c>
      <c r="J169" s="22">
        <v>0.0</v>
      </c>
      <c r="K169" s="22">
        <v>0.0</v>
      </c>
      <c r="L169" s="22">
        <v>0.0</v>
      </c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</row>
    <row r="170">
      <c r="A170" s="12">
        <v>46107.0</v>
      </c>
      <c r="B170" s="21" t="s">
        <v>63</v>
      </c>
      <c r="C170" s="2">
        <v>2.68</v>
      </c>
      <c r="D170" s="23">
        <f t="shared" si="3"/>
        <v>9.32</v>
      </c>
      <c r="E170" s="24">
        <f>D170/B1</f>
        <v>0.466</v>
      </c>
      <c r="F170" s="23">
        <f t="shared" si="4"/>
        <v>0</v>
      </c>
      <c r="G170" s="24">
        <f>F170/B2</f>
        <v>0</v>
      </c>
      <c r="H170" s="25">
        <f t="shared" si="5"/>
        <v>0.86</v>
      </c>
      <c r="I170" s="26">
        <f>H170/B3</f>
        <v>0.043</v>
      </c>
      <c r="J170" s="22">
        <v>0.0</v>
      </c>
      <c r="K170" s="22">
        <v>0.0</v>
      </c>
      <c r="L170" s="22">
        <v>0.0</v>
      </c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</row>
    <row r="171">
      <c r="A171" s="12">
        <v>46108.0</v>
      </c>
      <c r="B171" s="21" t="s">
        <v>61</v>
      </c>
      <c r="C171" s="2">
        <v>2.6</v>
      </c>
      <c r="D171" s="23">
        <f t="shared" si="3"/>
        <v>6.72</v>
      </c>
      <c r="E171" s="24">
        <f>D171/B1</f>
        <v>0.336</v>
      </c>
      <c r="F171" s="23">
        <f t="shared" si="4"/>
        <v>0</v>
      </c>
      <c r="G171" s="24">
        <f>F171/B2</f>
        <v>0</v>
      </c>
      <c r="H171" s="25">
        <f t="shared" si="5"/>
        <v>0.86</v>
      </c>
      <c r="I171" s="26">
        <f>H171/B3</f>
        <v>0.043</v>
      </c>
      <c r="J171" s="22">
        <v>0.0</v>
      </c>
      <c r="K171" s="22">
        <v>0.0</v>
      </c>
      <c r="L171" s="22">
        <v>0.0</v>
      </c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</row>
    <row r="172">
      <c r="A172" s="12">
        <v>46108.0</v>
      </c>
      <c r="B172" s="21" t="s">
        <v>62</v>
      </c>
      <c r="C172" s="2">
        <v>0.0</v>
      </c>
      <c r="D172" s="23">
        <f t="shared" si="3"/>
        <v>6.72</v>
      </c>
      <c r="E172" s="24">
        <f>D172/B1</f>
        <v>0.336</v>
      </c>
      <c r="F172" s="23">
        <f t="shared" si="4"/>
        <v>0</v>
      </c>
      <c r="G172" s="24">
        <f>F172/B2</f>
        <v>0</v>
      </c>
      <c r="H172" s="25">
        <f t="shared" si="5"/>
        <v>0.86</v>
      </c>
      <c r="I172" s="26">
        <f>H172/B3</f>
        <v>0.043</v>
      </c>
      <c r="J172" s="22">
        <v>0.0</v>
      </c>
      <c r="K172" s="22">
        <v>0.0</v>
      </c>
      <c r="L172" s="22">
        <v>0.0</v>
      </c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</row>
    <row r="173">
      <c r="A173" s="12">
        <v>46108.0</v>
      </c>
      <c r="B173" s="21" t="s">
        <v>63</v>
      </c>
      <c r="C173" s="2">
        <v>0.86</v>
      </c>
      <c r="D173" s="23">
        <f t="shared" si="3"/>
        <v>6.72</v>
      </c>
      <c r="E173" s="24">
        <f>D173/B1</f>
        <v>0.336</v>
      </c>
      <c r="F173" s="23">
        <f t="shared" si="4"/>
        <v>0</v>
      </c>
      <c r="G173" s="24">
        <f>F173/B2</f>
        <v>0</v>
      </c>
      <c r="H173" s="25">
        <f t="shared" si="5"/>
        <v>0</v>
      </c>
      <c r="I173" s="26">
        <f>H173/B3</f>
        <v>0</v>
      </c>
      <c r="J173" s="22">
        <v>0.0</v>
      </c>
      <c r="K173" s="22">
        <v>0.0</v>
      </c>
      <c r="L173" s="22">
        <v>0.0</v>
      </c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</row>
    <row r="174">
      <c r="A174" s="12">
        <v>46109.0</v>
      </c>
      <c r="B174" s="21" t="s">
        <v>61</v>
      </c>
      <c r="C174" s="2">
        <v>0.0</v>
      </c>
      <c r="D174" s="23">
        <f t="shared" si="3"/>
        <v>6.72</v>
      </c>
      <c r="E174" s="24">
        <f>D174/B1</f>
        <v>0.336</v>
      </c>
      <c r="F174" s="23">
        <f t="shared" si="4"/>
        <v>0</v>
      </c>
      <c r="G174" s="24">
        <f>F174/B2</f>
        <v>0</v>
      </c>
      <c r="H174" s="25">
        <f t="shared" si="5"/>
        <v>0</v>
      </c>
      <c r="I174" s="26">
        <f>H174/B3</f>
        <v>0</v>
      </c>
      <c r="J174" s="22">
        <v>0.0</v>
      </c>
      <c r="K174" s="22">
        <v>0.0</v>
      </c>
      <c r="L174" s="22">
        <v>0.0</v>
      </c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</row>
    <row r="175">
      <c r="A175" s="12">
        <v>46109.0</v>
      </c>
      <c r="B175" s="21" t="s">
        <v>62</v>
      </c>
      <c r="C175" s="2">
        <v>0.0</v>
      </c>
      <c r="D175" s="23">
        <f t="shared" si="3"/>
        <v>6.72</v>
      </c>
      <c r="E175" s="24">
        <f>D175/B1</f>
        <v>0.336</v>
      </c>
      <c r="F175" s="23">
        <f t="shared" si="4"/>
        <v>0</v>
      </c>
      <c r="G175" s="24">
        <f>F175/B2</f>
        <v>0</v>
      </c>
      <c r="H175" s="25">
        <f t="shared" si="5"/>
        <v>0</v>
      </c>
      <c r="I175" s="26">
        <f>H175/B3</f>
        <v>0</v>
      </c>
      <c r="J175" s="22">
        <v>0.0</v>
      </c>
      <c r="K175" s="22">
        <v>0.0</v>
      </c>
      <c r="L175" s="22">
        <v>0.0</v>
      </c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</row>
    <row r="176">
      <c r="A176" s="12">
        <v>46109.0</v>
      </c>
      <c r="B176" s="21" t="s">
        <v>63</v>
      </c>
      <c r="C176" s="2">
        <v>0.0</v>
      </c>
      <c r="D176" s="23">
        <f t="shared" si="3"/>
        <v>6.72</v>
      </c>
      <c r="E176" s="24">
        <f>D176/B1</f>
        <v>0.336</v>
      </c>
      <c r="F176" s="23">
        <f t="shared" si="4"/>
        <v>0</v>
      </c>
      <c r="G176" s="24">
        <f>F176/B2</f>
        <v>0</v>
      </c>
      <c r="H176" s="25">
        <f t="shared" si="5"/>
        <v>0</v>
      </c>
      <c r="I176" s="26">
        <f>H176/B3</f>
        <v>0</v>
      </c>
      <c r="J176" s="22">
        <v>0.0</v>
      </c>
      <c r="K176" s="22">
        <v>0.0</v>
      </c>
      <c r="L176" s="22">
        <v>0.0</v>
      </c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</row>
    <row r="177">
      <c r="A177" s="12">
        <v>46110.0</v>
      </c>
      <c r="B177" s="21" t="s">
        <v>61</v>
      </c>
      <c r="C177" s="2">
        <v>1.44</v>
      </c>
      <c r="D177" s="23">
        <f t="shared" si="3"/>
        <v>5.28</v>
      </c>
      <c r="E177" s="24">
        <f>D177/B1</f>
        <v>0.264</v>
      </c>
      <c r="F177" s="23">
        <f t="shared" si="4"/>
        <v>0</v>
      </c>
      <c r="G177" s="24">
        <f>F177/B2</f>
        <v>0</v>
      </c>
      <c r="H177" s="25">
        <f t="shared" si="5"/>
        <v>0</v>
      </c>
      <c r="I177" s="26">
        <f>H177/B3</f>
        <v>0</v>
      </c>
      <c r="J177" s="22">
        <v>0.0</v>
      </c>
      <c r="K177" s="22">
        <v>0.0</v>
      </c>
      <c r="L177" s="22">
        <v>0.0</v>
      </c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</row>
    <row r="178">
      <c r="A178" s="12">
        <v>46110.0</v>
      </c>
      <c r="B178" s="21" t="s">
        <v>62</v>
      </c>
      <c r="C178" s="2">
        <v>0.0</v>
      </c>
      <c r="D178" s="23">
        <f t="shared" si="3"/>
        <v>5.28</v>
      </c>
      <c r="E178" s="24">
        <f>D178/B1</f>
        <v>0.264</v>
      </c>
      <c r="F178" s="23">
        <f t="shared" si="4"/>
        <v>0</v>
      </c>
      <c r="G178" s="24">
        <f>F178/B2</f>
        <v>0</v>
      </c>
      <c r="H178" s="25">
        <f t="shared" si="5"/>
        <v>0</v>
      </c>
      <c r="I178" s="26">
        <f>H178/B3</f>
        <v>0</v>
      </c>
      <c r="J178" s="22">
        <v>0.0</v>
      </c>
      <c r="K178" s="22">
        <v>0.0</v>
      </c>
      <c r="L178" s="22">
        <v>0.0</v>
      </c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</row>
    <row r="179">
      <c r="A179" s="12">
        <v>46110.0</v>
      </c>
      <c r="B179" s="21" t="s">
        <v>63</v>
      </c>
      <c r="C179" s="2">
        <v>0.0</v>
      </c>
      <c r="D179" s="23">
        <f t="shared" si="3"/>
        <v>5.28</v>
      </c>
      <c r="E179" s="24">
        <f>D179/B1</f>
        <v>0.264</v>
      </c>
      <c r="F179" s="23">
        <f t="shared" si="4"/>
        <v>0</v>
      </c>
      <c r="G179" s="24">
        <f>F179/B2</f>
        <v>0</v>
      </c>
      <c r="H179" s="25">
        <f t="shared" si="5"/>
        <v>0</v>
      </c>
      <c r="I179" s="26">
        <f>H179/B3</f>
        <v>0</v>
      </c>
      <c r="J179" s="22">
        <v>0.0</v>
      </c>
      <c r="K179" s="22">
        <v>0.0</v>
      </c>
      <c r="L179" s="22">
        <v>0.0</v>
      </c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</row>
    <row r="180">
      <c r="A180" s="12">
        <v>46111.0</v>
      </c>
      <c r="B180" s="21" t="s">
        <v>61</v>
      </c>
      <c r="C180" s="2">
        <v>1.52</v>
      </c>
      <c r="D180" s="23">
        <f t="shared" si="3"/>
        <v>3.76</v>
      </c>
      <c r="E180" s="24">
        <f>D180/B1</f>
        <v>0.188</v>
      </c>
      <c r="F180" s="23">
        <f t="shared" si="4"/>
        <v>0</v>
      </c>
      <c r="G180" s="24">
        <f>F180/B2</f>
        <v>0</v>
      </c>
      <c r="H180" s="25">
        <f t="shared" si="5"/>
        <v>0</v>
      </c>
      <c r="I180" s="26">
        <f>H180/B3</f>
        <v>0</v>
      </c>
      <c r="J180" s="22">
        <v>0.0</v>
      </c>
      <c r="K180" s="22">
        <v>0.0</v>
      </c>
      <c r="L180" s="22">
        <v>0.0</v>
      </c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</row>
    <row r="181">
      <c r="A181" s="12">
        <v>46111.0</v>
      </c>
      <c r="B181" s="21" t="s">
        <v>62</v>
      </c>
      <c r="C181" s="2">
        <v>0.0</v>
      </c>
      <c r="D181" s="23">
        <f t="shared" si="3"/>
        <v>3.76</v>
      </c>
      <c r="E181" s="24">
        <f>D181/B1</f>
        <v>0.188</v>
      </c>
      <c r="F181" s="23">
        <f t="shared" si="4"/>
        <v>0</v>
      </c>
      <c r="G181" s="24">
        <f>F181/B2</f>
        <v>0</v>
      </c>
      <c r="H181" s="25">
        <f t="shared" si="5"/>
        <v>0</v>
      </c>
      <c r="I181" s="26">
        <f>H181/B3</f>
        <v>0</v>
      </c>
      <c r="J181" s="22">
        <v>0.0</v>
      </c>
      <c r="K181" s="22">
        <v>0.0</v>
      </c>
      <c r="L181" s="22">
        <v>0.0</v>
      </c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</row>
    <row r="182">
      <c r="A182" s="12">
        <v>46111.0</v>
      </c>
      <c r="B182" s="21" t="s">
        <v>63</v>
      </c>
      <c r="C182" s="2">
        <v>0.0</v>
      </c>
      <c r="D182" s="23">
        <f t="shared" si="3"/>
        <v>3.76</v>
      </c>
      <c r="E182" s="24">
        <f>D182/B1</f>
        <v>0.188</v>
      </c>
      <c r="F182" s="23">
        <f t="shared" si="4"/>
        <v>0</v>
      </c>
      <c r="G182" s="24">
        <f>F182/B2</f>
        <v>0</v>
      </c>
      <c r="H182" s="25">
        <f t="shared" si="5"/>
        <v>0</v>
      </c>
      <c r="I182" s="26">
        <f>H182/B3</f>
        <v>0</v>
      </c>
      <c r="J182" s="22">
        <v>0.0</v>
      </c>
      <c r="K182" s="22">
        <v>0.0</v>
      </c>
      <c r="L182" s="22">
        <v>0.0</v>
      </c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</row>
    <row r="183">
      <c r="A183" s="12">
        <v>46112.0</v>
      </c>
      <c r="B183" s="21" t="s">
        <v>61</v>
      </c>
      <c r="C183" s="2">
        <v>1.5</v>
      </c>
      <c r="D183" s="23">
        <f t="shared" si="3"/>
        <v>2.26</v>
      </c>
      <c r="E183" s="24">
        <f>D183/B1</f>
        <v>0.113</v>
      </c>
      <c r="F183" s="23">
        <f t="shared" si="4"/>
        <v>0</v>
      </c>
      <c r="G183" s="24">
        <f>F183/B2</f>
        <v>0</v>
      </c>
      <c r="H183" s="25">
        <f t="shared" si="5"/>
        <v>0</v>
      </c>
      <c r="I183" s="26">
        <f>H183/B3</f>
        <v>0</v>
      </c>
      <c r="J183" s="22">
        <v>0.0</v>
      </c>
      <c r="K183" s="22">
        <v>0.0</v>
      </c>
      <c r="L183" s="22">
        <v>0.0</v>
      </c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</row>
    <row r="184">
      <c r="A184" s="12">
        <v>46112.0</v>
      </c>
      <c r="B184" s="21" t="s">
        <v>62</v>
      </c>
      <c r="C184" s="2">
        <v>0.0</v>
      </c>
      <c r="D184" s="23">
        <f t="shared" si="3"/>
        <v>2.26</v>
      </c>
      <c r="E184" s="24">
        <f>D184/B1</f>
        <v>0.113</v>
      </c>
      <c r="F184" s="23">
        <f t="shared" si="4"/>
        <v>0</v>
      </c>
      <c r="G184" s="24">
        <f>F184/B2</f>
        <v>0</v>
      </c>
      <c r="H184" s="25">
        <f t="shared" si="5"/>
        <v>0</v>
      </c>
      <c r="I184" s="26">
        <f>H184/B3</f>
        <v>0</v>
      </c>
      <c r="J184" s="22">
        <v>0.0</v>
      </c>
      <c r="K184" s="22">
        <v>0.0</v>
      </c>
      <c r="L184" s="22">
        <v>0.0</v>
      </c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</row>
    <row r="185">
      <c r="A185" s="12">
        <v>46112.0</v>
      </c>
      <c r="B185" s="21" t="s">
        <v>63</v>
      </c>
      <c r="C185" s="2">
        <v>0.0</v>
      </c>
      <c r="D185" s="23">
        <f t="shared" si="3"/>
        <v>2.26</v>
      </c>
      <c r="E185" s="24">
        <f>D185/B1</f>
        <v>0.113</v>
      </c>
      <c r="F185" s="23">
        <f t="shared" si="4"/>
        <v>0</v>
      </c>
      <c r="G185" s="24">
        <f>F185/B2</f>
        <v>0</v>
      </c>
      <c r="H185" s="25">
        <f t="shared" si="5"/>
        <v>0</v>
      </c>
      <c r="I185" s="26">
        <f>H185/B3</f>
        <v>0</v>
      </c>
      <c r="J185" s="22">
        <v>0.0</v>
      </c>
      <c r="K185" s="22">
        <v>0.0</v>
      </c>
      <c r="L185" s="22">
        <v>0.0</v>
      </c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</row>
    <row r="186">
      <c r="A186" s="12">
        <v>46113.0</v>
      </c>
      <c r="B186" s="21" t="s">
        <v>61</v>
      </c>
      <c r="C186" s="2">
        <v>2.26</v>
      </c>
      <c r="D186" s="23">
        <f t="shared" si="3"/>
        <v>0</v>
      </c>
      <c r="E186" s="24">
        <f>D186/B1</f>
        <v>0</v>
      </c>
      <c r="F186" s="23">
        <f t="shared" si="4"/>
        <v>0</v>
      </c>
      <c r="G186" s="24">
        <f>F186/B2</f>
        <v>0</v>
      </c>
      <c r="H186" s="25">
        <f t="shared" si="5"/>
        <v>0</v>
      </c>
      <c r="I186" s="26">
        <f>H186/B3</f>
        <v>0</v>
      </c>
      <c r="J186" s="22">
        <v>0.0</v>
      </c>
      <c r="K186" s="22">
        <v>0.0</v>
      </c>
      <c r="L186" s="22">
        <v>0.0</v>
      </c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</row>
    <row r="187">
      <c r="A187" s="12">
        <v>46113.0</v>
      </c>
      <c r="B187" s="21" t="s">
        <v>62</v>
      </c>
      <c r="C187" s="2">
        <v>0.0</v>
      </c>
      <c r="D187" s="23">
        <f t="shared" si="3"/>
        <v>0</v>
      </c>
      <c r="E187" s="24">
        <f>D187/B1</f>
        <v>0</v>
      </c>
      <c r="F187" s="23">
        <f t="shared" si="4"/>
        <v>0</v>
      </c>
      <c r="G187" s="24">
        <f>F187/B2</f>
        <v>0</v>
      </c>
      <c r="H187" s="25">
        <f t="shared" si="5"/>
        <v>0</v>
      </c>
      <c r="I187" s="26">
        <f>H187/B3</f>
        <v>0</v>
      </c>
      <c r="J187" s="22">
        <v>0.0</v>
      </c>
      <c r="K187" s="22">
        <v>0.0</v>
      </c>
      <c r="L187" s="22">
        <v>0.0</v>
      </c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</row>
    <row r="188">
      <c r="A188" s="12">
        <v>46113.0</v>
      </c>
      <c r="B188" s="21" t="s">
        <v>63</v>
      </c>
      <c r="C188" s="2">
        <v>0.0</v>
      </c>
      <c r="D188" s="23">
        <f t="shared" si="3"/>
        <v>0</v>
      </c>
      <c r="E188" s="24">
        <f>D188/B1</f>
        <v>0</v>
      </c>
      <c r="F188" s="23">
        <f t="shared" si="4"/>
        <v>0</v>
      </c>
      <c r="G188" s="24">
        <f>F188/B2</f>
        <v>0</v>
      </c>
      <c r="H188" s="25">
        <f t="shared" si="5"/>
        <v>0</v>
      </c>
      <c r="I188" s="26">
        <f>H188/B3</f>
        <v>0</v>
      </c>
      <c r="J188" s="22">
        <v>0.0</v>
      </c>
      <c r="K188" s="22">
        <v>0.0</v>
      </c>
      <c r="L188" s="22">
        <v>0.0</v>
      </c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</row>
  </sheetData>
  <dataValidations>
    <dataValidation type="list" allowBlank="1" showErrorMessage="1" sqref="B6:B188">
      <formula1>"WW,FLA,MAC1+"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61.75"/>
    <col customWidth="1" min="2" max="2" width="22.63"/>
    <col customWidth="1" min="3" max="3" width="10.25"/>
    <col customWidth="1" min="4" max="4" width="17.0"/>
    <col customWidth="1" min="5" max="5" width="15.0"/>
    <col customWidth="1" min="6" max="6" width="17.0"/>
    <col customWidth="1" min="7" max="7" width="16.13"/>
    <col customWidth="1" min="8" max="9" width="16.38"/>
    <col customWidth="1" min="10" max="10" width="12.63"/>
    <col customWidth="1" min="11" max="11" width="14.88"/>
    <col customWidth="1" min="12" max="12" width="13.0"/>
  </cols>
  <sheetData>
    <row r="1">
      <c r="A1" s="1" t="s">
        <v>120</v>
      </c>
      <c r="B1" s="2">
        <v>10.0</v>
      </c>
      <c r="C1" s="2">
        <f>D188</f>
        <v>0</v>
      </c>
      <c r="D1" s="5">
        <f t="shared" ref="D1:D4" si="1">C1/B1</f>
        <v>0</v>
      </c>
      <c r="G1" s="1" t="s">
        <v>1</v>
      </c>
      <c r="H1" s="3">
        <f>IFERROR(__xludf.DUMMYFUNCTION("COUNTUNIQUE(A6:A155)"),50.0)</f>
        <v>50</v>
      </c>
      <c r="I1" s="3"/>
      <c r="J1" s="6"/>
      <c r="K1" s="3"/>
      <c r="L1" s="3"/>
      <c r="M1" s="7"/>
      <c r="N1" s="7"/>
    </row>
    <row r="2">
      <c r="A2" s="1" t="s">
        <v>129</v>
      </c>
      <c r="B2" s="2">
        <v>10.0</v>
      </c>
      <c r="C2" s="4">
        <f>F188</f>
        <v>0</v>
      </c>
      <c r="D2" s="5">
        <f t="shared" si="1"/>
        <v>0</v>
      </c>
      <c r="G2" s="1" t="s">
        <v>5</v>
      </c>
      <c r="H2" s="3">
        <f>(B1+B2+B3)/F4</f>
        <v>50</v>
      </c>
      <c r="I2" s="3"/>
      <c r="J2" s="3"/>
      <c r="K2" s="3"/>
      <c r="L2" s="3"/>
      <c r="M2" s="7"/>
      <c r="N2" s="7"/>
    </row>
    <row r="3">
      <c r="A3" s="1" t="s">
        <v>130</v>
      </c>
      <c r="B3" s="2">
        <v>10.0</v>
      </c>
      <c r="C3" s="4">
        <f>H188</f>
        <v>0</v>
      </c>
      <c r="D3" s="8">
        <f t="shared" si="1"/>
        <v>0</v>
      </c>
      <c r="E3" s="3"/>
      <c r="F3" s="6"/>
      <c r="G3" s="3"/>
      <c r="H3" s="3"/>
      <c r="I3" s="3"/>
      <c r="J3" s="3"/>
      <c r="K3" s="3"/>
      <c r="L3" s="3"/>
      <c r="M3" s="7"/>
      <c r="N3" s="7"/>
    </row>
    <row r="4">
      <c r="A4" s="3"/>
      <c r="B4" s="9">
        <f t="shared" ref="B4:C4" si="2">SUM(B1:B3)</f>
        <v>30</v>
      </c>
      <c r="C4" s="9">
        <f t="shared" si="2"/>
        <v>0</v>
      </c>
      <c r="D4" s="5">
        <f t="shared" si="1"/>
        <v>0</v>
      </c>
      <c r="E4" s="1" t="s">
        <v>7</v>
      </c>
      <c r="F4" s="3">
        <f>SUM(C6:C155)/H1</f>
        <v>0.6</v>
      </c>
      <c r="G4" s="3"/>
      <c r="H4" s="3"/>
      <c r="I4" s="3"/>
      <c r="J4" s="3"/>
      <c r="K4" s="3"/>
      <c r="L4" s="3"/>
      <c r="M4" s="7"/>
      <c r="N4" s="7"/>
    </row>
    <row r="5">
      <c r="A5" s="10" t="s">
        <v>8</v>
      </c>
      <c r="B5" s="10" t="s">
        <v>9</v>
      </c>
      <c r="C5" s="10" t="s">
        <v>10</v>
      </c>
      <c r="D5" s="10" t="s">
        <v>131</v>
      </c>
      <c r="E5" s="10" t="s">
        <v>131</v>
      </c>
      <c r="F5" s="10" t="s">
        <v>96</v>
      </c>
      <c r="G5" s="10" t="s">
        <v>96</v>
      </c>
      <c r="H5" s="10" t="s">
        <v>135</v>
      </c>
      <c r="I5" s="10" t="s">
        <v>135</v>
      </c>
      <c r="J5" s="10" t="s">
        <v>133</v>
      </c>
      <c r="K5" s="10" t="s">
        <v>99</v>
      </c>
      <c r="L5" s="10" t="s">
        <v>136</v>
      </c>
      <c r="M5" s="7"/>
      <c r="N5" s="7"/>
    </row>
    <row r="6">
      <c r="A6" s="12">
        <v>46083.0</v>
      </c>
      <c r="B6" s="6" t="s">
        <v>61</v>
      </c>
      <c r="C6" s="2">
        <v>0.0</v>
      </c>
      <c r="D6" s="4">
        <f>IF(B6="WW",B1-C6,B1)</f>
        <v>10</v>
      </c>
      <c r="E6" s="13">
        <f>D6/B1</f>
        <v>1</v>
      </c>
      <c r="F6" s="2">
        <f>IF(B6="FLA",B2-C6,B2)</f>
        <v>10</v>
      </c>
      <c r="G6" s="14">
        <f>F6/B2</f>
        <v>1</v>
      </c>
      <c r="H6" s="15">
        <f>IF(B6="MAC1+",B3-C6,B3)</f>
        <v>10</v>
      </c>
      <c r="I6" s="14">
        <f>H6/B3</f>
        <v>1</v>
      </c>
      <c r="J6" s="2">
        <v>0.0</v>
      </c>
      <c r="K6" s="2">
        <v>0.0</v>
      </c>
      <c r="L6" s="2">
        <v>0.0</v>
      </c>
      <c r="M6" s="7"/>
      <c r="N6" s="7"/>
    </row>
    <row r="7">
      <c r="A7" s="12">
        <v>46083.0</v>
      </c>
      <c r="B7" s="6" t="s">
        <v>62</v>
      </c>
      <c r="C7" s="2">
        <v>0.0</v>
      </c>
      <c r="D7" s="16">
        <f t="shared" ref="D7:D188" si="3">IF(B7="WW",D6-C7,D6)</f>
        <v>10</v>
      </c>
      <c r="E7" s="17">
        <f>D7/B1</f>
        <v>1</v>
      </c>
      <c r="F7" s="16">
        <f t="shared" ref="F7:F188" si="4">IF(B7="FLA",F6-C7,F6)</f>
        <v>10</v>
      </c>
      <c r="G7" s="17">
        <f>F7/B2</f>
        <v>1</v>
      </c>
      <c r="H7" s="15">
        <f t="shared" ref="H7:H188" si="5">IF(B7="MAC1+",H6-C7,H6)</f>
        <v>10</v>
      </c>
      <c r="I7" s="14">
        <f>H7/B3</f>
        <v>1</v>
      </c>
      <c r="J7" s="2">
        <v>0.0</v>
      </c>
      <c r="K7" s="2">
        <v>0.0</v>
      </c>
      <c r="L7" s="2">
        <v>0.0</v>
      </c>
      <c r="M7" s="7"/>
      <c r="N7" s="7"/>
    </row>
    <row r="8">
      <c r="A8" s="12">
        <v>46083.0</v>
      </c>
      <c r="B8" s="6" t="s">
        <v>63</v>
      </c>
      <c r="C8" s="2">
        <v>0.0</v>
      </c>
      <c r="D8" s="16">
        <f t="shared" si="3"/>
        <v>10</v>
      </c>
      <c r="E8" s="17">
        <f>D8/B1</f>
        <v>1</v>
      </c>
      <c r="F8" s="16">
        <f t="shared" si="4"/>
        <v>10</v>
      </c>
      <c r="G8" s="17">
        <f>F8/B2</f>
        <v>1</v>
      </c>
      <c r="H8" s="15">
        <f t="shared" si="5"/>
        <v>10</v>
      </c>
      <c r="I8" s="14">
        <f>H8/B3</f>
        <v>1</v>
      </c>
      <c r="J8" s="2">
        <v>0.0</v>
      </c>
      <c r="K8" s="2">
        <v>0.0</v>
      </c>
      <c r="L8" s="2">
        <v>0.0</v>
      </c>
      <c r="M8" s="7"/>
      <c r="N8" s="7"/>
    </row>
    <row r="9">
      <c r="A9" s="12">
        <v>46084.0</v>
      </c>
      <c r="B9" s="6" t="s">
        <v>61</v>
      </c>
      <c r="C9" s="2">
        <v>0.0</v>
      </c>
      <c r="D9" s="16">
        <f t="shared" si="3"/>
        <v>10</v>
      </c>
      <c r="E9" s="17">
        <f>D9/B1</f>
        <v>1</v>
      </c>
      <c r="F9" s="16">
        <f t="shared" si="4"/>
        <v>10</v>
      </c>
      <c r="G9" s="17">
        <f>F9/B2</f>
        <v>1</v>
      </c>
      <c r="H9" s="15">
        <f t="shared" si="5"/>
        <v>10</v>
      </c>
      <c r="I9" s="14">
        <f>H9/B3</f>
        <v>1</v>
      </c>
      <c r="J9" s="2">
        <v>0.0</v>
      </c>
      <c r="K9" s="2">
        <v>0.0</v>
      </c>
      <c r="L9" s="2">
        <v>0.0</v>
      </c>
      <c r="M9" s="7"/>
      <c r="N9" s="7"/>
    </row>
    <row r="10">
      <c r="A10" s="12">
        <v>46084.0</v>
      </c>
      <c r="B10" s="6" t="s">
        <v>62</v>
      </c>
      <c r="C10" s="2">
        <v>0.0</v>
      </c>
      <c r="D10" s="16">
        <f t="shared" si="3"/>
        <v>10</v>
      </c>
      <c r="E10" s="17">
        <f>D10/B1</f>
        <v>1</v>
      </c>
      <c r="F10" s="16">
        <f t="shared" si="4"/>
        <v>10</v>
      </c>
      <c r="G10" s="17">
        <f>F10/B2</f>
        <v>1</v>
      </c>
      <c r="H10" s="15">
        <f t="shared" si="5"/>
        <v>10</v>
      </c>
      <c r="I10" s="14">
        <f>H10/B3</f>
        <v>1</v>
      </c>
      <c r="J10" s="2">
        <v>0.0</v>
      </c>
      <c r="K10" s="2">
        <v>0.0</v>
      </c>
      <c r="L10" s="2">
        <v>0.0</v>
      </c>
      <c r="M10" s="7"/>
      <c r="N10" s="7"/>
    </row>
    <row r="11">
      <c r="A11" s="12">
        <v>46084.0</v>
      </c>
      <c r="B11" s="6" t="s">
        <v>63</v>
      </c>
      <c r="C11" s="2">
        <v>0.0</v>
      </c>
      <c r="D11" s="16">
        <f t="shared" si="3"/>
        <v>10</v>
      </c>
      <c r="E11" s="17">
        <f>D11/B1</f>
        <v>1</v>
      </c>
      <c r="F11" s="16">
        <f t="shared" si="4"/>
        <v>10</v>
      </c>
      <c r="G11" s="17">
        <f>F11/B2</f>
        <v>1</v>
      </c>
      <c r="H11" s="15">
        <f t="shared" si="5"/>
        <v>10</v>
      </c>
      <c r="I11" s="14">
        <f>H11/B3</f>
        <v>1</v>
      </c>
      <c r="J11" s="2">
        <v>0.0</v>
      </c>
      <c r="K11" s="2">
        <v>0.0</v>
      </c>
      <c r="L11" s="2">
        <v>0.0</v>
      </c>
      <c r="M11" s="7"/>
      <c r="N11" s="7"/>
    </row>
    <row r="12">
      <c r="A12" s="12">
        <v>46085.0</v>
      </c>
      <c r="B12" s="6" t="s">
        <v>61</v>
      </c>
      <c r="C12" s="2">
        <v>0.0</v>
      </c>
      <c r="D12" s="16">
        <f t="shared" si="3"/>
        <v>10</v>
      </c>
      <c r="E12" s="17">
        <f>D12/B1</f>
        <v>1</v>
      </c>
      <c r="F12" s="16">
        <f t="shared" si="4"/>
        <v>10</v>
      </c>
      <c r="G12" s="17">
        <f>F12/B2</f>
        <v>1</v>
      </c>
      <c r="H12" s="15">
        <f t="shared" si="5"/>
        <v>10</v>
      </c>
      <c r="I12" s="14">
        <f>H12/B3</f>
        <v>1</v>
      </c>
      <c r="J12" s="2">
        <v>0.0</v>
      </c>
      <c r="K12" s="2">
        <v>0.0</v>
      </c>
      <c r="L12" s="2">
        <v>0.0</v>
      </c>
      <c r="M12" s="7"/>
      <c r="N12" s="7"/>
    </row>
    <row r="13">
      <c r="A13" s="12">
        <v>46085.0</v>
      </c>
      <c r="B13" s="6" t="s">
        <v>62</v>
      </c>
      <c r="C13" s="2">
        <v>0.0</v>
      </c>
      <c r="D13" s="16">
        <f t="shared" si="3"/>
        <v>10</v>
      </c>
      <c r="E13" s="17">
        <f>D13/B1</f>
        <v>1</v>
      </c>
      <c r="F13" s="16">
        <f t="shared" si="4"/>
        <v>10</v>
      </c>
      <c r="G13" s="17">
        <f>F13/B2</f>
        <v>1</v>
      </c>
      <c r="H13" s="15">
        <f t="shared" si="5"/>
        <v>10</v>
      </c>
      <c r="I13" s="14">
        <f>H13/B3</f>
        <v>1</v>
      </c>
      <c r="J13" s="2">
        <v>0.0</v>
      </c>
      <c r="K13" s="2">
        <v>0.0</v>
      </c>
      <c r="L13" s="2">
        <v>0.0</v>
      </c>
      <c r="M13" s="7"/>
      <c r="N13" s="7"/>
    </row>
    <row r="14">
      <c r="A14" s="12">
        <v>46085.0</v>
      </c>
      <c r="B14" s="6" t="s">
        <v>63</v>
      </c>
      <c r="C14" s="2">
        <v>0.0</v>
      </c>
      <c r="D14" s="16">
        <f t="shared" si="3"/>
        <v>10</v>
      </c>
      <c r="E14" s="17">
        <f>D14/B1</f>
        <v>1</v>
      </c>
      <c r="F14" s="16">
        <f t="shared" si="4"/>
        <v>10</v>
      </c>
      <c r="G14" s="17">
        <f>F14/B2</f>
        <v>1</v>
      </c>
      <c r="H14" s="15">
        <f t="shared" si="5"/>
        <v>10</v>
      </c>
      <c r="I14" s="14">
        <f>H14/B3</f>
        <v>1</v>
      </c>
      <c r="J14" s="2">
        <v>0.0</v>
      </c>
      <c r="K14" s="2">
        <v>0.0</v>
      </c>
      <c r="L14" s="2">
        <v>0.0</v>
      </c>
      <c r="M14" s="7"/>
      <c r="N14" s="7"/>
    </row>
    <row r="15">
      <c r="A15" s="12">
        <v>46086.0</v>
      </c>
      <c r="B15" s="6" t="s">
        <v>61</v>
      </c>
      <c r="C15" s="2">
        <v>0.0</v>
      </c>
      <c r="D15" s="16">
        <f t="shared" si="3"/>
        <v>10</v>
      </c>
      <c r="E15" s="17">
        <f>D15/B1</f>
        <v>1</v>
      </c>
      <c r="F15" s="16">
        <f t="shared" si="4"/>
        <v>10</v>
      </c>
      <c r="G15" s="17">
        <f>F15/B2</f>
        <v>1</v>
      </c>
      <c r="H15" s="15">
        <f t="shared" si="5"/>
        <v>10</v>
      </c>
      <c r="I15" s="14">
        <f>H15/B3</f>
        <v>1</v>
      </c>
      <c r="J15" s="2">
        <v>0.0</v>
      </c>
      <c r="K15" s="2">
        <v>0.0</v>
      </c>
      <c r="L15" s="2">
        <v>0.0</v>
      </c>
      <c r="M15" s="7"/>
      <c r="N15" s="7"/>
    </row>
    <row r="16">
      <c r="A16" s="12">
        <v>46086.0</v>
      </c>
      <c r="B16" s="6" t="s">
        <v>62</v>
      </c>
      <c r="C16" s="2">
        <v>0.0</v>
      </c>
      <c r="D16" s="16">
        <f t="shared" si="3"/>
        <v>10</v>
      </c>
      <c r="E16" s="17">
        <f>D16/B1</f>
        <v>1</v>
      </c>
      <c r="F16" s="16">
        <f t="shared" si="4"/>
        <v>10</v>
      </c>
      <c r="G16" s="17">
        <f>F16/B2</f>
        <v>1</v>
      </c>
      <c r="H16" s="15">
        <f t="shared" si="5"/>
        <v>10</v>
      </c>
      <c r="I16" s="14">
        <f>H16/B3</f>
        <v>1</v>
      </c>
      <c r="J16" s="2">
        <v>0.0</v>
      </c>
      <c r="K16" s="2">
        <v>0.0</v>
      </c>
      <c r="L16" s="2">
        <v>0.0</v>
      </c>
      <c r="M16" s="7"/>
      <c r="N16" s="7"/>
    </row>
    <row r="17">
      <c r="A17" s="12">
        <v>46086.0</v>
      </c>
      <c r="B17" s="6" t="s">
        <v>63</v>
      </c>
      <c r="C17" s="2">
        <v>0.0</v>
      </c>
      <c r="D17" s="16">
        <f t="shared" si="3"/>
        <v>10</v>
      </c>
      <c r="E17" s="17">
        <f>D17/B1</f>
        <v>1</v>
      </c>
      <c r="F17" s="16">
        <f t="shared" si="4"/>
        <v>10</v>
      </c>
      <c r="G17" s="17">
        <f>F17/B2</f>
        <v>1</v>
      </c>
      <c r="H17" s="15">
        <f t="shared" si="5"/>
        <v>10</v>
      </c>
      <c r="I17" s="14">
        <f>H17/B3</f>
        <v>1</v>
      </c>
      <c r="J17" s="2">
        <v>0.0</v>
      </c>
      <c r="K17" s="2">
        <v>0.0</v>
      </c>
      <c r="L17" s="2">
        <v>0.0</v>
      </c>
      <c r="M17" s="7"/>
      <c r="N17" s="7"/>
    </row>
    <row r="18">
      <c r="A18" s="12">
        <v>46087.0</v>
      </c>
      <c r="B18" s="6" t="s">
        <v>61</v>
      </c>
      <c r="C18" s="2">
        <v>0.0</v>
      </c>
      <c r="D18" s="16">
        <f t="shared" si="3"/>
        <v>10</v>
      </c>
      <c r="E18" s="17">
        <f>D18/B1</f>
        <v>1</v>
      </c>
      <c r="F18" s="16">
        <f t="shared" si="4"/>
        <v>10</v>
      </c>
      <c r="G18" s="17">
        <f>F18/B2</f>
        <v>1</v>
      </c>
      <c r="H18" s="15">
        <f t="shared" si="5"/>
        <v>10</v>
      </c>
      <c r="I18" s="14">
        <f>H18/B3</f>
        <v>1</v>
      </c>
      <c r="J18" s="2">
        <v>0.0</v>
      </c>
      <c r="K18" s="2">
        <v>0.0</v>
      </c>
      <c r="L18" s="2">
        <v>0.0</v>
      </c>
      <c r="M18" s="7"/>
      <c r="N18" s="7"/>
    </row>
    <row r="19">
      <c r="A19" s="12">
        <v>46087.0</v>
      </c>
      <c r="B19" s="6" t="s">
        <v>62</v>
      </c>
      <c r="C19" s="2">
        <v>0.0</v>
      </c>
      <c r="D19" s="16">
        <f t="shared" si="3"/>
        <v>10</v>
      </c>
      <c r="E19" s="17">
        <f>D19/B1</f>
        <v>1</v>
      </c>
      <c r="F19" s="16">
        <f t="shared" si="4"/>
        <v>10</v>
      </c>
      <c r="G19" s="17">
        <f>F19/B2</f>
        <v>1</v>
      </c>
      <c r="H19" s="15">
        <f t="shared" si="5"/>
        <v>10</v>
      </c>
      <c r="I19" s="14">
        <f>H19/B3</f>
        <v>1</v>
      </c>
      <c r="J19" s="2">
        <v>0.0</v>
      </c>
      <c r="K19" s="2">
        <v>0.0</v>
      </c>
      <c r="L19" s="2">
        <v>0.0</v>
      </c>
      <c r="M19" s="7"/>
      <c r="N19" s="7"/>
    </row>
    <row r="20">
      <c r="A20" s="12">
        <v>46087.0</v>
      </c>
      <c r="B20" s="6" t="s">
        <v>63</v>
      </c>
      <c r="C20" s="2">
        <v>0.0</v>
      </c>
      <c r="D20" s="16">
        <f t="shared" si="3"/>
        <v>10</v>
      </c>
      <c r="E20" s="17">
        <f>D20/B1</f>
        <v>1</v>
      </c>
      <c r="F20" s="16">
        <f t="shared" si="4"/>
        <v>10</v>
      </c>
      <c r="G20" s="17">
        <f>F20/B2</f>
        <v>1</v>
      </c>
      <c r="H20" s="15">
        <f t="shared" si="5"/>
        <v>10</v>
      </c>
      <c r="I20" s="14">
        <f>H20/B3</f>
        <v>1</v>
      </c>
      <c r="J20" s="2">
        <v>0.0</v>
      </c>
      <c r="K20" s="2">
        <v>0.0</v>
      </c>
      <c r="L20" s="2">
        <v>0.0</v>
      </c>
      <c r="M20" s="7"/>
      <c r="N20" s="7"/>
    </row>
    <row r="21">
      <c r="A21" s="12">
        <v>46088.0</v>
      </c>
      <c r="B21" s="6" t="s">
        <v>61</v>
      </c>
      <c r="C21" s="2">
        <v>0.0</v>
      </c>
      <c r="D21" s="16">
        <f t="shared" si="3"/>
        <v>10</v>
      </c>
      <c r="E21" s="17">
        <f>D21/B1</f>
        <v>1</v>
      </c>
      <c r="F21" s="16">
        <f t="shared" si="4"/>
        <v>10</v>
      </c>
      <c r="G21" s="17">
        <f>F21/B2</f>
        <v>1</v>
      </c>
      <c r="H21" s="15">
        <f t="shared" si="5"/>
        <v>10</v>
      </c>
      <c r="I21" s="14">
        <f>H21/B3</f>
        <v>1</v>
      </c>
      <c r="J21" s="2">
        <v>0.0</v>
      </c>
      <c r="K21" s="2">
        <v>0.0</v>
      </c>
      <c r="L21" s="2">
        <v>0.0</v>
      </c>
      <c r="M21" s="7"/>
      <c r="N21" s="7"/>
    </row>
    <row r="22">
      <c r="A22" s="12">
        <v>46088.0</v>
      </c>
      <c r="B22" s="6" t="s">
        <v>62</v>
      </c>
      <c r="C22" s="2">
        <v>0.0</v>
      </c>
      <c r="D22" s="16">
        <f t="shared" si="3"/>
        <v>10</v>
      </c>
      <c r="E22" s="17">
        <f>D22/B1</f>
        <v>1</v>
      </c>
      <c r="F22" s="16">
        <f t="shared" si="4"/>
        <v>10</v>
      </c>
      <c r="G22" s="17">
        <f>F22/B2</f>
        <v>1</v>
      </c>
      <c r="H22" s="15">
        <f t="shared" si="5"/>
        <v>10</v>
      </c>
      <c r="I22" s="14">
        <f>H22/B3</f>
        <v>1</v>
      </c>
      <c r="J22" s="2">
        <v>0.0</v>
      </c>
      <c r="K22" s="2">
        <v>0.0</v>
      </c>
      <c r="L22" s="2">
        <v>0.0</v>
      </c>
      <c r="M22" s="7"/>
      <c r="N22" s="7"/>
    </row>
    <row r="23">
      <c r="A23" s="12">
        <v>46088.0</v>
      </c>
      <c r="B23" s="6" t="s">
        <v>63</v>
      </c>
      <c r="C23" s="2">
        <v>0.0</v>
      </c>
      <c r="D23" s="16">
        <f t="shared" si="3"/>
        <v>10</v>
      </c>
      <c r="E23" s="17">
        <f>D23/B1</f>
        <v>1</v>
      </c>
      <c r="F23" s="16">
        <f t="shared" si="4"/>
        <v>10</v>
      </c>
      <c r="G23" s="17">
        <f>F23/B2</f>
        <v>1</v>
      </c>
      <c r="H23" s="15">
        <f t="shared" si="5"/>
        <v>10</v>
      </c>
      <c r="I23" s="14">
        <f>H23/B3</f>
        <v>1</v>
      </c>
      <c r="J23" s="2">
        <v>0.0</v>
      </c>
      <c r="K23" s="2">
        <v>0.0</v>
      </c>
      <c r="L23" s="2">
        <v>0.0</v>
      </c>
      <c r="M23" s="7"/>
      <c r="N23" s="7"/>
    </row>
    <row r="24">
      <c r="A24" s="12">
        <v>46089.0</v>
      </c>
      <c r="B24" s="6" t="s">
        <v>61</v>
      </c>
      <c r="C24" s="2">
        <v>0.0</v>
      </c>
      <c r="D24" s="16">
        <f t="shared" si="3"/>
        <v>10</v>
      </c>
      <c r="E24" s="17">
        <f>D24/B1</f>
        <v>1</v>
      </c>
      <c r="F24" s="16">
        <f t="shared" si="4"/>
        <v>10</v>
      </c>
      <c r="G24" s="17">
        <f>F24/B2</f>
        <v>1</v>
      </c>
      <c r="H24" s="15">
        <f t="shared" si="5"/>
        <v>10</v>
      </c>
      <c r="I24" s="14">
        <f>H24/B3</f>
        <v>1</v>
      </c>
      <c r="J24" s="2">
        <v>0.0</v>
      </c>
      <c r="K24" s="2">
        <v>0.0</v>
      </c>
      <c r="L24" s="2">
        <v>0.0</v>
      </c>
      <c r="M24" s="7"/>
      <c r="N24" s="7"/>
    </row>
    <row r="25">
      <c r="A25" s="12">
        <v>46089.0</v>
      </c>
      <c r="B25" s="6" t="s">
        <v>62</v>
      </c>
      <c r="C25" s="2">
        <v>0.0</v>
      </c>
      <c r="D25" s="16">
        <f t="shared" si="3"/>
        <v>10</v>
      </c>
      <c r="E25" s="17">
        <f>D25/B1</f>
        <v>1</v>
      </c>
      <c r="F25" s="16">
        <f t="shared" si="4"/>
        <v>10</v>
      </c>
      <c r="G25" s="17">
        <f>F25/B2</f>
        <v>1</v>
      </c>
      <c r="H25" s="15">
        <f t="shared" si="5"/>
        <v>10</v>
      </c>
      <c r="I25" s="14">
        <f>H25/B3</f>
        <v>1</v>
      </c>
      <c r="J25" s="2">
        <v>0.0</v>
      </c>
      <c r="K25" s="2">
        <v>0.0</v>
      </c>
      <c r="L25" s="2">
        <v>0.0</v>
      </c>
      <c r="M25" s="7"/>
      <c r="N25" s="7"/>
    </row>
    <row r="26">
      <c r="A26" s="12">
        <v>46089.0</v>
      </c>
      <c r="B26" s="6" t="s">
        <v>63</v>
      </c>
      <c r="C26" s="2">
        <v>0.0</v>
      </c>
      <c r="D26" s="16">
        <f t="shared" si="3"/>
        <v>10</v>
      </c>
      <c r="E26" s="17">
        <f>D26/B1</f>
        <v>1</v>
      </c>
      <c r="F26" s="16">
        <f t="shared" si="4"/>
        <v>10</v>
      </c>
      <c r="G26" s="17">
        <f>F26/B2</f>
        <v>1</v>
      </c>
      <c r="H26" s="15">
        <f t="shared" si="5"/>
        <v>10</v>
      </c>
      <c r="I26" s="14">
        <f>H26/B3</f>
        <v>1</v>
      </c>
      <c r="J26" s="2">
        <v>0.0</v>
      </c>
      <c r="K26" s="2">
        <v>0.0</v>
      </c>
      <c r="L26" s="2">
        <v>0.0</v>
      </c>
      <c r="M26" s="7"/>
      <c r="N26" s="7"/>
    </row>
    <row r="27">
      <c r="A27" s="12">
        <v>46090.0</v>
      </c>
      <c r="B27" s="6" t="s">
        <v>61</v>
      </c>
      <c r="C27" s="2">
        <v>0.0</v>
      </c>
      <c r="D27" s="16">
        <f t="shared" si="3"/>
        <v>10</v>
      </c>
      <c r="E27" s="17">
        <f>D27/B1</f>
        <v>1</v>
      </c>
      <c r="F27" s="16">
        <f t="shared" si="4"/>
        <v>10</v>
      </c>
      <c r="G27" s="17">
        <f>F27/B2</f>
        <v>1</v>
      </c>
      <c r="H27" s="15">
        <f t="shared" si="5"/>
        <v>10</v>
      </c>
      <c r="I27" s="14">
        <f>H27/B3</f>
        <v>1</v>
      </c>
      <c r="J27" s="2">
        <v>0.0</v>
      </c>
      <c r="K27" s="2">
        <v>0.0</v>
      </c>
      <c r="L27" s="2">
        <v>0.0</v>
      </c>
      <c r="M27" s="7"/>
      <c r="N27" s="7"/>
    </row>
    <row r="28">
      <c r="A28" s="12">
        <v>46090.0</v>
      </c>
      <c r="B28" s="6" t="s">
        <v>62</v>
      </c>
      <c r="C28" s="2">
        <v>0.0</v>
      </c>
      <c r="D28" s="16">
        <f t="shared" si="3"/>
        <v>10</v>
      </c>
      <c r="E28" s="17">
        <f>D28/B1</f>
        <v>1</v>
      </c>
      <c r="F28" s="16">
        <f t="shared" si="4"/>
        <v>10</v>
      </c>
      <c r="G28" s="17">
        <f>F28/B2</f>
        <v>1</v>
      </c>
      <c r="H28" s="15">
        <f t="shared" si="5"/>
        <v>10</v>
      </c>
      <c r="I28" s="14">
        <f>H28/B3</f>
        <v>1</v>
      </c>
      <c r="J28" s="2">
        <v>0.0</v>
      </c>
      <c r="K28" s="2">
        <v>0.0</v>
      </c>
      <c r="L28" s="2">
        <v>0.0</v>
      </c>
      <c r="M28" s="7"/>
      <c r="N28" s="7"/>
    </row>
    <row r="29">
      <c r="A29" s="12">
        <v>46090.0</v>
      </c>
      <c r="B29" s="6" t="s">
        <v>63</v>
      </c>
      <c r="C29" s="2">
        <v>0.0</v>
      </c>
      <c r="D29" s="16">
        <f t="shared" si="3"/>
        <v>10</v>
      </c>
      <c r="E29" s="17">
        <f>D29/B1</f>
        <v>1</v>
      </c>
      <c r="F29" s="16">
        <f t="shared" si="4"/>
        <v>10</v>
      </c>
      <c r="G29" s="17">
        <f>F29/B2</f>
        <v>1</v>
      </c>
      <c r="H29" s="15">
        <f t="shared" si="5"/>
        <v>10</v>
      </c>
      <c r="I29" s="14">
        <f>H29/B3</f>
        <v>1</v>
      </c>
      <c r="J29" s="2">
        <v>0.0</v>
      </c>
      <c r="K29" s="2">
        <v>0.0</v>
      </c>
      <c r="L29" s="2">
        <v>0.0</v>
      </c>
      <c r="M29" s="7"/>
      <c r="N29" s="7"/>
    </row>
    <row r="30">
      <c r="A30" s="12">
        <v>46091.0</v>
      </c>
      <c r="B30" s="6" t="s">
        <v>61</v>
      </c>
      <c r="C30" s="2">
        <v>0.0</v>
      </c>
      <c r="D30" s="16">
        <f t="shared" si="3"/>
        <v>10</v>
      </c>
      <c r="E30" s="17">
        <f>D30/B1</f>
        <v>1</v>
      </c>
      <c r="F30" s="16">
        <f t="shared" si="4"/>
        <v>10</v>
      </c>
      <c r="G30" s="17">
        <f>F30/B2</f>
        <v>1</v>
      </c>
      <c r="H30" s="15">
        <f t="shared" si="5"/>
        <v>10</v>
      </c>
      <c r="I30" s="14">
        <f>H30/B3</f>
        <v>1</v>
      </c>
      <c r="J30" s="2">
        <v>0.0</v>
      </c>
      <c r="K30" s="2">
        <v>0.0</v>
      </c>
      <c r="L30" s="2">
        <v>0.0</v>
      </c>
      <c r="M30" s="7"/>
      <c r="N30" s="7"/>
    </row>
    <row r="31">
      <c r="A31" s="12">
        <v>46091.0</v>
      </c>
      <c r="B31" s="6" t="s">
        <v>62</v>
      </c>
      <c r="C31" s="2">
        <v>0.0</v>
      </c>
      <c r="D31" s="16">
        <f t="shared" si="3"/>
        <v>10</v>
      </c>
      <c r="E31" s="17">
        <f>D31/B1</f>
        <v>1</v>
      </c>
      <c r="F31" s="16">
        <f t="shared" si="4"/>
        <v>10</v>
      </c>
      <c r="G31" s="17">
        <f>F31/B2</f>
        <v>1</v>
      </c>
      <c r="H31" s="15">
        <f t="shared" si="5"/>
        <v>10</v>
      </c>
      <c r="I31" s="14">
        <f>H31/B3</f>
        <v>1</v>
      </c>
      <c r="J31" s="2">
        <v>0.0</v>
      </c>
      <c r="K31" s="2">
        <v>0.0</v>
      </c>
      <c r="L31" s="2">
        <v>0.0</v>
      </c>
      <c r="M31" s="7"/>
      <c r="N31" s="7"/>
    </row>
    <row r="32">
      <c r="A32" s="12">
        <v>46091.0</v>
      </c>
      <c r="B32" s="6" t="s">
        <v>63</v>
      </c>
      <c r="C32" s="2">
        <v>0.0</v>
      </c>
      <c r="D32" s="16">
        <f t="shared" si="3"/>
        <v>10</v>
      </c>
      <c r="E32" s="17">
        <f>D32/B1</f>
        <v>1</v>
      </c>
      <c r="F32" s="16">
        <f t="shared" si="4"/>
        <v>10</v>
      </c>
      <c r="G32" s="17">
        <f>F32/B2</f>
        <v>1</v>
      </c>
      <c r="H32" s="15">
        <f t="shared" si="5"/>
        <v>10</v>
      </c>
      <c r="I32" s="14">
        <f>H32/B3</f>
        <v>1</v>
      </c>
      <c r="J32" s="2">
        <v>0.0</v>
      </c>
      <c r="K32" s="2">
        <v>0.0</v>
      </c>
      <c r="L32" s="2">
        <v>0.0</v>
      </c>
      <c r="M32" s="7"/>
      <c r="N32" s="7"/>
    </row>
    <row r="33">
      <c r="A33" s="12">
        <v>46092.0</v>
      </c>
      <c r="B33" s="6" t="s">
        <v>61</v>
      </c>
      <c r="C33" s="2">
        <v>0.0</v>
      </c>
      <c r="D33" s="16">
        <f t="shared" si="3"/>
        <v>10</v>
      </c>
      <c r="E33" s="17">
        <f>D33/B1</f>
        <v>1</v>
      </c>
      <c r="F33" s="16">
        <f t="shared" si="4"/>
        <v>10</v>
      </c>
      <c r="G33" s="17">
        <f>F33/B2</f>
        <v>1</v>
      </c>
      <c r="H33" s="15">
        <f t="shared" si="5"/>
        <v>10</v>
      </c>
      <c r="I33" s="14">
        <f>H33/B3</f>
        <v>1</v>
      </c>
      <c r="J33" s="2">
        <v>0.0</v>
      </c>
      <c r="K33" s="2">
        <v>0.0</v>
      </c>
      <c r="L33" s="2">
        <v>0.0</v>
      </c>
      <c r="M33" s="7"/>
      <c r="N33" s="7"/>
    </row>
    <row r="34">
      <c r="A34" s="12">
        <v>46092.0</v>
      </c>
      <c r="B34" s="6" t="s">
        <v>62</v>
      </c>
      <c r="C34" s="2">
        <v>0.0</v>
      </c>
      <c r="D34" s="16">
        <f t="shared" si="3"/>
        <v>10</v>
      </c>
      <c r="E34" s="17">
        <f>D34/B1</f>
        <v>1</v>
      </c>
      <c r="F34" s="16">
        <f t="shared" si="4"/>
        <v>10</v>
      </c>
      <c r="G34" s="17">
        <f>F34/B2</f>
        <v>1</v>
      </c>
      <c r="H34" s="15">
        <f t="shared" si="5"/>
        <v>10</v>
      </c>
      <c r="I34" s="14">
        <f>H34/B3</f>
        <v>1</v>
      </c>
      <c r="J34" s="2">
        <v>0.0</v>
      </c>
      <c r="K34" s="2">
        <v>0.0</v>
      </c>
      <c r="L34" s="2">
        <v>0.0</v>
      </c>
      <c r="M34" s="7"/>
      <c r="N34" s="7"/>
    </row>
    <row r="35">
      <c r="A35" s="12">
        <v>46092.0</v>
      </c>
      <c r="B35" s="6" t="s">
        <v>63</v>
      </c>
      <c r="C35" s="2">
        <v>0.0</v>
      </c>
      <c r="D35" s="16">
        <f t="shared" si="3"/>
        <v>10</v>
      </c>
      <c r="E35" s="17">
        <f>D35/B1</f>
        <v>1</v>
      </c>
      <c r="F35" s="16">
        <f t="shared" si="4"/>
        <v>10</v>
      </c>
      <c r="G35" s="17">
        <f>F35/B2</f>
        <v>1</v>
      </c>
      <c r="H35" s="15">
        <f t="shared" si="5"/>
        <v>10</v>
      </c>
      <c r="I35" s="14">
        <f>H35/B3</f>
        <v>1</v>
      </c>
      <c r="J35" s="2">
        <v>0.0</v>
      </c>
      <c r="K35" s="2">
        <v>0.0</v>
      </c>
      <c r="L35" s="2">
        <v>0.0</v>
      </c>
      <c r="M35" s="7"/>
      <c r="N35" s="7"/>
    </row>
    <row r="36">
      <c r="A36" s="12">
        <v>46093.0</v>
      </c>
      <c r="B36" s="6" t="s">
        <v>61</v>
      </c>
      <c r="C36" s="2">
        <v>0.0</v>
      </c>
      <c r="D36" s="16">
        <f t="shared" si="3"/>
        <v>10</v>
      </c>
      <c r="E36" s="17">
        <f>D36/B1</f>
        <v>1</v>
      </c>
      <c r="F36" s="16">
        <f t="shared" si="4"/>
        <v>10</v>
      </c>
      <c r="G36" s="17">
        <f>F36/B2</f>
        <v>1</v>
      </c>
      <c r="H36" s="15">
        <f t="shared" si="5"/>
        <v>10</v>
      </c>
      <c r="I36" s="14">
        <f>H36/B3</f>
        <v>1</v>
      </c>
      <c r="J36" s="2">
        <v>0.0</v>
      </c>
      <c r="K36" s="2">
        <v>0.0</v>
      </c>
      <c r="L36" s="2">
        <v>0.0</v>
      </c>
      <c r="M36" s="7"/>
      <c r="N36" s="7"/>
    </row>
    <row r="37">
      <c r="A37" s="12">
        <v>46093.0</v>
      </c>
      <c r="B37" s="6" t="s">
        <v>62</v>
      </c>
      <c r="C37" s="2">
        <v>0.0</v>
      </c>
      <c r="D37" s="16">
        <f t="shared" si="3"/>
        <v>10</v>
      </c>
      <c r="E37" s="17">
        <f>D37/B1</f>
        <v>1</v>
      </c>
      <c r="F37" s="16">
        <f t="shared" si="4"/>
        <v>10</v>
      </c>
      <c r="G37" s="17">
        <f>F37/B2</f>
        <v>1</v>
      </c>
      <c r="H37" s="15">
        <f t="shared" si="5"/>
        <v>10</v>
      </c>
      <c r="I37" s="14">
        <f>H37/B3</f>
        <v>1</v>
      </c>
      <c r="J37" s="2">
        <v>0.0</v>
      </c>
      <c r="K37" s="2">
        <v>0.0</v>
      </c>
      <c r="L37" s="2">
        <v>0.0</v>
      </c>
      <c r="M37" s="7"/>
      <c r="N37" s="7"/>
    </row>
    <row r="38">
      <c r="A38" s="12">
        <v>46093.0</v>
      </c>
      <c r="B38" s="6" t="s">
        <v>63</v>
      </c>
      <c r="C38" s="2">
        <v>0.0</v>
      </c>
      <c r="D38" s="16">
        <f t="shared" si="3"/>
        <v>10</v>
      </c>
      <c r="E38" s="17">
        <f>D38/B1</f>
        <v>1</v>
      </c>
      <c r="F38" s="16">
        <f t="shared" si="4"/>
        <v>10</v>
      </c>
      <c r="G38" s="17">
        <f>F38/B2</f>
        <v>1</v>
      </c>
      <c r="H38" s="15">
        <f t="shared" si="5"/>
        <v>10</v>
      </c>
      <c r="I38" s="14">
        <f>H38/B3</f>
        <v>1</v>
      </c>
      <c r="J38" s="2">
        <v>0.0</v>
      </c>
      <c r="K38" s="2">
        <v>0.0</v>
      </c>
      <c r="L38" s="2">
        <v>0.0</v>
      </c>
      <c r="M38" s="7"/>
      <c r="N38" s="7"/>
    </row>
    <row r="39">
      <c r="A39" s="12">
        <v>46094.0</v>
      </c>
      <c r="B39" s="6" t="s">
        <v>61</v>
      </c>
      <c r="C39" s="2">
        <v>1.47</v>
      </c>
      <c r="D39" s="16">
        <f t="shared" si="3"/>
        <v>8.53</v>
      </c>
      <c r="E39" s="17">
        <f>D39/B1</f>
        <v>0.853</v>
      </c>
      <c r="F39" s="16">
        <f t="shared" si="4"/>
        <v>10</v>
      </c>
      <c r="G39" s="17">
        <f>F39/B2</f>
        <v>1</v>
      </c>
      <c r="H39" s="15">
        <f t="shared" si="5"/>
        <v>10</v>
      </c>
      <c r="I39" s="14">
        <f>H39/B3</f>
        <v>1</v>
      </c>
      <c r="J39" s="2">
        <v>0.0</v>
      </c>
      <c r="K39" s="2">
        <v>0.0</v>
      </c>
      <c r="L39" s="2">
        <v>0.0</v>
      </c>
      <c r="M39" s="7"/>
      <c r="N39" s="7"/>
    </row>
    <row r="40">
      <c r="A40" s="12">
        <v>46094.0</v>
      </c>
      <c r="B40" s="6" t="s">
        <v>62</v>
      </c>
      <c r="C40" s="2">
        <v>0.0</v>
      </c>
      <c r="D40" s="16">
        <f t="shared" si="3"/>
        <v>8.53</v>
      </c>
      <c r="E40" s="17">
        <f>D40/B1</f>
        <v>0.853</v>
      </c>
      <c r="F40" s="16">
        <f t="shared" si="4"/>
        <v>10</v>
      </c>
      <c r="G40" s="17">
        <f>F40/B2</f>
        <v>1</v>
      </c>
      <c r="H40" s="15">
        <f t="shared" si="5"/>
        <v>10</v>
      </c>
      <c r="I40" s="14">
        <f>H40/B3</f>
        <v>1</v>
      </c>
      <c r="J40" s="2">
        <v>0.0</v>
      </c>
      <c r="K40" s="2">
        <v>0.0</v>
      </c>
      <c r="L40" s="2">
        <v>0.0</v>
      </c>
      <c r="M40" s="7"/>
      <c r="N40" s="7"/>
    </row>
    <row r="41">
      <c r="A41" s="12">
        <v>46094.0</v>
      </c>
      <c r="B41" s="6" t="s">
        <v>63</v>
      </c>
      <c r="C41" s="2">
        <v>0.0</v>
      </c>
      <c r="D41" s="16">
        <f t="shared" si="3"/>
        <v>8.53</v>
      </c>
      <c r="E41" s="17">
        <f>D41/B1</f>
        <v>0.853</v>
      </c>
      <c r="F41" s="16">
        <f t="shared" si="4"/>
        <v>10</v>
      </c>
      <c r="G41" s="17">
        <f>F41/B2</f>
        <v>1</v>
      </c>
      <c r="H41" s="15">
        <f t="shared" si="5"/>
        <v>10</v>
      </c>
      <c r="I41" s="14">
        <f>H41/B3</f>
        <v>1</v>
      </c>
      <c r="J41" s="2">
        <v>0.0</v>
      </c>
      <c r="K41" s="2">
        <v>0.0</v>
      </c>
      <c r="L41" s="2">
        <v>0.0</v>
      </c>
      <c r="M41" s="7"/>
      <c r="N41" s="7"/>
    </row>
    <row r="42">
      <c r="A42" s="12">
        <v>46095.0</v>
      </c>
      <c r="B42" s="6" t="s">
        <v>61</v>
      </c>
      <c r="C42" s="2">
        <v>0.0</v>
      </c>
      <c r="D42" s="16">
        <f t="shared" si="3"/>
        <v>8.53</v>
      </c>
      <c r="E42" s="17">
        <f>D42/B1</f>
        <v>0.853</v>
      </c>
      <c r="F42" s="16">
        <f t="shared" si="4"/>
        <v>10</v>
      </c>
      <c r="G42" s="17">
        <f>F42/B2</f>
        <v>1</v>
      </c>
      <c r="H42" s="15">
        <f t="shared" si="5"/>
        <v>10</v>
      </c>
      <c r="I42" s="14">
        <f>H42/B3</f>
        <v>1</v>
      </c>
      <c r="J42" s="2">
        <v>0.0</v>
      </c>
      <c r="K42" s="2">
        <v>0.0</v>
      </c>
      <c r="L42" s="2">
        <v>0.0</v>
      </c>
      <c r="M42" s="7"/>
      <c r="N42" s="7"/>
    </row>
    <row r="43">
      <c r="A43" s="12">
        <v>46095.0</v>
      </c>
      <c r="B43" s="6" t="s">
        <v>62</v>
      </c>
      <c r="C43" s="2">
        <v>0.0</v>
      </c>
      <c r="D43" s="16">
        <f t="shared" si="3"/>
        <v>8.53</v>
      </c>
      <c r="E43" s="17">
        <f>D43/B1</f>
        <v>0.853</v>
      </c>
      <c r="F43" s="16">
        <f t="shared" si="4"/>
        <v>10</v>
      </c>
      <c r="G43" s="17">
        <f>F43/B2</f>
        <v>1</v>
      </c>
      <c r="H43" s="15">
        <f t="shared" si="5"/>
        <v>10</v>
      </c>
      <c r="I43" s="14">
        <f>H43/B3</f>
        <v>1</v>
      </c>
      <c r="J43" s="2">
        <v>0.0</v>
      </c>
      <c r="K43" s="2">
        <v>0.0</v>
      </c>
      <c r="L43" s="2">
        <v>0.0</v>
      </c>
      <c r="M43" s="7"/>
      <c r="N43" s="7"/>
    </row>
    <row r="44">
      <c r="A44" s="12">
        <v>46095.0</v>
      </c>
      <c r="B44" s="6" t="s">
        <v>63</v>
      </c>
      <c r="C44" s="2">
        <v>0.0</v>
      </c>
      <c r="D44" s="16">
        <f t="shared" si="3"/>
        <v>8.53</v>
      </c>
      <c r="E44" s="17">
        <f>D44/B1</f>
        <v>0.853</v>
      </c>
      <c r="F44" s="16">
        <f t="shared" si="4"/>
        <v>10</v>
      </c>
      <c r="G44" s="17">
        <f>F44/B2</f>
        <v>1</v>
      </c>
      <c r="H44" s="15">
        <f t="shared" si="5"/>
        <v>10</v>
      </c>
      <c r="I44" s="14">
        <f>H44/B3</f>
        <v>1</v>
      </c>
      <c r="J44" s="2">
        <v>0.0</v>
      </c>
      <c r="K44" s="2">
        <v>0.0</v>
      </c>
      <c r="L44" s="2">
        <v>0.0</v>
      </c>
      <c r="M44" s="7"/>
      <c r="N44" s="7"/>
    </row>
    <row r="45">
      <c r="A45" s="12">
        <v>46096.0</v>
      </c>
      <c r="B45" s="6" t="s">
        <v>61</v>
      </c>
      <c r="C45" s="2">
        <v>0.0</v>
      </c>
      <c r="D45" s="16">
        <f t="shared" si="3"/>
        <v>8.53</v>
      </c>
      <c r="E45" s="17">
        <f>D45/B1</f>
        <v>0.853</v>
      </c>
      <c r="F45" s="16">
        <f t="shared" si="4"/>
        <v>10</v>
      </c>
      <c r="G45" s="17">
        <f>F45/B2</f>
        <v>1</v>
      </c>
      <c r="H45" s="15">
        <f t="shared" si="5"/>
        <v>10</v>
      </c>
      <c r="I45" s="14">
        <f>H45/B3</f>
        <v>1</v>
      </c>
      <c r="J45" s="2">
        <v>0.0</v>
      </c>
      <c r="K45" s="2">
        <v>0.0</v>
      </c>
      <c r="L45" s="2">
        <v>0.0</v>
      </c>
      <c r="M45" s="7"/>
      <c r="N45" s="7"/>
    </row>
    <row r="46">
      <c r="A46" s="12">
        <v>46096.0</v>
      </c>
      <c r="B46" s="6" t="s">
        <v>62</v>
      </c>
      <c r="C46" s="2">
        <v>0.0</v>
      </c>
      <c r="D46" s="16">
        <f t="shared" si="3"/>
        <v>8.53</v>
      </c>
      <c r="E46" s="17">
        <f>D46/B1</f>
        <v>0.853</v>
      </c>
      <c r="F46" s="16">
        <f t="shared" si="4"/>
        <v>10</v>
      </c>
      <c r="G46" s="17">
        <f>F46/B2</f>
        <v>1</v>
      </c>
      <c r="H46" s="15">
        <f t="shared" si="5"/>
        <v>10</v>
      </c>
      <c r="I46" s="14">
        <f>H46/B3</f>
        <v>1</v>
      </c>
      <c r="J46" s="2">
        <v>0.0</v>
      </c>
      <c r="K46" s="2">
        <v>0.0</v>
      </c>
      <c r="L46" s="2">
        <v>0.0</v>
      </c>
      <c r="M46" s="7"/>
      <c r="N46" s="7"/>
    </row>
    <row r="47">
      <c r="A47" s="12">
        <v>46096.0</v>
      </c>
      <c r="B47" s="6" t="s">
        <v>63</v>
      </c>
      <c r="C47" s="2">
        <v>0.0</v>
      </c>
      <c r="D47" s="16">
        <f t="shared" si="3"/>
        <v>8.53</v>
      </c>
      <c r="E47" s="17">
        <f>D47/B1</f>
        <v>0.853</v>
      </c>
      <c r="F47" s="16">
        <f t="shared" si="4"/>
        <v>10</v>
      </c>
      <c r="G47" s="17">
        <f>F47/B2</f>
        <v>1</v>
      </c>
      <c r="H47" s="15">
        <f t="shared" si="5"/>
        <v>10</v>
      </c>
      <c r="I47" s="14">
        <f>H47/B3</f>
        <v>1</v>
      </c>
      <c r="J47" s="2">
        <v>0.0</v>
      </c>
      <c r="K47" s="2">
        <v>0.0</v>
      </c>
      <c r="L47" s="2">
        <v>0.0</v>
      </c>
      <c r="M47" s="7"/>
      <c r="N47" s="7"/>
    </row>
    <row r="48">
      <c r="A48" s="12">
        <v>46097.0</v>
      </c>
      <c r="B48" s="6" t="s">
        <v>61</v>
      </c>
      <c r="C48" s="2">
        <v>0.0</v>
      </c>
      <c r="D48" s="16">
        <f t="shared" si="3"/>
        <v>8.53</v>
      </c>
      <c r="E48" s="17">
        <f>D48/B1</f>
        <v>0.853</v>
      </c>
      <c r="F48" s="16">
        <f t="shared" si="4"/>
        <v>10</v>
      </c>
      <c r="G48" s="17">
        <f>F48/B2</f>
        <v>1</v>
      </c>
      <c r="H48" s="15">
        <f t="shared" si="5"/>
        <v>10</v>
      </c>
      <c r="I48" s="14">
        <f>H48/B3</f>
        <v>1</v>
      </c>
      <c r="J48" s="2">
        <v>0.0</v>
      </c>
      <c r="K48" s="2">
        <v>0.0</v>
      </c>
      <c r="L48" s="2">
        <v>0.0</v>
      </c>
      <c r="M48" s="7"/>
      <c r="N48" s="7"/>
    </row>
    <row r="49">
      <c r="A49" s="12">
        <v>46097.0</v>
      </c>
      <c r="B49" s="6" t="s">
        <v>62</v>
      </c>
      <c r="C49" s="2">
        <v>0.0</v>
      </c>
      <c r="D49" s="16">
        <f t="shared" si="3"/>
        <v>8.53</v>
      </c>
      <c r="E49" s="17">
        <f>D49/B1</f>
        <v>0.853</v>
      </c>
      <c r="F49" s="16">
        <f t="shared" si="4"/>
        <v>10</v>
      </c>
      <c r="G49" s="17">
        <f>F49/B2</f>
        <v>1</v>
      </c>
      <c r="H49" s="15">
        <f t="shared" si="5"/>
        <v>10</v>
      </c>
      <c r="I49" s="14">
        <f>H49/B3</f>
        <v>1</v>
      </c>
      <c r="J49" s="2">
        <v>0.0</v>
      </c>
      <c r="K49" s="2">
        <v>0.0</v>
      </c>
      <c r="L49" s="2">
        <v>0.0</v>
      </c>
      <c r="M49" s="7"/>
      <c r="N49" s="7"/>
    </row>
    <row r="50">
      <c r="A50" s="12">
        <v>46097.0</v>
      </c>
      <c r="B50" s="6" t="s">
        <v>63</v>
      </c>
      <c r="C50" s="2">
        <v>0.0</v>
      </c>
      <c r="D50" s="16">
        <f t="shared" si="3"/>
        <v>8.53</v>
      </c>
      <c r="E50" s="17">
        <f>D50/B1</f>
        <v>0.853</v>
      </c>
      <c r="F50" s="16">
        <f t="shared" si="4"/>
        <v>10</v>
      </c>
      <c r="G50" s="17">
        <f>F50/B2</f>
        <v>1</v>
      </c>
      <c r="H50" s="15">
        <f t="shared" si="5"/>
        <v>10</v>
      </c>
      <c r="I50" s="14">
        <f>H50/B3</f>
        <v>1</v>
      </c>
      <c r="J50" s="2">
        <v>0.0</v>
      </c>
      <c r="K50" s="2">
        <v>0.0</v>
      </c>
      <c r="L50" s="2">
        <v>0.0</v>
      </c>
      <c r="M50" s="7"/>
      <c r="N50" s="7"/>
    </row>
    <row r="51">
      <c r="A51" s="12">
        <v>46098.0</v>
      </c>
      <c r="B51" s="6" t="s">
        <v>61</v>
      </c>
      <c r="C51" s="2">
        <v>0.0</v>
      </c>
      <c r="D51" s="16">
        <f t="shared" si="3"/>
        <v>8.53</v>
      </c>
      <c r="E51" s="17">
        <f>D51/B1</f>
        <v>0.853</v>
      </c>
      <c r="F51" s="16">
        <f t="shared" si="4"/>
        <v>10</v>
      </c>
      <c r="G51" s="17">
        <f>F51/B2</f>
        <v>1</v>
      </c>
      <c r="H51" s="15">
        <f t="shared" si="5"/>
        <v>10</v>
      </c>
      <c r="I51" s="14">
        <f>H51/B3</f>
        <v>1</v>
      </c>
      <c r="J51" s="2">
        <v>0.0</v>
      </c>
      <c r="K51" s="2">
        <v>0.0</v>
      </c>
      <c r="L51" s="2">
        <v>0.0</v>
      </c>
      <c r="M51" s="7"/>
      <c r="N51" s="7"/>
    </row>
    <row r="52">
      <c r="A52" s="12">
        <v>46098.0</v>
      </c>
      <c r="B52" s="6" t="s">
        <v>62</v>
      </c>
      <c r="C52" s="2">
        <v>0.0</v>
      </c>
      <c r="D52" s="16">
        <f t="shared" si="3"/>
        <v>8.53</v>
      </c>
      <c r="E52" s="17">
        <f>D52/B1</f>
        <v>0.853</v>
      </c>
      <c r="F52" s="16">
        <f t="shared" si="4"/>
        <v>10</v>
      </c>
      <c r="G52" s="17">
        <f>F52/B2</f>
        <v>1</v>
      </c>
      <c r="H52" s="15">
        <f t="shared" si="5"/>
        <v>10</v>
      </c>
      <c r="I52" s="14">
        <f>H52/B3</f>
        <v>1</v>
      </c>
      <c r="J52" s="2">
        <v>0.0</v>
      </c>
      <c r="K52" s="2">
        <v>0.0</v>
      </c>
      <c r="L52" s="2">
        <v>0.0</v>
      </c>
      <c r="M52" s="7"/>
      <c r="N52" s="7"/>
    </row>
    <row r="53">
      <c r="A53" s="12">
        <v>46098.0</v>
      </c>
      <c r="B53" s="6" t="s">
        <v>63</v>
      </c>
      <c r="C53" s="2">
        <v>0.0</v>
      </c>
      <c r="D53" s="16">
        <f t="shared" si="3"/>
        <v>8.53</v>
      </c>
      <c r="E53" s="17">
        <f>D53/B1</f>
        <v>0.853</v>
      </c>
      <c r="F53" s="16">
        <f t="shared" si="4"/>
        <v>10</v>
      </c>
      <c r="G53" s="17">
        <f>F53/B2</f>
        <v>1</v>
      </c>
      <c r="H53" s="15">
        <f t="shared" si="5"/>
        <v>10</v>
      </c>
      <c r="I53" s="14">
        <f>H53/B3</f>
        <v>1</v>
      </c>
      <c r="J53" s="2">
        <v>0.0</v>
      </c>
      <c r="K53" s="2">
        <v>0.0</v>
      </c>
      <c r="L53" s="2">
        <v>0.0</v>
      </c>
      <c r="M53" s="7"/>
      <c r="N53" s="7"/>
    </row>
    <row r="54">
      <c r="A54" s="12">
        <v>46099.0</v>
      </c>
      <c r="B54" s="6" t="s">
        <v>61</v>
      </c>
      <c r="C54" s="2">
        <v>0.0</v>
      </c>
      <c r="D54" s="16">
        <f t="shared" si="3"/>
        <v>8.53</v>
      </c>
      <c r="E54" s="17">
        <f>D54/B1</f>
        <v>0.853</v>
      </c>
      <c r="F54" s="16">
        <f t="shared" si="4"/>
        <v>10</v>
      </c>
      <c r="G54" s="17">
        <f>F54/B2</f>
        <v>1</v>
      </c>
      <c r="H54" s="15">
        <f t="shared" si="5"/>
        <v>10</v>
      </c>
      <c r="I54" s="14">
        <f>H54/B3</f>
        <v>1</v>
      </c>
      <c r="J54" s="2">
        <v>0.0</v>
      </c>
      <c r="K54" s="2">
        <v>0.0</v>
      </c>
      <c r="L54" s="2">
        <v>0.0</v>
      </c>
      <c r="M54" s="7"/>
      <c r="N54" s="7"/>
    </row>
    <row r="55">
      <c r="A55" s="12">
        <v>46099.0</v>
      </c>
      <c r="B55" s="6" t="s">
        <v>62</v>
      </c>
      <c r="C55" s="2">
        <v>0.0</v>
      </c>
      <c r="D55" s="16">
        <f t="shared" si="3"/>
        <v>8.53</v>
      </c>
      <c r="E55" s="17">
        <f>D55/B1</f>
        <v>0.853</v>
      </c>
      <c r="F55" s="16">
        <f t="shared" si="4"/>
        <v>10</v>
      </c>
      <c r="G55" s="17">
        <f>F55/B2</f>
        <v>1</v>
      </c>
      <c r="H55" s="15">
        <f t="shared" si="5"/>
        <v>10</v>
      </c>
      <c r="I55" s="14">
        <f>H55/B3</f>
        <v>1</v>
      </c>
      <c r="J55" s="2">
        <v>0.0</v>
      </c>
      <c r="K55" s="2">
        <v>0.0</v>
      </c>
      <c r="L55" s="2">
        <v>0.0</v>
      </c>
      <c r="M55" s="7"/>
      <c r="N55" s="7"/>
    </row>
    <row r="56">
      <c r="A56" s="12">
        <v>46099.0</v>
      </c>
      <c r="B56" s="6" t="s">
        <v>63</v>
      </c>
      <c r="C56" s="2">
        <v>0.0</v>
      </c>
      <c r="D56" s="16">
        <f t="shared" si="3"/>
        <v>8.53</v>
      </c>
      <c r="E56" s="17">
        <f>D56/B1</f>
        <v>0.853</v>
      </c>
      <c r="F56" s="16">
        <f t="shared" si="4"/>
        <v>10</v>
      </c>
      <c r="G56" s="17">
        <f>F56/B2</f>
        <v>1</v>
      </c>
      <c r="H56" s="15">
        <f t="shared" si="5"/>
        <v>10</v>
      </c>
      <c r="I56" s="14">
        <f>H56/B3</f>
        <v>1</v>
      </c>
      <c r="J56" s="2">
        <v>0.0</v>
      </c>
      <c r="K56" s="2">
        <v>0.0</v>
      </c>
      <c r="L56" s="2">
        <v>0.0</v>
      </c>
      <c r="M56" s="7"/>
      <c r="N56" s="7"/>
    </row>
    <row r="57">
      <c r="A57" s="12">
        <v>46100.0</v>
      </c>
      <c r="B57" s="6" t="s">
        <v>61</v>
      </c>
      <c r="C57" s="2">
        <v>0.0</v>
      </c>
      <c r="D57" s="16">
        <f t="shared" si="3"/>
        <v>8.53</v>
      </c>
      <c r="E57" s="17">
        <f>D57/B1</f>
        <v>0.853</v>
      </c>
      <c r="F57" s="16">
        <f t="shared" si="4"/>
        <v>10</v>
      </c>
      <c r="G57" s="17">
        <f>F57/B2</f>
        <v>1</v>
      </c>
      <c r="H57" s="15">
        <f t="shared" si="5"/>
        <v>10</v>
      </c>
      <c r="I57" s="14">
        <f>H57/B3</f>
        <v>1</v>
      </c>
      <c r="J57" s="2">
        <v>0.0</v>
      </c>
      <c r="K57" s="2">
        <v>0.0</v>
      </c>
      <c r="L57" s="2">
        <v>0.0</v>
      </c>
      <c r="M57" s="7"/>
      <c r="N57" s="7"/>
    </row>
    <row r="58">
      <c r="A58" s="12">
        <v>46100.0</v>
      </c>
      <c r="B58" s="6" t="s">
        <v>62</v>
      </c>
      <c r="C58" s="2">
        <v>0.0</v>
      </c>
      <c r="D58" s="16">
        <f t="shared" si="3"/>
        <v>8.53</v>
      </c>
      <c r="E58" s="17">
        <f>D58/B1</f>
        <v>0.853</v>
      </c>
      <c r="F58" s="16">
        <f t="shared" si="4"/>
        <v>10</v>
      </c>
      <c r="G58" s="17">
        <f>F58/B2</f>
        <v>1</v>
      </c>
      <c r="H58" s="15">
        <f t="shared" si="5"/>
        <v>10</v>
      </c>
      <c r="I58" s="14">
        <f>H58/B3</f>
        <v>1</v>
      </c>
      <c r="J58" s="2">
        <v>0.0</v>
      </c>
      <c r="K58" s="2">
        <v>0.0</v>
      </c>
      <c r="L58" s="2">
        <v>0.0</v>
      </c>
      <c r="M58" s="7"/>
      <c r="N58" s="7"/>
    </row>
    <row r="59">
      <c r="A59" s="12">
        <v>46100.0</v>
      </c>
      <c r="B59" s="6" t="s">
        <v>63</v>
      </c>
      <c r="C59" s="2">
        <v>0.0</v>
      </c>
      <c r="D59" s="16">
        <f t="shared" si="3"/>
        <v>8.53</v>
      </c>
      <c r="E59" s="17">
        <f>D59/B1</f>
        <v>0.853</v>
      </c>
      <c r="F59" s="16">
        <f t="shared" si="4"/>
        <v>10</v>
      </c>
      <c r="G59" s="17">
        <f>F59/B2</f>
        <v>1</v>
      </c>
      <c r="H59" s="15">
        <f t="shared" si="5"/>
        <v>10</v>
      </c>
      <c r="I59" s="14">
        <f>H59/B3</f>
        <v>1</v>
      </c>
      <c r="J59" s="2">
        <v>0.0</v>
      </c>
      <c r="K59" s="2">
        <v>0.0</v>
      </c>
      <c r="L59" s="2">
        <v>0.0</v>
      </c>
    </row>
    <row r="60">
      <c r="A60" s="12">
        <v>46101.0</v>
      </c>
      <c r="B60" s="6" t="s">
        <v>61</v>
      </c>
      <c r="C60" s="2">
        <v>0.0</v>
      </c>
      <c r="D60" s="16">
        <f t="shared" si="3"/>
        <v>8.53</v>
      </c>
      <c r="E60" s="17">
        <f>D60/B1</f>
        <v>0.853</v>
      </c>
      <c r="F60" s="16">
        <f t="shared" si="4"/>
        <v>10</v>
      </c>
      <c r="G60" s="17">
        <f>F60/B2</f>
        <v>1</v>
      </c>
      <c r="H60" s="15">
        <f t="shared" si="5"/>
        <v>10</v>
      </c>
      <c r="I60" s="14">
        <f>H60/B3</f>
        <v>1</v>
      </c>
      <c r="J60" s="2">
        <v>0.0</v>
      </c>
      <c r="K60" s="2">
        <v>0.0</v>
      </c>
      <c r="L60" s="2">
        <v>0.0</v>
      </c>
    </row>
    <row r="61">
      <c r="A61" s="12">
        <v>46101.0</v>
      </c>
      <c r="B61" s="6" t="s">
        <v>62</v>
      </c>
      <c r="C61" s="2">
        <v>0.0</v>
      </c>
      <c r="D61" s="16">
        <f t="shared" si="3"/>
        <v>8.53</v>
      </c>
      <c r="E61" s="17">
        <f>D61/B1</f>
        <v>0.853</v>
      </c>
      <c r="F61" s="16">
        <f t="shared" si="4"/>
        <v>10</v>
      </c>
      <c r="G61" s="17">
        <f>F61/B2</f>
        <v>1</v>
      </c>
      <c r="H61" s="15">
        <f t="shared" si="5"/>
        <v>10</v>
      </c>
      <c r="I61" s="14">
        <f>H61/B3</f>
        <v>1</v>
      </c>
      <c r="J61" s="2">
        <v>0.0</v>
      </c>
      <c r="K61" s="2">
        <v>0.0</v>
      </c>
      <c r="L61" s="2">
        <v>0.0</v>
      </c>
    </row>
    <row r="62">
      <c r="A62" s="12">
        <v>46101.0</v>
      </c>
      <c r="B62" s="6" t="s">
        <v>63</v>
      </c>
      <c r="C62" s="2">
        <v>0.0</v>
      </c>
      <c r="D62" s="16">
        <f t="shared" si="3"/>
        <v>8.53</v>
      </c>
      <c r="E62" s="17">
        <f>D62/B1</f>
        <v>0.853</v>
      </c>
      <c r="F62" s="16">
        <f t="shared" si="4"/>
        <v>10</v>
      </c>
      <c r="G62" s="17">
        <f>F62/B2</f>
        <v>1</v>
      </c>
      <c r="H62" s="15">
        <f t="shared" si="5"/>
        <v>10</v>
      </c>
      <c r="I62" s="14">
        <f>H62/B3</f>
        <v>1</v>
      </c>
      <c r="J62" s="2">
        <v>0.0</v>
      </c>
      <c r="K62" s="2">
        <v>0.0</v>
      </c>
      <c r="L62" s="2">
        <v>0.0</v>
      </c>
    </row>
    <row r="63">
      <c r="A63" s="12">
        <v>46102.0</v>
      </c>
      <c r="B63" s="6" t="s">
        <v>61</v>
      </c>
      <c r="C63" s="2">
        <v>0.0</v>
      </c>
      <c r="D63" s="16">
        <f t="shared" si="3"/>
        <v>8.53</v>
      </c>
      <c r="E63" s="17">
        <f>D63/B1</f>
        <v>0.853</v>
      </c>
      <c r="F63" s="16">
        <f t="shared" si="4"/>
        <v>10</v>
      </c>
      <c r="G63" s="17">
        <f>F63/B2</f>
        <v>1</v>
      </c>
      <c r="H63" s="15">
        <f t="shared" si="5"/>
        <v>10</v>
      </c>
      <c r="I63" s="14">
        <f>H63/B3</f>
        <v>1</v>
      </c>
      <c r="J63" s="2">
        <v>0.0</v>
      </c>
      <c r="K63" s="2">
        <v>0.0</v>
      </c>
      <c r="L63" s="2">
        <v>0.0</v>
      </c>
    </row>
    <row r="64">
      <c r="A64" s="12">
        <v>46102.0</v>
      </c>
      <c r="B64" s="6" t="s">
        <v>62</v>
      </c>
      <c r="C64" s="2">
        <v>0.0</v>
      </c>
      <c r="D64" s="16">
        <f t="shared" si="3"/>
        <v>8.53</v>
      </c>
      <c r="E64" s="17">
        <f>D64/B1</f>
        <v>0.853</v>
      </c>
      <c r="F64" s="16">
        <f t="shared" si="4"/>
        <v>10</v>
      </c>
      <c r="G64" s="17">
        <f>F64/B2</f>
        <v>1</v>
      </c>
      <c r="H64" s="15">
        <f t="shared" si="5"/>
        <v>10</v>
      </c>
      <c r="I64" s="14">
        <f>H64/B3</f>
        <v>1</v>
      </c>
      <c r="J64" s="2">
        <v>0.0</v>
      </c>
      <c r="K64" s="2">
        <v>0.0</v>
      </c>
      <c r="L64" s="2">
        <v>0.0</v>
      </c>
    </row>
    <row r="65">
      <c r="A65" s="12">
        <v>46102.0</v>
      </c>
      <c r="B65" s="6" t="s">
        <v>63</v>
      </c>
      <c r="C65" s="2">
        <v>0.0</v>
      </c>
      <c r="D65" s="16">
        <f t="shared" si="3"/>
        <v>8.53</v>
      </c>
      <c r="E65" s="17">
        <f>D65/B1</f>
        <v>0.853</v>
      </c>
      <c r="F65" s="16">
        <f t="shared" si="4"/>
        <v>10</v>
      </c>
      <c r="G65" s="17">
        <f>F65/B2</f>
        <v>1</v>
      </c>
      <c r="H65" s="15">
        <f t="shared" si="5"/>
        <v>10</v>
      </c>
      <c r="I65" s="14">
        <f>H65/B3</f>
        <v>1</v>
      </c>
      <c r="J65" s="2">
        <v>0.0</v>
      </c>
      <c r="K65" s="2">
        <v>0.0</v>
      </c>
      <c r="L65" s="2">
        <v>0.0</v>
      </c>
    </row>
    <row r="66">
      <c r="A66" s="12">
        <v>46103.0</v>
      </c>
      <c r="B66" s="6" t="s">
        <v>61</v>
      </c>
      <c r="C66" s="2">
        <v>0.0</v>
      </c>
      <c r="D66" s="16">
        <f t="shared" si="3"/>
        <v>8.53</v>
      </c>
      <c r="E66" s="17">
        <f>D66/B1</f>
        <v>0.853</v>
      </c>
      <c r="F66" s="16">
        <f t="shared" si="4"/>
        <v>10</v>
      </c>
      <c r="G66" s="17">
        <f>F66/B2</f>
        <v>1</v>
      </c>
      <c r="H66" s="15">
        <f t="shared" si="5"/>
        <v>10</v>
      </c>
      <c r="I66" s="14">
        <f>H66/B3</f>
        <v>1</v>
      </c>
      <c r="J66" s="2">
        <v>0.0</v>
      </c>
      <c r="K66" s="2">
        <v>0.0</v>
      </c>
      <c r="L66" s="2">
        <v>0.0</v>
      </c>
    </row>
    <row r="67">
      <c r="A67" s="12">
        <v>46103.0</v>
      </c>
      <c r="B67" s="6" t="s">
        <v>62</v>
      </c>
      <c r="C67" s="2">
        <v>0.0</v>
      </c>
      <c r="D67" s="16">
        <f t="shared" si="3"/>
        <v>8.53</v>
      </c>
      <c r="E67" s="17">
        <f>D67/B1</f>
        <v>0.853</v>
      </c>
      <c r="F67" s="16">
        <f t="shared" si="4"/>
        <v>10</v>
      </c>
      <c r="G67" s="17">
        <f>F67/B2</f>
        <v>1</v>
      </c>
      <c r="H67" s="15">
        <f t="shared" si="5"/>
        <v>10</v>
      </c>
      <c r="I67" s="14">
        <f>H67/B3</f>
        <v>1</v>
      </c>
      <c r="J67" s="2">
        <v>0.0</v>
      </c>
      <c r="K67" s="2">
        <v>0.0</v>
      </c>
      <c r="L67" s="2">
        <v>0.0</v>
      </c>
    </row>
    <row r="68">
      <c r="A68" s="12">
        <v>46103.0</v>
      </c>
      <c r="B68" s="6" t="s">
        <v>63</v>
      </c>
      <c r="C68" s="2">
        <v>0.0</v>
      </c>
      <c r="D68" s="16">
        <f t="shared" si="3"/>
        <v>8.53</v>
      </c>
      <c r="E68" s="17">
        <f>D68/B1</f>
        <v>0.853</v>
      </c>
      <c r="F68" s="16">
        <f t="shared" si="4"/>
        <v>10</v>
      </c>
      <c r="G68" s="17">
        <f>F68/B2</f>
        <v>1</v>
      </c>
      <c r="H68" s="15">
        <f t="shared" si="5"/>
        <v>10</v>
      </c>
      <c r="I68" s="14">
        <f>H68/B3</f>
        <v>1</v>
      </c>
      <c r="J68" s="2">
        <v>0.0</v>
      </c>
      <c r="K68" s="2">
        <v>0.0</v>
      </c>
      <c r="L68" s="2">
        <v>0.0</v>
      </c>
    </row>
    <row r="69">
      <c r="A69" s="12">
        <v>46104.0</v>
      </c>
      <c r="B69" s="6" t="s">
        <v>61</v>
      </c>
      <c r="C69" s="2">
        <v>0.0</v>
      </c>
      <c r="D69" s="16">
        <f t="shared" si="3"/>
        <v>8.53</v>
      </c>
      <c r="E69" s="17">
        <f>D69/B1</f>
        <v>0.853</v>
      </c>
      <c r="F69" s="16">
        <f t="shared" si="4"/>
        <v>10</v>
      </c>
      <c r="G69" s="17">
        <f>F69/B2</f>
        <v>1</v>
      </c>
      <c r="H69" s="15">
        <f t="shared" si="5"/>
        <v>10</v>
      </c>
      <c r="I69" s="14">
        <f>H69/B3</f>
        <v>1</v>
      </c>
      <c r="J69" s="2">
        <v>0.0</v>
      </c>
      <c r="K69" s="2">
        <v>0.0</v>
      </c>
      <c r="L69" s="2">
        <v>0.0</v>
      </c>
    </row>
    <row r="70">
      <c r="A70" s="12">
        <v>46104.0</v>
      </c>
      <c r="B70" s="6" t="s">
        <v>62</v>
      </c>
      <c r="C70" s="2">
        <v>0.0</v>
      </c>
      <c r="D70" s="16">
        <f t="shared" si="3"/>
        <v>8.53</v>
      </c>
      <c r="E70" s="17">
        <f>D70/B1</f>
        <v>0.853</v>
      </c>
      <c r="F70" s="16">
        <f t="shared" si="4"/>
        <v>10</v>
      </c>
      <c r="G70" s="17">
        <f>F70/B2</f>
        <v>1</v>
      </c>
      <c r="H70" s="15">
        <f t="shared" si="5"/>
        <v>10</v>
      </c>
      <c r="I70" s="14">
        <f>H70/B3</f>
        <v>1</v>
      </c>
      <c r="J70" s="2">
        <v>0.0</v>
      </c>
      <c r="K70" s="2">
        <v>0.0</v>
      </c>
      <c r="L70" s="2">
        <v>0.0</v>
      </c>
    </row>
    <row r="71">
      <c r="A71" s="12">
        <v>46104.0</v>
      </c>
      <c r="B71" s="6" t="s">
        <v>63</v>
      </c>
      <c r="C71" s="2">
        <v>0.0</v>
      </c>
      <c r="D71" s="16">
        <f t="shared" si="3"/>
        <v>8.53</v>
      </c>
      <c r="E71" s="17">
        <f>D71/B1</f>
        <v>0.853</v>
      </c>
      <c r="F71" s="16">
        <f t="shared" si="4"/>
        <v>10</v>
      </c>
      <c r="G71" s="17">
        <f>F71/B2</f>
        <v>1</v>
      </c>
      <c r="H71" s="15">
        <f t="shared" si="5"/>
        <v>10</v>
      </c>
      <c r="I71" s="14">
        <f>H71/B3</f>
        <v>1</v>
      </c>
      <c r="J71" s="2">
        <v>0.0</v>
      </c>
      <c r="K71" s="2">
        <v>0.0</v>
      </c>
      <c r="L71" s="2">
        <v>0.0</v>
      </c>
    </row>
    <row r="72">
      <c r="A72" s="12">
        <v>46105.0</v>
      </c>
      <c r="B72" s="6" t="s">
        <v>61</v>
      </c>
      <c r="C72" s="2">
        <v>0.0</v>
      </c>
      <c r="D72" s="16">
        <f t="shared" si="3"/>
        <v>8.53</v>
      </c>
      <c r="E72" s="17">
        <f>D72/B1</f>
        <v>0.853</v>
      </c>
      <c r="F72" s="16">
        <f t="shared" si="4"/>
        <v>10</v>
      </c>
      <c r="G72" s="17">
        <f>F72/B2</f>
        <v>1</v>
      </c>
      <c r="H72" s="15">
        <f t="shared" si="5"/>
        <v>10</v>
      </c>
      <c r="I72" s="14">
        <f>H72/B3</f>
        <v>1</v>
      </c>
      <c r="J72" s="2">
        <v>0.0</v>
      </c>
      <c r="K72" s="2">
        <v>0.0</v>
      </c>
      <c r="L72" s="2">
        <v>0.0</v>
      </c>
    </row>
    <row r="73">
      <c r="A73" s="12">
        <v>46105.0</v>
      </c>
      <c r="B73" s="6" t="s">
        <v>62</v>
      </c>
      <c r="C73" s="2">
        <v>0.0</v>
      </c>
      <c r="D73" s="16">
        <f t="shared" si="3"/>
        <v>8.53</v>
      </c>
      <c r="E73" s="17">
        <f>D73/B1</f>
        <v>0.853</v>
      </c>
      <c r="F73" s="16">
        <f t="shared" si="4"/>
        <v>10</v>
      </c>
      <c r="G73" s="17">
        <f>F73/B2</f>
        <v>1</v>
      </c>
      <c r="H73" s="15">
        <f t="shared" si="5"/>
        <v>10</v>
      </c>
      <c r="I73" s="14">
        <f>H73/B3</f>
        <v>1</v>
      </c>
      <c r="J73" s="2">
        <v>0.0</v>
      </c>
      <c r="K73" s="2">
        <v>0.0</v>
      </c>
      <c r="L73" s="2">
        <v>0.0</v>
      </c>
    </row>
    <row r="74">
      <c r="A74" s="12">
        <v>46105.0</v>
      </c>
      <c r="B74" s="6" t="s">
        <v>63</v>
      </c>
      <c r="C74" s="2">
        <v>0.0</v>
      </c>
      <c r="D74" s="16">
        <f t="shared" si="3"/>
        <v>8.53</v>
      </c>
      <c r="E74" s="17">
        <f>D74/B1</f>
        <v>0.853</v>
      </c>
      <c r="F74" s="16">
        <f t="shared" si="4"/>
        <v>10</v>
      </c>
      <c r="G74" s="17">
        <f>F74/B2</f>
        <v>1</v>
      </c>
      <c r="H74" s="15">
        <f t="shared" si="5"/>
        <v>10</v>
      </c>
      <c r="I74" s="14">
        <f>H74/B3</f>
        <v>1</v>
      </c>
      <c r="J74" s="2">
        <v>0.0</v>
      </c>
      <c r="K74" s="2">
        <v>0.0</v>
      </c>
      <c r="L74" s="2">
        <v>0.0</v>
      </c>
    </row>
    <row r="75">
      <c r="A75" s="12">
        <v>46106.0</v>
      </c>
      <c r="B75" s="6" t="s">
        <v>61</v>
      </c>
      <c r="C75" s="2">
        <v>0.0</v>
      </c>
      <c r="D75" s="16">
        <f t="shared" si="3"/>
        <v>8.53</v>
      </c>
      <c r="E75" s="17">
        <f>D75/B1</f>
        <v>0.853</v>
      </c>
      <c r="F75" s="16">
        <f t="shared" si="4"/>
        <v>10</v>
      </c>
      <c r="G75" s="17">
        <f>F75/B2</f>
        <v>1</v>
      </c>
      <c r="H75" s="15">
        <f t="shared" si="5"/>
        <v>10</v>
      </c>
      <c r="I75" s="14">
        <f>H75/B3</f>
        <v>1</v>
      </c>
      <c r="J75" s="2">
        <v>0.0</v>
      </c>
      <c r="K75" s="2">
        <v>0.0</v>
      </c>
      <c r="L75" s="2">
        <v>0.0</v>
      </c>
    </row>
    <row r="76">
      <c r="A76" s="12">
        <v>46106.0</v>
      </c>
      <c r="B76" s="6" t="s">
        <v>62</v>
      </c>
      <c r="C76" s="2">
        <v>0.0</v>
      </c>
      <c r="D76" s="16">
        <f t="shared" si="3"/>
        <v>8.53</v>
      </c>
      <c r="E76" s="17">
        <f>D76/B1</f>
        <v>0.853</v>
      </c>
      <c r="F76" s="16">
        <f t="shared" si="4"/>
        <v>10</v>
      </c>
      <c r="G76" s="17">
        <f>F76/B2</f>
        <v>1</v>
      </c>
      <c r="H76" s="15">
        <f t="shared" si="5"/>
        <v>10</v>
      </c>
      <c r="I76" s="14">
        <f>H76/B3</f>
        <v>1</v>
      </c>
      <c r="J76" s="2">
        <v>0.0</v>
      </c>
      <c r="K76" s="2">
        <v>0.0</v>
      </c>
      <c r="L76" s="2">
        <v>0.0</v>
      </c>
    </row>
    <row r="77">
      <c r="A77" s="12">
        <v>46106.0</v>
      </c>
      <c r="B77" s="6" t="s">
        <v>63</v>
      </c>
      <c r="C77" s="2">
        <v>0.0</v>
      </c>
      <c r="D77" s="16">
        <f t="shared" si="3"/>
        <v>8.53</v>
      </c>
      <c r="E77" s="17">
        <f>D77/B1</f>
        <v>0.853</v>
      </c>
      <c r="F77" s="16">
        <f t="shared" si="4"/>
        <v>10</v>
      </c>
      <c r="G77" s="17">
        <f>F77/B2</f>
        <v>1</v>
      </c>
      <c r="H77" s="15">
        <f t="shared" si="5"/>
        <v>10</v>
      </c>
      <c r="I77" s="14">
        <f>H77/B3</f>
        <v>1</v>
      </c>
      <c r="J77" s="2">
        <v>0.0</v>
      </c>
      <c r="K77" s="2">
        <v>0.0</v>
      </c>
      <c r="L77" s="2">
        <v>0.0</v>
      </c>
    </row>
    <row r="78">
      <c r="A78" s="12">
        <v>46107.0</v>
      </c>
      <c r="B78" s="6" t="s">
        <v>61</v>
      </c>
      <c r="C78" s="2">
        <v>0.0</v>
      </c>
      <c r="D78" s="16">
        <f t="shared" si="3"/>
        <v>8.53</v>
      </c>
      <c r="E78" s="17">
        <f>D78/B1</f>
        <v>0.853</v>
      </c>
      <c r="F78" s="16">
        <f t="shared" si="4"/>
        <v>10</v>
      </c>
      <c r="G78" s="17">
        <f>F78/B2</f>
        <v>1</v>
      </c>
      <c r="H78" s="15">
        <f t="shared" si="5"/>
        <v>10</v>
      </c>
      <c r="I78" s="14">
        <f>H78/B3</f>
        <v>1</v>
      </c>
      <c r="J78" s="2">
        <v>0.0</v>
      </c>
      <c r="K78" s="2">
        <v>0.0</v>
      </c>
      <c r="L78" s="2">
        <v>0.0</v>
      </c>
    </row>
    <row r="79">
      <c r="A79" s="12">
        <v>46107.0</v>
      </c>
      <c r="B79" s="6" t="s">
        <v>62</v>
      </c>
      <c r="C79" s="2">
        <v>0.0</v>
      </c>
      <c r="D79" s="16">
        <f t="shared" si="3"/>
        <v>8.53</v>
      </c>
      <c r="E79" s="17">
        <f>D79/B1</f>
        <v>0.853</v>
      </c>
      <c r="F79" s="16">
        <f t="shared" si="4"/>
        <v>10</v>
      </c>
      <c r="G79" s="17">
        <f>F79/B2</f>
        <v>1</v>
      </c>
      <c r="H79" s="15">
        <f t="shared" si="5"/>
        <v>10</v>
      </c>
      <c r="I79" s="14">
        <f>H79/B3</f>
        <v>1</v>
      </c>
      <c r="J79" s="2">
        <v>0.0</v>
      </c>
      <c r="K79" s="2">
        <v>0.0</v>
      </c>
      <c r="L79" s="2">
        <v>0.0</v>
      </c>
    </row>
    <row r="80">
      <c r="A80" s="12">
        <v>46107.0</v>
      </c>
      <c r="B80" s="6" t="s">
        <v>63</v>
      </c>
      <c r="C80" s="2">
        <v>0.0</v>
      </c>
      <c r="D80" s="16">
        <f t="shared" si="3"/>
        <v>8.53</v>
      </c>
      <c r="E80" s="17">
        <f>D80/B1</f>
        <v>0.853</v>
      </c>
      <c r="F80" s="16">
        <f t="shared" si="4"/>
        <v>10</v>
      </c>
      <c r="G80" s="17">
        <f>F80/B2</f>
        <v>1</v>
      </c>
      <c r="H80" s="15">
        <f t="shared" si="5"/>
        <v>10</v>
      </c>
      <c r="I80" s="14">
        <f>H80/B3</f>
        <v>1</v>
      </c>
      <c r="J80" s="2">
        <v>0.0</v>
      </c>
      <c r="K80" s="2">
        <v>0.0</v>
      </c>
      <c r="L80" s="2">
        <v>0.0</v>
      </c>
    </row>
    <row r="81">
      <c r="A81" s="12">
        <v>46108.0</v>
      </c>
      <c r="B81" s="6" t="s">
        <v>61</v>
      </c>
      <c r="C81" s="2">
        <v>0.0</v>
      </c>
      <c r="D81" s="16">
        <f t="shared" si="3"/>
        <v>8.53</v>
      </c>
      <c r="E81" s="17">
        <f>D81/B1</f>
        <v>0.853</v>
      </c>
      <c r="F81" s="16">
        <f t="shared" si="4"/>
        <v>10</v>
      </c>
      <c r="G81" s="17">
        <f>F81/B2</f>
        <v>1</v>
      </c>
      <c r="H81" s="15">
        <f t="shared" si="5"/>
        <v>10</v>
      </c>
      <c r="I81" s="14">
        <f>H81/B3</f>
        <v>1</v>
      </c>
      <c r="J81" s="2">
        <v>0.0</v>
      </c>
      <c r="K81" s="2">
        <v>0.0</v>
      </c>
      <c r="L81" s="2">
        <v>0.0</v>
      </c>
    </row>
    <row r="82">
      <c r="A82" s="12">
        <v>46108.0</v>
      </c>
      <c r="B82" s="6" t="s">
        <v>62</v>
      </c>
      <c r="C82" s="2">
        <v>0.0</v>
      </c>
      <c r="D82" s="16">
        <f t="shared" si="3"/>
        <v>8.53</v>
      </c>
      <c r="E82" s="17">
        <f>D82/B1</f>
        <v>0.853</v>
      </c>
      <c r="F82" s="16">
        <f t="shared" si="4"/>
        <v>10</v>
      </c>
      <c r="G82" s="17">
        <f>F82/B2</f>
        <v>1</v>
      </c>
      <c r="H82" s="15">
        <f t="shared" si="5"/>
        <v>10</v>
      </c>
      <c r="I82" s="14">
        <f>H82/B3</f>
        <v>1</v>
      </c>
      <c r="J82" s="2">
        <v>0.0</v>
      </c>
      <c r="K82" s="2">
        <v>0.0</v>
      </c>
      <c r="L82" s="2">
        <v>0.0</v>
      </c>
    </row>
    <row r="83">
      <c r="A83" s="12">
        <v>46108.0</v>
      </c>
      <c r="B83" s="6" t="s">
        <v>63</v>
      </c>
      <c r="C83" s="2">
        <v>0.0</v>
      </c>
      <c r="D83" s="16">
        <f t="shared" si="3"/>
        <v>8.53</v>
      </c>
      <c r="E83" s="17">
        <f>D83/B1</f>
        <v>0.853</v>
      </c>
      <c r="F83" s="16">
        <f t="shared" si="4"/>
        <v>10</v>
      </c>
      <c r="G83" s="17">
        <f>F83/B2</f>
        <v>1</v>
      </c>
      <c r="H83" s="15">
        <f t="shared" si="5"/>
        <v>10</v>
      </c>
      <c r="I83" s="14">
        <f>H83/B3</f>
        <v>1</v>
      </c>
      <c r="J83" s="2">
        <v>0.0</v>
      </c>
      <c r="K83" s="2">
        <v>0.0</v>
      </c>
      <c r="L83" s="2">
        <v>0.0</v>
      </c>
    </row>
    <row r="84">
      <c r="A84" s="12">
        <v>46109.0</v>
      </c>
      <c r="B84" s="6" t="s">
        <v>61</v>
      </c>
      <c r="C84" s="2">
        <v>0.0</v>
      </c>
      <c r="D84" s="16">
        <f t="shared" si="3"/>
        <v>8.53</v>
      </c>
      <c r="E84" s="17">
        <f>D84/B1</f>
        <v>0.853</v>
      </c>
      <c r="F84" s="16">
        <f t="shared" si="4"/>
        <v>10</v>
      </c>
      <c r="G84" s="17">
        <f>F84/B2</f>
        <v>1</v>
      </c>
      <c r="H84" s="15">
        <f t="shared" si="5"/>
        <v>10</v>
      </c>
      <c r="I84" s="14">
        <f>H84/B3</f>
        <v>1</v>
      </c>
      <c r="J84" s="2">
        <v>0.0</v>
      </c>
      <c r="K84" s="2">
        <v>0.0</v>
      </c>
      <c r="L84" s="2">
        <v>0.0</v>
      </c>
    </row>
    <row r="85">
      <c r="A85" s="12">
        <v>46109.0</v>
      </c>
      <c r="B85" s="6" t="s">
        <v>62</v>
      </c>
      <c r="C85" s="2">
        <v>0.0</v>
      </c>
      <c r="D85" s="16">
        <f t="shared" si="3"/>
        <v>8.53</v>
      </c>
      <c r="E85" s="17">
        <f>D85/B1</f>
        <v>0.853</v>
      </c>
      <c r="F85" s="16">
        <f t="shared" si="4"/>
        <v>10</v>
      </c>
      <c r="G85" s="17">
        <f>F85/B2</f>
        <v>1</v>
      </c>
      <c r="H85" s="15">
        <f t="shared" si="5"/>
        <v>10</v>
      </c>
      <c r="I85" s="14">
        <f>H85/B3</f>
        <v>1</v>
      </c>
      <c r="J85" s="2">
        <v>0.0</v>
      </c>
      <c r="K85" s="2">
        <v>0.0</v>
      </c>
      <c r="L85" s="2">
        <v>0.0</v>
      </c>
    </row>
    <row r="86">
      <c r="A86" s="12">
        <v>46109.0</v>
      </c>
      <c r="B86" s="6" t="s">
        <v>63</v>
      </c>
      <c r="C86" s="2">
        <v>1.41</v>
      </c>
      <c r="D86" s="16">
        <f t="shared" si="3"/>
        <v>8.53</v>
      </c>
      <c r="E86" s="17">
        <f>D86/B1</f>
        <v>0.853</v>
      </c>
      <c r="F86" s="16">
        <f t="shared" si="4"/>
        <v>10</v>
      </c>
      <c r="G86" s="17">
        <f>F86/B2</f>
        <v>1</v>
      </c>
      <c r="H86" s="15">
        <f t="shared" si="5"/>
        <v>8.59</v>
      </c>
      <c r="I86" s="14">
        <f>H86/B3</f>
        <v>0.859</v>
      </c>
      <c r="J86" s="2">
        <v>0.0</v>
      </c>
      <c r="K86" s="2">
        <v>0.0</v>
      </c>
      <c r="L86" s="2">
        <v>0.0</v>
      </c>
    </row>
    <row r="87">
      <c r="A87" s="12">
        <v>46110.0</v>
      </c>
      <c r="B87" s="6" t="s">
        <v>61</v>
      </c>
      <c r="C87" s="2">
        <v>1.23</v>
      </c>
      <c r="D87" s="16">
        <f t="shared" si="3"/>
        <v>7.3</v>
      </c>
      <c r="E87" s="17">
        <f>D87/B1</f>
        <v>0.73</v>
      </c>
      <c r="F87" s="16">
        <f t="shared" si="4"/>
        <v>10</v>
      </c>
      <c r="G87" s="17">
        <f>F87/B2</f>
        <v>1</v>
      </c>
      <c r="H87" s="15">
        <f t="shared" si="5"/>
        <v>8.59</v>
      </c>
      <c r="I87" s="14">
        <f>H87/B3</f>
        <v>0.859</v>
      </c>
      <c r="J87" s="2">
        <v>0.0</v>
      </c>
      <c r="K87" s="2">
        <v>0.0</v>
      </c>
      <c r="L87" s="2">
        <v>0.0</v>
      </c>
    </row>
    <row r="88">
      <c r="A88" s="12">
        <v>46110.0</v>
      </c>
      <c r="B88" s="6" t="s">
        <v>62</v>
      </c>
      <c r="C88" s="2">
        <v>0.0</v>
      </c>
      <c r="D88" s="16">
        <f t="shared" si="3"/>
        <v>7.3</v>
      </c>
      <c r="E88" s="17">
        <f>D88/B1</f>
        <v>0.73</v>
      </c>
      <c r="F88" s="16">
        <f t="shared" si="4"/>
        <v>10</v>
      </c>
      <c r="G88" s="17">
        <f>F88/B2</f>
        <v>1</v>
      </c>
      <c r="H88" s="15">
        <f t="shared" si="5"/>
        <v>8.59</v>
      </c>
      <c r="I88" s="14">
        <f>H88/B3</f>
        <v>0.859</v>
      </c>
      <c r="J88" s="2">
        <v>0.0</v>
      </c>
      <c r="K88" s="2">
        <v>0.0</v>
      </c>
      <c r="L88" s="2">
        <v>0.0</v>
      </c>
    </row>
    <row r="89">
      <c r="A89" s="12">
        <v>46110.0</v>
      </c>
      <c r="B89" s="6" t="s">
        <v>63</v>
      </c>
      <c r="C89" s="2">
        <v>0.0</v>
      </c>
      <c r="D89" s="16">
        <f t="shared" si="3"/>
        <v>7.3</v>
      </c>
      <c r="E89" s="17">
        <f>D89/B1</f>
        <v>0.73</v>
      </c>
      <c r="F89" s="16">
        <f t="shared" si="4"/>
        <v>10</v>
      </c>
      <c r="G89" s="17">
        <f>F89/B2</f>
        <v>1</v>
      </c>
      <c r="H89" s="15">
        <f t="shared" si="5"/>
        <v>8.59</v>
      </c>
      <c r="I89" s="14">
        <f>H89/B3</f>
        <v>0.859</v>
      </c>
      <c r="J89" s="2">
        <v>0.0</v>
      </c>
      <c r="K89" s="2">
        <v>0.0</v>
      </c>
      <c r="L89" s="2">
        <v>0.0</v>
      </c>
    </row>
    <row r="90">
      <c r="A90" s="12">
        <v>46111.0</v>
      </c>
      <c r="B90" s="6" t="s">
        <v>61</v>
      </c>
      <c r="C90" s="2">
        <v>0.0</v>
      </c>
      <c r="D90" s="16">
        <f t="shared" si="3"/>
        <v>7.3</v>
      </c>
      <c r="E90" s="17">
        <f>D90/B1</f>
        <v>0.73</v>
      </c>
      <c r="F90" s="16">
        <f t="shared" si="4"/>
        <v>10</v>
      </c>
      <c r="G90" s="17">
        <f>F90/B2</f>
        <v>1</v>
      </c>
      <c r="H90" s="15">
        <f t="shared" si="5"/>
        <v>8.59</v>
      </c>
      <c r="I90" s="14">
        <f>H90/B3</f>
        <v>0.859</v>
      </c>
      <c r="J90" s="2">
        <v>0.0</v>
      </c>
      <c r="K90" s="2">
        <v>0.0</v>
      </c>
      <c r="L90" s="2">
        <v>0.0</v>
      </c>
    </row>
    <row r="91">
      <c r="A91" s="12">
        <v>46111.0</v>
      </c>
      <c r="B91" s="6" t="s">
        <v>62</v>
      </c>
      <c r="C91" s="2">
        <v>0.0</v>
      </c>
      <c r="D91" s="16">
        <f t="shared" si="3"/>
        <v>7.3</v>
      </c>
      <c r="E91" s="17">
        <f>D91/B1</f>
        <v>0.73</v>
      </c>
      <c r="F91" s="16">
        <f t="shared" si="4"/>
        <v>10</v>
      </c>
      <c r="G91" s="17">
        <f>F91/B2</f>
        <v>1</v>
      </c>
      <c r="H91" s="15">
        <f t="shared" si="5"/>
        <v>8.59</v>
      </c>
      <c r="I91" s="14">
        <f>H91/B3</f>
        <v>0.859</v>
      </c>
      <c r="J91" s="2">
        <v>0.0</v>
      </c>
      <c r="K91" s="2">
        <v>0.0</v>
      </c>
      <c r="L91" s="2">
        <v>0.0</v>
      </c>
    </row>
    <row r="92">
      <c r="A92" s="12">
        <v>46111.0</v>
      </c>
      <c r="B92" s="6" t="s">
        <v>63</v>
      </c>
      <c r="C92" s="2">
        <v>0.0</v>
      </c>
      <c r="D92" s="16">
        <f t="shared" si="3"/>
        <v>7.3</v>
      </c>
      <c r="E92" s="17">
        <f>D92/B1</f>
        <v>0.73</v>
      </c>
      <c r="F92" s="16">
        <f t="shared" si="4"/>
        <v>10</v>
      </c>
      <c r="G92" s="17">
        <f>F92/B2</f>
        <v>1</v>
      </c>
      <c r="H92" s="15">
        <f t="shared" si="5"/>
        <v>8.59</v>
      </c>
      <c r="I92" s="14">
        <f>H92/B3</f>
        <v>0.859</v>
      </c>
      <c r="J92" s="2">
        <v>0.0</v>
      </c>
      <c r="K92" s="2">
        <v>0.0</v>
      </c>
      <c r="L92" s="2">
        <v>0.0</v>
      </c>
    </row>
    <row r="93">
      <c r="A93" s="12">
        <v>46112.0</v>
      </c>
      <c r="B93" s="6" t="s">
        <v>61</v>
      </c>
      <c r="C93" s="2">
        <v>0.0</v>
      </c>
      <c r="D93" s="16">
        <f t="shared" si="3"/>
        <v>7.3</v>
      </c>
      <c r="E93" s="17">
        <f>D93/B1</f>
        <v>0.73</v>
      </c>
      <c r="F93" s="16">
        <f t="shared" si="4"/>
        <v>10</v>
      </c>
      <c r="G93" s="17">
        <f>F93/B2</f>
        <v>1</v>
      </c>
      <c r="H93" s="15">
        <f t="shared" si="5"/>
        <v>8.59</v>
      </c>
      <c r="I93" s="14">
        <f>H93/B3</f>
        <v>0.859</v>
      </c>
      <c r="J93" s="2">
        <v>0.0</v>
      </c>
      <c r="K93" s="2">
        <v>0.0</v>
      </c>
      <c r="L93" s="2">
        <v>0.0</v>
      </c>
    </row>
    <row r="94">
      <c r="A94" s="12">
        <v>46112.0</v>
      </c>
      <c r="B94" s="6" t="s">
        <v>62</v>
      </c>
      <c r="C94" s="2">
        <v>0.0</v>
      </c>
      <c r="D94" s="16">
        <f t="shared" si="3"/>
        <v>7.3</v>
      </c>
      <c r="E94" s="17">
        <f>D94/B1</f>
        <v>0.73</v>
      </c>
      <c r="F94" s="16">
        <f t="shared" si="4"/>
        <v>10</v>
      </c>
      <c r="G94" s="17">
        <f>F94/B2</f>
        <v>1</v>
      </c>
      <c r="H94" s="15">
        <f t="shared" si="5"/>
        <v>8.59</v>
      </c>
      <c r="I94" s="14">
        <f>H94/B3</f>
        <v>0.859</v>
      </c>
      <c r="J94" s="2">
        <v>0.0</v>
      </c>
      <c r="K94" s="2">
        <v>0.0</v>
      </c>
      <c r="L94" s="2">
        <v>0.0</v>
      </c>
    </row>
    <row r="95">
      <c r="A95" s="12">
        <v>46112.0</v>
      </c>
      <c r="B95" s="6" t="s">
        <v>63</v>
      </c>
      <c r="C95" s="2">
        <v>0.0</v>
      </c>
      <c r="D95" s="16">
        <f t="shared" si="3"/>
        <v>7.3</v>
      </c>
      <c r="E95" s="17">
        <f>D95/B1</f>
        <v>0.73</v>
      </c>
      <c r="F95" s="16">
        <f t="shared" si="4"/>
        <v>10</v>
      </c>
      <c r="G95" s="17">
        <f>F95/B2</f>
        <v>1</v>
      </c>
      <c r="H95" s="15">
        <f t="shared" si="5"/>
        <v>8.59</v>
      </c>
      <c r="I95" s="14">
        <f>H95/B3</f>
        <v>0.859</v>
      </c>
      <c r="J95" s="2">
        <v>0.0</v>
      </c>
      <c r="K95" s="2">
        <v>0.0</v>
      </c>
      <c r="L95" s="2">
        <v>0.0</v>
      </c>
    </row>
    <row r="96">
      <c r="A96" s="12">
        <v>46113.0</v>
      </c>
      <c r="B96" s="6" t="s">
        <v>61</v>
      </c>
      <c r="C96" s="2">
        <v>0.0</v>
      </c>
      <c r="D96" s="16">
        <f t="shared" si="3"/>
        <v>7.3</v>
      </c>
      <c r="E96" s="17">
        <f>D96/B1</f>
        <v>0.73</v>
      </c>
      <c r="F96" s="16">
        <f t="shared" si="4"/>
        <v>10</v>
      </c>
      <c r="G96" s="17">
        <f>F96/B2</f>
        <v>1</v>
      </c>
      <c r="H96" s="15">
        <f t="shared" si="5"/>
        <v>8.59</v>
      </c>
      <c r="I96" s="14">
        <f>H96/B3</f>
        <v>0.859</v>
      </c>
      <c r="J96" s="2">
        <v>0.0</v>
      </c>
      <c r="K96" s="2">
        <v>0.0</v>
      </c>
      <c r="L96" s="2">
        <v>0.0</v>
      </c>
    </row>
    <row r="97">
      <c r="A97" s="12">
        <v>46113.0</v>
      </c>
      <c r="B97" s="6" t="s">
        <v>62</v>
      </c>
      <c r="C97" s="2">
        <v>0.0</v>
      </c>
      <c r="D97" s="16">
        <f t="shared" si="3"/>
        <v>7.3</v>
      </c>
      <c r="E97" s="17">
        <f>D97/B1</f>
        <v>0.73</v>
      </c>
      <c r="F97" s="16">
        <f t="shared" si="4"/>
        <v>10</v>
      </c>
      <c r="G97" s="17">
        <f>F97/B2</f>
        <v>1</v>
      </c>
      <c r="H97" s="15">
        <f t="shared" si="5"/>
        <v>8.59</v>
      </c>
      <c r="I97" s="14">
        <f>H97/B3</f>
        <v>0.859</v>
      </c>
      <c r="J97" s="2">
        <v>0.0</v>
      </c>
      <c r="K97" s="2">
        <v>0.0</v>
      </c>
      <c r="L97" s="2">
        <v>0.0</v>
      </c>
    </row>
    <row r="98">
      <c r="A98" s="12">
        <v>46113.0</v>
      </c>
      <c r="B98" s="6" t="s">
        <v>63</v>
      </c>
      <c r="C98" s="2">
        <v>0.0</v>
      </c>
      <c r="D98" s="16">
        <f t="shared" si="3"/>
        <v>7.3</v>
      </c>
      <c r="E98" s="17">
        <f>D98/B1</f>
        <v>0.73</v>
      </c>
      <c r="F98" s="16">
        <f t="shared" si="4"/>
        <v>10</v>
      </c>
      <c r="G98" s="17">
        <f>F98/B2</f>
        <v>1</v>
      </c>
      <c r="H98" s="15">
        <f t="shared" si="5"/>
        <v>8.59</v>
      </c>
      <c r="I98" s="14">
        <f>H98/B3</f>
        <v>0.859</v>
      </c>
      <c r="J98" s="2">
        <v>0.0</v>
      </c>
      <c r="K98" s="2">
        <v>0.0</v>
      </c>
      <c r="L98" s="2">
        <v>0.0</v>
      </c>
    </row>
    <row r="99">
      <c r="A99" s="12">
        <v>46114.0</v>
      </c>
      <c r="B99" s="6" t="s">
        <v>61</v>
      </c>
      <c r="C99" s="2">
        <v>0.0</v>
      </c>
      <c r="D99" s="16">
        <f t="shared" si="3"/>
        <v>7.3</v>
      </c>
      <c r="E99" s="17">
        <f>D99/B1</f>
        <v>0.73</v>
      </c>
      <c r="F99" s="16">
        <f t="shared" si="4"/>
        <v>10</v>
      </c>
      <c r="G99" s="17">
        <f>F99/B2</f>
        <v>1</v>
      </c>
      <c r="H99" s="15">
        <f t="shared" si="5"/>
        <v>8.59</v>
      </c>
      <c r="I99" s="14">
        <f>H99/B3</f>
        <v>0.859</v>
      </c>
      <c r="J99" s="2">
        <v>0.0</v>
      </c>
      <c r="K99" s="2">
        <v>0.0</v>
      </c>
      <c r="L99" s="2">
        <v>0.0</v>
      </c>
    </row>
    <row r="100">
      <c r="A100" s="12">
        <v>46114.0</v>
      </c>
      <c r="B100" s="6" t="s">
        <v>62</v>
      </c>
      <c r="C100" s="2">
        <v>0.0</v>
      </c>
      <c r="D100" s="16">
        <f t="shared" si="3"/>
        <v>7.3</v>
      </c>
      <c r="E100" s="17">
        <f>D100/B1</f>
        <v>0.73</v>
      </c>
      <c r="F100" s="16">
        <f t="shared" si="4"/>
        <v>10</v>
      </c>
      <c r="G100" s="17">
        <f>F100/B2</f>
        <v>1</v>
      </c>
      <c r="H100" s="15">
        <f t="shared" si="5"/>
        <v>8.59</v>
      </c>
      <c r="I100" s="14">
        <f>H100/B3</f>
        <v>0.859</v>
      </c>
      <c r="J100" s="2">
        <v>0.0</v>
      </c>
      <c r="K100" s="2">
        <v>0.0</v>
      </c>
      <c r="L100" s="2">
        <v>0.0</v>
      </c>
    </row>
    <row r="101">
      <c r="A101" s="12">
        <v>46114.0</v>
      </c>
      <c r="B101" s="6" t="s">
        <v>63</v>
      </c>
      <c r="C101" s="2">
        <v>0.0</v>
      </c>
      <c r="D101" s="16">
        <f t="shared" si="3"/>
        <v>7.3</v>
      </c>
      <c r="E101" s="17">
        <f>D101/B1</f>
        <v>0.73</v>
      </c>
      <c r="F101" s="16">
        <f t="shared" si="4"/>
        <v>10</v>
      </c>
      <c r="G101" s="17">
        <f>F101/B2</f>
        <v>1</v>
      </c>
      <c r="H101" s="15">
        <f t="shared" si="5"/>
        <v>8.59</v>
      </c>
      <c r="I101" s="14">
        <f>H101/B3</f>
        <v>0.859</v>
      </c>
      <c r="J101" s="2">
        <v>0.0</v>
      </c>
      <c r="K101" s="2">
        <v>0.0</v>
      </c>
      <c r="L101" s="2">
        <v>0.0</v>
      </c>
    </row>
    <row r="102">
      <c r="A102" s="12">
        <v>46115.0</v>
      </c>
      <c r="B102" s="21" t="s">
        <v>61</v>
      </c>
      <c r="C102" s="2">
        <v>0.0</v>
      </c>
      <c r="D102" s="23">
        <f t="shared" si="3"/>
        <v>7.3</v>
      </c>
      <c r="E102" s="24">
        <f>D102/B1</f>
        <v>0.73</v>
      </c>
      <c r="F102" s="23">
        <f t="shared" si="4"/>
        <v>10</v>
      </c>
      <c r="G102" s="24">
        <f>F102/B2</f>
        <v>1</v>
      </c>
      <c r="H102" s="25">
        <f t="shared" si="5"/>
        <v>8.59</v>
      </c>
      <c r="I102" s="26">
        <f>H102/B3</f>
        <v>0.859</v>
      </c>
      <c r="J102" s="22">
        <v>0.0</v>
      </c>
      <c r="K102" s="22">
        <v>0.0</v>
      </c>
      <c r="L102" s="22">
        <v>0.0</v>
      </c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</row>
    <row r="103">
      <c r="A103" s="12">
        <v>46115.0</v>
      </c>
      <c r="B103" s="21" t="s">
        <v>62</v>
      </c>
      <c r="C103" s="2">
        <v>0.0</v>
      </c>
      <c r="D103" s="23">
        <f t="shared" si="3"/>
        <v>7.3</v>
      </c>
      <c r="E103" s="24">
        <f>D103/B1</f>
        <v>0.73</v>
      </c>
      <c r="F103" s="23">
        <f t="shared" si="4"/>
        <v>10</v>
      </c>
      <c r="G103" s="24">
        <f>F103/B2</f>
        <v>1</v>
      </c>
      <c r="H103" s="25">
        <f t="shared" si="5"/>
        <v>8.59</v>
      </c>
      <c r="I103" s="26">
        <f>H103/B3</f>
        <v>0.859</v>
      </c>
      <c r="J103" s="22">
        <v>0.0</v>
      </c>
      <c r="K103" s="22">
        <v>0.0</v>
      </c>
      <c r="L103" s="22">
        <v>0.0</v>
      </c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</row>
    <row r="104">
      <c r="A104" s="12">
        <v>46115.0</v>
      </c>
      <c r="B104" s="21" t="s">
        <v>63</v>
      </c>
      <c r="C104" s="2">
        <v>0.0</v>
      </c>
      <c r="D104" s="23">
        <f t="shared" si="3"/>
        <v>7.3</v>
      </c>
      <c r="E104" s="24">
        <f>D104/B1</f>
        <v>0.73</v>
      </c>
      <c r="F104" s="23">
        <f t="shared" si="4"/>
        <v>10</v>
      </c>
      <c r="G104" s="24">
        <f>F104/B2</f>
        <v>1</v>
      </c>
      <c r="H104" s="25">
        <f t="shared" si="5"/>
        <v>8.59</v>
      </c>
      <c r="I104" s="26">
        <f>H104/B3</f>
        <v>0.859</v>
      </c>
      <c r="J104" s="22">
        <v>0.0</v>
      </c>
      <c r="K104" s="22">
        <v>0.0</v>
      </c>
      <c r="L104" s="22">
        <v>0.0</v>
      </c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</row>
    <row r="105">
      <c r="A105" s="12">
        <v>46116.0</v>
      </c>
      <c r="B105" s="21" t="s">
        <v>61</v>
      </c>
      <c r="C105" s="2">
        <v>0.0</v>
      </c>
      <c r="D105" s="23">
        <f t="shared" si="3"/>
        <v>7.3</v>
      </c>
      <c r="E105" s="24">
        <f>D105/B1</f>
        <v>0.73</v>
      </c>
      <c r="F105" s="23">
        <f t="shared" si="4"/>
        <v>10</v>
      </c>
      <c r="G105" s="24">
        <f>F105/B2</f>
        <v>1</v>
      </c>
      <c r="H105" s="25">
        <f t="shared" si="5"/>
        <v>8.59</v>
      </c>
      <c r="I105" s="26">
        <f>H105/B3</f>
        <v>0.859</v>
      </c>
      <c r="J105" s="22">
        <v>0.0</v>
      </c>
      <c r="K105" s="22">
        <v>0.0</v>
      </c>
      <c r="L105" s="22">
        <v>0.0</v>
      </c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</row>
    <row r="106">
      <c r="A106" s="12">
        <v>46116.0</v>
      </c>
      <c r="B106" s="21" t="s">
        <v>62</v>
      </c>
      <c r="C106" s="2">
        <v>0.0</v>
      </c>
      <c r="D106" s="23">
        <f t="shared" si="3"/>
        <v>7.3</v>
      </c>
      <c r="E106" s="24">
        <f>D106/B1</f>
        <v>0.73</v>
      </c>
      <c r="F106" s="23">
        <f t="shared" si="4"/>
        <v>10</v>
      </c>
      <c r="G106" s="24">
        <f>F106/B2</f>
        <v>1</v>
      </c>
      <c r="H106" s="25">
        <f t="shared" si="5"/>
        <v>8.59</v>
      </c>
      <c r="I106" s="26">
        <f>H106/B3</f>
        <v>0.859</v>
      </c>
      <c r="J106" s="22">
        <v>0.0</v>
      </c>
      <c r="K106" s="22">
        <v>0.0</v>
      </c>
      <c r="L106" s="22">
        <v>0.0</v>
      </c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</row>
    <row r="107">
      <c r="A107" s="12">
        <v>46116.0</v>
      </c>
      <c r="B107" s="21" t="s">
        <v>63</v>
      </c>
      <c r="C107" s="2">
        <v>0.0</v>
      </c>
      <c r="D107" s="23">
        <f t="shared" si="3"/>
        <v>7.3</v>
      </c>
      <c r="E107" s="24">
        <f>D107/B1</f>
        <v>0.73</v>
      </c>
      <c r="F107" s="23">
        <f t="shared" si="4"/>
        <v>10</v>
      </c>
      <c r="G107" s="24">
        <f>F107/B2</f>
        <v>1</v>
      </c>
      <c r="H107" s="25">
        <f t="shared" si="5"/>
        <v>8.59</v>
      </c>
      <c r="I107" s="26">
        <f>H107/B3</f>
        <v>0.859</v>
      </c>
      <c r="J107" s="22">
        <v>0.0</v>
      </c>
      <c r="K107" s="22">
        <v>0.0</v>
      </c>
      <c r="L107" s="22">
        <v>0.0</v>
      </c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</row>
    <row r="108">
      <c r="A108" s="12">
        <v>46117.0</v>
      </c>
      <c r="B108" s="21" t="s">
        <v>61</v>
      </c>
      <c r="C108" s="2">
        <v>0.0</v>
      </c>
      <c r="D108" s="23">
        <f t="shared" si="3"/>
        <v>7.3</v>
      </c>
      <c r="E108" s="24">
        <f>D108/B1</f>
        <v>0.73</v>
      </c>
      <c r="F108" s="23">
        <f t="shared" si="4"/>
        <v>10</v>
      </c>
      <c r="G108" s="24">
        <f>F108/B2</f>
        <v>1</v>
      </c>
      <c r="H108" s="25">
        <f t="shared" si="5"/>
        <v>8.59</v>
      </c>
      <c r="I108" s="26">
        <f>H108/B3</f>
        <v>0.859</v>
      </c>
      <c r="J108" s="22">
        <v>0.0</v>
      </c>
      <c r="K108" s="22">
        <v>0.0</v>
      </c>
      <c r="L108" s="22">
        <v>0.0</v>
      </c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</row>
    <row r="109">
      <c r="A109" s="12">
        <v>46117.0</v>
      </c>
      <c r="B109" s="21" t="s">
        <v>62</v>
      </c>
      <c r="C109" s="2">
        <v>0.0</v>
      </c>
      <c r="D109" s="23">
        <f t="shared" si="3"/>
        <v>7.3</v>
      </c>
      <c r="E109" s="24">
        <f>D109/B1</f>
        <v>0.73</v>
      </c>
      <c r="F109" s="23">
        <f t="shared" si="4"/>
        <v>10</v>
      </c>
      <c r="G109" s="24">
        <f>F109/B2</f>
        <v>1</v>
      </c>
      <c r="H109" s="25">
        <f t="shared" si="5"/>
        <v>8.59</v>
      </c>
      <c r="I109" s="26">
        <f>H109/B3</f>
        <v>0.859</v>
      </c>
      <c r="J109" s="22">
        <v>0.0</v>
      </c>
      <c r="K109" s="22">
        <v>0.0</v>
      </c>
      <c r="L109" s="22">
        <v>0.0</v>
      </c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</row>
    <row r="110">
      <c r="A110" s="12">
        <v>46117.0</v>
      </c>
      <c r="B110" s="21" t="s">
        <v>63</v>
      </c>
      <c r="C110" s="2">
        <v>0.0</v>
      </c>
      <c r="D110" s="23">
        <f t="shared" si="3"/>
        <v>7.3</v>
      </c>
      <c r="E110" s="24">
        <f>D110/B1</f>
        <v>0.73</v>
      </c>
      <c r="F110" s="23">
        <f t="shared" si="4"/>
        <v>10</v>
      </c>
      <c r="G110" s="24">
        <f>F110/B2</f>
        <v>1</v>
      </c>
      <c r="H110" s="25">
        <f t="shared" si="5"/>
        <v>8.59</v>
      </c>
      <c r="I110" s="26">
        <f>H110/B3</f>
        <v>0.859</v>
      </c>
      <c r="J110" s="22">
        <v>0.0</v>
      </c>
      <c r="K110" s="22">
        <v>0.0</v>
      </c>
      <c r="L110" s="22">
        <v>0.0</v>
      </c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</row>
    <row r="111">
      <c r="A111" s="12">
        <v>46118.0</v>
      </c>
      <c r="B111" s="21" t="s">
        <v>61</v>
      </c>
      <c r="C111" s="2">
        <v>0.0</v>
      </c>
      <c r="D111" s="23">
        <f t="shared" si="3"/>
        <v>7.3</v>
      </c>
      <c r="E111" s="24">
        <f>D111/B1</f>
        <v>0.73</v>
      </c>
      <c r="F111" s="23">
        <f t="shared" si="4"/>
        <v>10</v>
      </c>
      <c r="G111" s="24">
        <f>F111/B2</f>
        <v>1</v>
      </c>
      <c r="H111" s="25">
        <f t="shared" si="5"/>
        <v>8.59</v>
      </c>
      <c r="I111" s="26">
        <f>H111/B3</f>
        <v>0.859</v>
      </c>
      <c r="J111" s="22">
        <v>0.0</v>
      </c>
      <c r="K111" s="22">
        <v>0.0</v>
      </c>
      <c r="L111" s="22">
        <v>0.0</v>
      </c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</row>
    <row r="112">
      <c r="A112" s="12">
        <v>46118.0</v>
      </c>
      <c r="B112" s="21" t="s">
        <v>62</v>
      </c>
      <c r="C112" s="2">
        <v>1.54</v>
      </c>
      <c r="D112" s="23">
        <f t="shared" si="3"/>
        <v>7.3</v>
      </c>
      <c r="E112" s="24">
        <f>D112/B1</f>
        <v>0.73</v>
      </c>
      <c r="F112" s="23">
        <f t="shared" si="4"/>
        <v>8.46</v>
      </c>
      <c r="G112" s="24">
        <f>F112/B2</f>
        <v>0.846</v>
      </c>
      <c r="H112" s="25">
        <f t="shared" si="5"/>
        <v>8.59</v>
      </c>
      <c r="I112" s="26">
        <f>H112/B3</f>
        <v>0.859</v>
      </c>
      <c r="J112" s="22">
        <v>0.0</v>
      </c>
      <c r="K112" s="22">
        <v>0.0</v>
      </c>
      <c r="L112" s="22">
        <v>0.0</v>
      </c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</row>
    <row r="113">
      <c r="A113" s="12">
        <v>46118.0</v>
      </c>
      <c r="B113" s="21" t="s">
        <v>63</v>
      </c>
      <c r="C113" s="2">
        <v>0.0</v>
      </c>
      <c r="D113" s="23">
        <f t="shared" si="3"/>
        <v>7.3</v>
      </c>
      <c r="E113" s="24">
        <f>D113/B1</f>
        <v>0.73</v>
      </c>
      <c r="F113" s="23">
        <f t="shared" si="4"/>
        <v>8.46</v>
      </c>
      <c r="G113" s="24">
        <f>F113/B2</f>
        <v>0.846</v>
      </c>
      <c r="H113" s="25">
        <f t="shared" si="5"/>
        <v>8.59</v>
      </c>
      <c r="I113" s="26">
        <f>H113/B3</f>
        <v>0.859</v>
      </c>
      <c r="J113" s="22">
        <v>0.0</v>
      </c>
      <c r="K113" s="22">
        <v>0.0</v>
      </c>
      <c r="L113" s="22">
        <v>0.0</v>
      </c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</row>
    <row r="114">
      <c r="A114" s="12">
        <v>46119.0</v>
      </c>
      <c r="B114" s="21" t="s">
        <v>61</v>
      </c>
      <c r="C114" s="2">
        <v>0.0</v>
      </c>
      <c r="D114" s="23">
        <f t="shared" si="3"/>
        <v>7.3</v>
      </c>
      <c r="E114" s="24">
        <f>D114/B1</f>
        <v>0.73</v>
      </c>
      <c r="F114" s="23">
        <f t="shared" si="4"/>
        <v>8.46</v>
      </c>
      <c r="G114" s="24">
        <f>F114/B2</f>
        <v>0.846</v>
      </c>
      <c r="H114" s="25">
        <f t="shared" si="5"/>
        <v>8.59</v>
      </c>
      <c r="I114" s="26">
        <f>H114/B3</f>
        <v>0.859</v>
      </c>
      <c r="J114" s="22">
        <v>0.0</v>
      </c>
      <c r="K114" s="22">
        <v>0.0</v>
      </c>
      <c r="L114" s="22">
        <v>0.0</v>
      </c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</row>
    <row r="115">
      <c r="A115" s="12">
        <v>46119.0</v>
      </c>
      <c r="B115" s="21" t="s">
        <v>62</v>
      </c>
      <c r="C115" s="2">
        <v>0.0</v>
      </c>
      <c r="D115" s="23">
        <f t="shared" si="3"/>
        <v>7.3</v>
      </c>
      <c r="E115" s="24">
        <f>D115/B1</f>
        <v>0.73</v>
      </c>
      <c r="F115" s="23">
        <f t="shared" si="4"/>
        <v>8.46</v>
      </c>
      <c r="G115" s="24">
        <f>F115/B2</f>
        <v>0.846</v>
      </c>
      <c r="H115" s="25">
        <f t="shared" si="5"/>
        <v>8.59</v>
      </c>
      <c r="I115" s="26">
        <f>H115/B3</f>
        <v>0.859</v>
      </c>
      <c r="J115" s="22">
        <v>0.0</v>
      </c>
      <c r="K115" s="22">
        <v>0.0</v>
      </c>
      <c r="L115" s="22">
        <v>0.0</v>
      </c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</row>
    <row r="116">
      <c r="A116" s="12">
        <v>46119.0</v>
      </c>
      <c r="B116" s="21" t="s">
        <v>63</v>
      </c>
      <c r="C116" s="2">
        <v>1.33</v>
      </c>
      <c r="D116" s="23">
        <f t="shared" si="3"/>
        <v>7.3</v>
      </c>
      <c r="E116" s="24">
        <f>D116/B1</f>
        <v>0.73</v>
      </c>
      <c r="F116" s="23">
        <f t="shared" si="4"/>
        <v>8.46</v>
      </c>
      <c r="G116" s="24">
        <f>F116/B2</f>
        <v>0.846</v>
      </c>
      <c r="H116" s="25">
        <f t="shared" si="5"/>
        <v>7.26</v>
      </c>
      <c r="I116" s="26">
        <f>H116/B3</f>
        <v>0.726</v>
      </c>
      <c r="J116" s="22">
        <v>0.0</v>
      </c>
      <c r="K116" s="22">
        <v>0.0</v>
      </c>
      <c r="L116" s="22">
        <v>0.0</v>
      </c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</row>
    <row r="117">
      <c r="A117" s="12">
        <v>46120.0</v>
      </c>
      <c r="B117" s="21" t="s">
        <v>61</v>
      </c>
      <c r="C117" s="2">
        <v>0.0</v>
      </c>
      <c r="D117" s="23">
        <f t="shared" si="3"/>
        <v>7.3</v>
      </c>
      <c r="E117" s="24">
        <f>D117/B1</f>
        <v>0.73</v>
      </c>
      <c r="F117" s="23">
        <f t="shared" si="4"/>
        <v>8.46</v>
      </c>
      <c r="G117" s="24">
        <f>F117/B2</f>
        <v>0.846</v>
      </c>
      <c r="H117" s="25">
        <f t="shared" si="5"/>
        <v>7.26</v>
      </c>
      <c r="I117" s="26">
        <f>H117/B3</f>
        <v>0.726</v>
      </c>
      <c r="J117" s="22">
        <v>0.0</v>
      </c>
      <c r="K117" s="22">
        <v>0.0</v>
      </c>
      <c r="L117" s="22">
        <v>0.0</v>
      </c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</row>
    <row r="118">
      <c r="A118" s="12">
        <v>46120.0</v>
      </c>
      <c r="B118" s="21" t="s">
        <v>62</v>
      </c>
      <c r="C118" s="2">
        <v>1.4</v>
      </c>
      <c r="D118" s="23">
        <f t="shared" si="3"/>
        <v>7.3</v>
      </c>
      <c r="E118" s="24">
        <f>D118/B1</f>
        <v>0.73</v>
      </c>
      <c r="F118" s="23">
        <f t="shared" si="4"/>
        <v>7.06</v>
      </c>
      <c r="G118" s="24">
        <f>F118/B2</f>
        <v>0.706</v>
      </c>
      <c r="H118" s="25">
        <f t="shared" si="5"/>
        <v>7.26</v>
      </c>
      <c r="I118" s="26">
        <f>H118/B3</f>
        <v>0.726</v>
      </c>
      <c r="J118" s="22">
        <v>0.0</v>
      </c>
      <c r="K118" s="22">
        <v>0.0</v>
      </c>
      <c r="L118" s="22">
        <v>0.0</v>
      </c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</row>
    <row r="119">
      <c r="A119" s="12">
        <v>46120.0</v>
      </c>
      <c r="B119" s="21" t="s">
        <v>63</v>
      </c>
      <c r="C119" s="2">
        <v>0.0</v>
      </c>
      <c r="D119" s="23">
        <f t="shared" si="3"/>
        <v>7.3</v>
      </c>
      <c r="E119" s="24">
        <f>D119/B1</f>
        <v>0.73</v>
      </c>
      <c r="F119" s="23">
        <f t="shared" si="4"/>
        <v>7.06</v>
      </c>
      <c r="G119" s="24">
        <f>F119/B2</f>
        <v>0.706</v>
      </c>
      <c r="H119" s="25">
        <f t="shared" si="5"/>
        <v>7.26</v>
      </c>
      <c r="I119" s="26">
        <f>H119/B3</f>
        <v>0.726</v>
      </c>
      <c r="J119" s="22">
        <v>0.0</v>
      </c>
      <c r="K119" s="22">
        <v>0.0</v>
      </c>
      <c r="L119" s="22">
        <v>0.0</v>
      </c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</row>
    <row r="120">
      <c r="A120" s="12">
        <v>46121.0</v>
      </c>
      <c r="B120" s="21" t="s">
        <v>61</v>
      </c>
      <c r="C120" s="2">
        <v>0.4</v>
      </c>
      <c r="D120" s="23">
        <f t="shared" si="3"/>
        <v>6.9</v>
      </c>
      <c r="E120" s="24">
        <f>D120/B1</f>
        <v>0.69</v>
      </c>
      <c r="F120" s="23">
        <f t="shared" si="4"/>
        <v>7.06</v>
      </c>
      <c r="G120" s="24">
        <f>F120/B2</f>
        <v>0.706</v>
      </c>
      <c r="H120" s="25">
        <f t="shared" si="5"/>
        <v>7.26</v>
      </c>
      <c r="I120" s="26">
        <f>H120/B3</f>
        <v>0.726</v>
      </c>
      <c r="J120" s="22">
        <v>0.0</v>
      </c>
      <c r="K120" s="22">
        <v>0.0</v>
      </c>
      <c r="L120" s="22">
        <v>0.0</v>
      </c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</row>
    <row r="121">
      <c r="A121" s="12">
        <v>46121.0</v>
      </c>
      <c r="B121" s="21" t="s">
        <v>62</v>
      </c>
      <c r="C121" s="2">
        <v>1.11</v>
      </c>
      <c r="D121" s="23">
        <f t="shared" si="3"/>
        <v>6.9</v>
      </c>
      <c r="E121" s="24">
        <f>D121/B1</f>
        <v>0.69</v>
      </c>
      <c r="F121" s="23">
        <f t="shared" si="4"/>
        <v>5.95</v>
      </c>
      <c r="G121" s="24">
        <f>F121/B2</f>
        <v>0.595</v>
      </c>
      <c r="H121" s="25">
        <f t="shared" si="5"/>
        <v>7.26</v>
      </c>
      <c r="I121" s="26">
        <f>H121/B3</f>
        <v>0.726</v>
      </c>
      <c r="J121" s="22">
        <v>0.0</v>
      </c>
      <c r="K121" s="22">
        <v>0.0</v>
      </c>
      <c r="L121" s="22">
        <v>0.0</v>
      </c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</row>
    <row r="122">
      <c r="A122" s="12">
        <v>46121.0</v>
      </c>
      <c r="B122" s="21" t="s">
        <v>63</v>
      </c>
      <c r="C122" s="2">
        <v>0.45</v>
      </c>
      <c r="D122" s="23">
        <f t="shared" si="3"/>
        <v>6.9</v>
      </c>
      <c r="E122" s="24">
        <f>D122/B1</f>
        <v>0.69</v>
      </c>
      <c r="F122" s="23">
        <f t="shared" si="4"/>
        <v>5.95</v>
      </c>
      <c r="G122" s="24">
        <f>F122/B2</f>
        <v>0.595</v>
      </c>
      <c r="H122" s="25">
        <f t="shared" si="5"/>
        <v>6.81</v>
      </c>
      <c r="I122" s="26">
        <f>H122/B3</f>
        <v>0.681</v>
      </c>
      <c r="J122" s="22">
        <v>0.0</v>
      </c>
      <c r="K122" s="22">
        <v>0.0</v>
      </c>
      <c r="L122" s="22">
        <v>0.0</v>
      </c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</row>
    <row r="123">
      <c r="A123" s="12">
        <v>46122.0</v>
      </c>
      <c r="B123" s="21" t="s">
        <v>61</v>
      </c>
      <c r="C123" s="2">
        <v>0.0</v>
      </c>
      <c r="D123" s="23">
        <f t="shared" si="3"/>
        <v>6.9</v>
      </c>
      <c r="E123" s="24">
        <f>D123/B1</f>
        <v>0.69</v>
      </c>
      <c r="F123" s="23">
        <f t="shared" si="4"/>
        <v>5.95</v>
      </c>
      <c r="G123" s="24">
        <f>F123/B2</f>
        <v>0.595</v>
      </c>
      <c r="H123" s="25">
        <f t="shared" si="5"/>
        <v>6.81</v>
      </c>
      <c r="I123" s="26">
        <f>H123/B3</f>
        <v>0.681</v>
      </c>
      <c r="J123" s="22">
        <v>0.0</v>
      </c>
      <c r="K123" s="22">
        <v>0.0</v>
      </c>
      <c r="L123" s="22">
        <v>0.0</v>
      </c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</row>
    <row r="124">
      <c r="A124" s="12">
        <v>46122.0</v>
      </c>
      <c r="B124" s="21" t="s">
        <v>62</v>
      </c>
      <c r="C124" s="2">
        <v>0.0</v>
      </c>
      <c r="D124" s="23">
        <f t="shared" si="3"/>
        <v>6.9</v>
      </c>
      <c r="E124" s="24">
        <f>D124/B1</f>
        <v>0.69</v>
      </c>
      <c r="F124" s="23">
        <f t="shared" si="4"/>
        <v>5.95</v>
      </c>
      <c r="G124" s="24">
        <f>F124/B2</f>
        <v>0.595</v>
      </c>
      <c r="H124" s="25">
        <f t="shared" si="5"/>
        <v>6.81</v>
      </c>
      <c r="I124" s="26">
        <f>H124/B3</f>
        <v>0.681</v>
      </c>
      <c r="J124" s="22">
        <v>0.0</v>
      </c>
      <c r="K124" s="22">
        <v>0.0</v>
      </c>
      <c r="L124" s="22">
        <v>0.0</v>
      </c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</row>
    <row r="125">
      <c r="A125" s="12">
        <v>46122.0</v>
      </c>
      <c r="B125" s="21" t="s">
        <v>63</v>
      </c>
      <c r="C125" s="2">
        <v>0.0</v>
      </c>
      <c r="D125" s="23">
        <f t="shared" si="3"/>
        <v>6.9</v>
      </c>
      <c r="E125" s="24">
        <f>D125/B1</f>
        <v>0.69</v>
      </c>
      <c r="F125" s="23">
        <f t="shared" si="4"/>
        <v>5.95</v>
      </c>
      <c r="G125" s="24">
        <f>F125/B2</f>
        <v>0.595</v>
      </c>
      <c r="H125" s="25">
        <f t="shared" si="5"/>
        <v>6.81</v>
      </c>
      <c r="I125" s="26">
        <f>H125/B3</f>
        <v>0.681</v>
      </c>
      <c r="J125" s="22">
        <v>0.0</v>
      </c>
      <c r="K125" s="22">
        <v>0.0</v>
      </c>
      <c r="L125" s="22">
        <v>0.0</v>
      </c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</row>
    <row r="126">
      <c r="A126" s="12">
        <v>46123.0</v>
      </c>
      <c r="B126" s="21" t="s">
        <v>61</v>
      </c>
      <c r="C126" s="2">
        <v>0.0</v>
      </c>
      <c r="D126" s="23">
        <f t="shared" si="3"/>
        <v>6.9</v>
      </c>
      <c r="E126" s="24">
        <f>D126/B1</f>
        <v>0.69</v>
      </c>
      <c r="F126" s="23">
        <f t="shared" si="4"/>
        <v>5.95</v>
      </c>
      <c r="G126" s="24">
        <f>F126/B2</f>
        <v>0.595</v>
      </c>
      <c r="H126" s="25">
        <f t="shared" si="5"/>
        <v>6.81</v>
      </c>
      <c r="I126" s="26">
        <f>H126/B3</f>
        <v>0.681</v>
      </c>
      <c r="J126" s="22">
        <v>0.0</v>
      </c>
      <c r="K126" s="22">
        <v>0.0</v>
      </c>
      <c r="L126" s="22">
        <v>0.0</v>
      </c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</row>
    <row r="127">
      <c r="A127" s="12">
        <v>46123.0</v>
      </c>
      <c r="B127" s="21" t="s">
        <v>62</v>
      </c>
      <c r="C127" s="2">
        <v>0.0</v>
      </c>
      <c r="D127" s="23">
        <f t="shared" si="3"/>
        <v>6.9</v>
      </c>
      <c r="E127" s="24">
        <f>D127/B1</f>
        <v>0.69</v>
      </c>
      <c r="F127" s="23">
        <f t="shared" si="4"/>
        <v>5.95</v>
      </c>
      <c r="G127" s="24">
        <f>F127/B2</f>
        <v>0.595</v>
      </c>
      <c r="H127" s="25">
        <f t="shared" si="5"/>
        <v>6.81</v>
      </c>
      <c r="I127" s="26">
        <f>H127/B3</f>
        <v>0.681</v>
      </c>
      <c r="J127" s="22">
        <v>0.0</v>
      </c>
      <c r="K127" s="22">
        <v>0.0</v>
      </c>
      <c r="L127" s="22">
        <v>0.0</v>
      </c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</row>
    <row r="128">
      <c r="A128" s="12">
        <v>46123.0</v>
      </c>
      <c r="B128" s="21" t="s">
        <v>63</v>
      </c>
      <c r="C128" s="2">
        <v>0.0</v>
      </c>
      <c r="D128" s="23">
        <f t="shared" si="3"/>
        <v>6.9</v>
      </c>
      <c r="E128" s="24">
        <f>D128/B1</f>
        <v>0.69</v>
      </c>
      <c r="F128" s="23">
        <f t="shared" si="4"/>
        <v>5.95</v>
      </c>
      <c r="G128" s="24">
        <f>F128/B2</f>
        <v>0.595</v>
      </c>
      <c r="H128" s="25">
        <f t="shared" si="5"/>
        <v>6.81</v>
      </c>
      <c r="I128" s="26">
        <f>H128/B3</f>
        <v>0.681</v>
      </c>
      <c r="J128" s="22">
        <v>0.0</v>
      </c>
      <c r="K128" s="22">
        <v>0.0</v>
      </c>
      <c r="L128" s="22">
        <v>0.0</v>
      </c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</row>
    <row r="129">
      <c r="A129" s="12">
        <v>46124.0</v>
      </c>
      <c r="B129" s="6" t="s">
        <v>61</v>
      </c>
      <c r="C129" s="2">
        <v>0.0</v>
      </c>
      <c r="D129" s="16">
        <f t="shared" si="3"/>
        <v>6.9</v>
      </c>
      <c r="E129" s="17">
        <f>D129/B1</f>
        <v>0.69</v>
      </c>
      <c r="F129" s="16">
        <f t="shared" si="4"/>
        <v>5.95</v>
      </c>
      <c r="G129" s="17">
        <f>F129/B2</f>
        <v>0.595</v>
      </c>
      <c r="H129" s="15">
        <f t="shared" si="5"/>
        <v>6.81</v>
      </c>
      <c r="I129" s="14">
        <f>H129/B3</f>
        <v>0.681</v>
      </c>
      <c r="J129" s="2">
        <v>0.0</v>
      </c>
      <c r="K129" s="2">
        <v>0.0</v>
      </c>
      <c r="L129" s="2">
        <v>0.0</v>
      </c>
    </row>
    <row r="130">
      <c r="A130" s="12">
        <v>46124.0</v>
      </c>
      <c r="B130" s="6" t="s">
        <v>62</v>
      </c>
      <c r="C130" s="2">
        <v>0.0</v>
      </c>
      <c r="D130" s="16">
        <f t="shared" si="3"/>
        <v>6.9</v>
      </c>
      <c r="E130" s="17">
        <f>D130/B1</f>
        <v>0.69</v>
      </c>
      <c r="F130" s="16">
        <f t="shared" si="4"/>
        <v>5.95</v>
      </c>
      <c r="G130" s="17">
        <f>F130/B2</f>
        <v>0.595</v>
      </c>
      <c r="H130" s="15">
        <f t="shared" si="5"/>
        <v>6.81</v>
      </c>
      <c r="I130" s="14">
        <f>H130/B3</f>
        <v>0.681</v>
      </c>
      <c r="J130" s="2">
        <v>0.0</v>
      </c>
      <c r="K130" s="2">
        <v>0.0</v>
      </c>
      <c r="L130" s="2">
        <v>0.0</v>
      </c>
    </row>
    <row r="131">
      <c r="A131" s="12">
        <v>46124.0</v>
      </c>
      <c r="B131" s="6" t="s">
        <v>63</v>
      </c>
      <c r="C131" s="2">
        <v>0.0</v>
      </c>
      <c r="D131" s="16">
        <f t="shared" si="3"/>
        <v>6.9</v>
      </c>
      <c r="E131" s="17">
        <f>D131/B1</f>
        <v>0.69</v>
      </c>
      <c r="F131" s="16">
        <f t="shared" si="4"/>
        <v>5.95</v>
      </c>
      <c r="G131" s="17">
        <f>F131/B2</f>
        <v>0.595</v>
      </c>
      <c r="H131" s="15">
        <f t="shared" si="5"/>
        <v>6.81</v>
      </c>
      <c r="I131" s="14">
        <f>H131/B3</f>
        <v>0.681</v>
      </c>
      <c r="J131" s="2">
        <v>0.0</v>
      </c>
      <c r="K131" s="2">
        <v>0.0</v>
      </c>
      <c r="L131" s="2">
        <v>0.0</v>
      </c>
    </row>
    <row r="132">
      <c r="A132" s="12">
        <v>46125.0</v>
      </c>
      <c r="B132" s="6" t="s">
        <v>61</v>
      </c>
      <c r="C132" s="2">
        <v>1.05</v>
      </c>
      <c r="D132" s="16">
        <f t="shared" si="3"/>
        <v>5.85</v>
      </c>
      <c r="E132" s="17">
        <f>D132/B1</f>
        <v>0.585</v>
      </c>
      <c r="F132" s="16">
        <f t="shared" si="4"/>
        <v>5.95</v>
      </c>
      <c r="G132" s="17">
        <f>F132/B2</f>
        <v>0.595</v>
      </c>
      <c r="H132" s="15">
        <f t="shared" si="5"/>
        <v>6.81</v>
      </c>
      <c r="I132" s="14">
        <f>H132/B3</f>
        <v>0.681</v>
      </c>
      <c r="J132" s="2">
        <v>0.0</v>
      </c>
      <c r="K132" s="2">
        <v>0.0</v>
      </c>
      <c r="L132" s="2">
        <v>0.0</v>
      </c>
    </row>
    <row r="133">
      <c r="A133" s="12">
        <v>46125.0</v>
      </c>
      <c r="B133" s="6" t="s">
        <v>62</v>
      </c>
      <c r="C133" s="2">
        <v>0.0</v>
      </c>
      <c r="D133" s="16">
        <f t="shared" si="3"/>
        <v>5.85</v>
      </c>
      <c r="E133" s="17">
        <f>D133/B1</f>
        <v>0.585</v>
      </c>
      <c r="F133" s="16">
        <f t="shared" si="4"/>
        <v>5.95</v>
      </c>
      <c r="G133" s="17">
        <f>F133/B2</f>
        <v>0.595</v>
      </c>
      <c r="H133" s="15">
        <f t="shared" si="5"/>
        <v>6.81</v>
      </c>
      <c r="I133" s="14">
        <f>H133/B3</f>
        <v>0.681</v>
      </c>
      <c r="J133" s="2">
        <v>0.0</v>
      </c>
      <c r="K133" s="2">
        <v>0.0</v>
      </c>
      <c r="L133" s="2">
        <v>0.0</v>
      </c>
    </row>
    <row r="134">
      <c r="A134" s="12">
        <v>46125.0</v>
      </c>
      <c r="B134" s="6" t="s">
        <v>63</v>
      </c>
      <c r="C134" s="2">
        <v>0.0</v>
      </c>
      <c r="D134" s="16">
        <f t="shared" si="3"/>
        <v>5.85</v>
      </c>
      <c r="E134" s="17">
        <f>D134/B1</f>
        <v>0.585</v>
      </c>
      <c r="F134" s="16">
        <f t="shared" si="4"/>
        <v>5.95</v>
      </c>
      <c r="G134" s="17">
        <f>F134/B2</f>
        <v>0.595</v>
      </c>
      <c r="H134" s="15">
        <f t="shared" si="5"/>
        <v>6.81</v>
      </c>
      <c r="I134" s="14">
        <f>H134/B3</f>
        <v>0.681</v>
      </c>
      <c r="J134" s="2">
        <v>0.0</v>
      </c>
      <c r="K134" s="2">
        <v>0.0</v>
      </c>
      <c r="L134" s="2">
        <v>0.0</v>
      </c>
    </row>
    <row r="135">
      <c r="A135" s="12">
        <v>46126.0</v>
      </c>
      <c r="B135" s="6" t="s">
        <v>61</v>
      </c>
      <c r="C135" s="2">
        <v>1.24</v>
      </c>
      <c r="D135" s="16">
        <f t="shared" si="3"/>
        <v>4.61</v>
      </c>
      <c r="E135" s="17">
        <f>D135/B1</f>
        <v>0.461</v>
      </c>
      <c r="F135" s="16">
        <f t="shared" si="4"/>
        <v>5.95</v>
      </c>
      <c r="G135" s="17">
        <f>F135/B2</f>
        <v>0.595</v>
      </c>
      <c r="H135" s="15">
        <f t="shared" si="5"/>
        <v>6.81</v>
      </c>
      <c r="I135" s="14">
        <f>H135/B3</f>
        <v>0.681</v>
      </c>
      <c r="J135" s="2">
        <v>0.0</v>
      </c>
      <c r="K135" s="2">
        <v>0.0</v>
      </c>
      <c r="L135" s="2">
        <v>0.0</v>
      </c>
    </row>
    <row r="136">
      <c r="A136" s="12">
        <v>46126.0</v>
      </c>
      <c r="B136" s="6" t="s">
        <v>62</v>
      </c>
      <c r="C136" s="2">
        <v>0.58</v>
      </c>
      <c r="D136" s="16">
        <f t="shared" si="3"/>
        <v>4.61</v>
      </c>
      <c r="E136" s="17">
        <f>D136/B1</f>
        <v>0.461</v>
      </c>
      <c r="F136" s="16">
        <f t="shared" si="4"/>
        <v>5.37</v>
      </c>
      <c r="G136" s="17">
        <f>F136/B2</f>
        <v>0.537</v>
      </c>
      <c r="H136" s="15">
        <f t="shared" si="5"/>
        <v>6.81</v>
      </c>
      <c r="I136" s="14">
        <f>H136/B3</f>
        <v>0.681</v>
      </c>
      <c r="J136" s="2">
        <v>0.0</v>
      </c>
      <c r="K136" s="2">
        <v>0.0</v>
      </c>
      <c r="L136" s="2">
        <v>0.0</v>
      </c>
    </row>
    <row r="137">
      <c r="A137" s="12">
        <v>46126.0</v>
      </c>
      <c r="B137" s="6" t="s">
        <v>63</v>
      </c>
      <c r="C137" s="2">
        <v>1.09</v>
      </c>
      <c r="D137" s="16">
        <f t="shared" si="3"/>
        <v>4.61</v>
      </c>
      <c r="E137" s="17">
        <f>D137/B1</f>
        <v>0.461</v>
      </c>
      <c r="F137" s="16">
        <f t="shared" si="4"/>
        <v>5.37</v>
      </c>
      <c r="G137" s="17">
        <f>F137/B2</f>
        <v>0.537</v>
      </c>
      <c r="H137" s="15">
        <f t="shared" si="5"/>
        <v>5.72</v>
      </c>
      <c r="I137" s="14">
        <f>H137/B3</f>
        <v>0.572</v>
      </c>
      <c r="J137" s="2">
        <v>0.0</v>
      </c>
      <c r="K137" s="2">
        <v>0.0</v>
      </c>
      <c r="L137" s="2">
        <v>0.0</v>
      </c>
    </row>
    <row r="138">
      <c r="A138" s="12">
        <v>46127.0</v>
      </c>
      <c r="B138" s="6" t="s">
        <v>61</v>
      </c>
      <c r="C138" s="2">
        <v>0.0</v>
      </c>
      <c r="D138" s="16">
        <f t="shared" si="3"/>
        <v>4.61</v>
      </c>
      <c r="E138" s="17">
        <f>D138/B1</f>
        <v>0.461</v>
      </c>
      <c r="F138" s="16">
        <f t="shared" si="4"/>
        <v>5.37</v>
      </c>
      <c r="G138" s="17">
        <f>F138/B2</f>
        <v>0.537</v>
      </c>
      <c r="H138" s="15">
        <f t="shared" si="5"/>
        <v>5.72</v>
      </c>
      <c r="I138" s="14">
        <f>H138/B3</f>
        <v>0.572</v>
      </c>
      <c r="J138" s="2">
        <v>0.0</v>
      </c>
      <c r="K138" s="2">
        <v>0.0</v>
      </c>
      <c r="L138" s="2">
        <v>0.0</v>
      </c>
    </row>
    <row r="139">
      <c r="A139" s="12">
        <v>46127.0</v>
      </c>
      <c r="B139" s="6" t="s">
        <v>62</v>
      </c>
      <c r="C139" s="2">
        <v>0.0</v>
      </c>
      <c r="D139" s="16">
        <f t="shared" si="3"/>
        <v>4.61</v>
      </c>
      <c r="E139" s="17">
        <f>D139/B1</f>
        <v>0.461</v>
      </c>
      <c r="F139" s="16">
        <f t="shared" si="4"/>
        <v>5.37</v>
      </c>
      <c r="G139" s="17">
        <f>F139/B2</f>
        <v>0.537</v>
      </c>
      <c r="H139" s="15">
        <f t="shared" si="5"/>
        <v>5.72</v>
      </c>
      <c r="I139" s="14">
        <f>H139/B3</f>
        <v>0.572</v>
      </c>
      <c r="J139" s="2">
        <v>0.0</v>
      </c>
      <c r="K139" s="2">
        <v>0.0</v>
      </c>
      <c r="L139" s="2">
        <v>0.0</v>
      </c>
    </row>
    <row r="140">
      <c r="A140" s="12">
        <v>46127.0</v>
      </c>
      <c r="B140" s="6" t="s">
        <v>63</v>
      </c>
      <c r="C140" s="2">
        <v>1.28</v>
      </c>
      <c r="D140" s="16">
        <f t="shared" si="3"/>
        <v>4.61</v>
      </c>
      <c r="E140" s="17">
        <f>D140/B1</f>
        <v>0.461</v>
      </c>
      <c r="F140" s="16">
        <f t="shared" si="4"/>
        <v>5.37</v>
      </c>
      <c r="G140" s="17">
        <f>F140/B2</f>
        <v>0.537</v>
      </c>
      <c r="H140" s="15">
        <f t="shared" si="5"/>
        <v>4.44</v>
      </c>
      <c r="I140" s="14">
        <f>H140/B3</f>
        <v>0.444</v>
      </c>
      <c r="J140" s="2">
        <v>0.0</v>
      </c>
      <c r="K140" s="2">
        <v>0.0</v>
      </c>
      <c r="L140" s="2">
        <v>0.0</v>
      </c>
    </row>
    <row r="141">
      <c r="A141" s="12">
        <v>46128.0</v>
      </c>
      <c r="B141" s="21" t="s">
        <v>61</v>
      </c>
      <c r="C141" s="2">
        <v>0.0</v>
      </c>
      <c r="D141" s="23">
        <f t="shared" si="3"/>
        <v>4.61</v>
      </c>
      <c r="E141" s="24">
        <f>D141/B1</f>
        <v>0.461</v>
      </c>
      <c r="F141" s="23">
        <f t="shared" si="4"/>
        <v>5.37</v>
      </c>
      <c r="G141" s="24">
        <f>F141/B2</f>
        <v>0.537</v>
      </c>
      <c r="H141" s="25">
        <f t="shared" si="5"/>
        <v>4.44</v>
      </c>
      <c r="I141" s="26">
        <f>H141/B3</f>
        <v>0.444</v>
      </c>
      <c r="J141" s="22">
        <v>0.0</v>
      </c>
      <c r="K141" s="22">
        <v>0.0</v>
      </c>
      <c r="L141" s="22">
        <v>0.0</v>
      </c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</row>
    <row r="142">
      <c r="A142" s="12">
        <v>46128.0</v>
      </c>
      <c r="B142" s="21" t="s">
        <v>62</v>
      </c>
      <c r="C142" s="2">
        <v>1.53</v>
      </c>
      <c r="D142" s="23">
        <f t="shared" si="3"/>
        <v>4.61</v>
      </c>
      <c r="E142" s="24">
        <f>D142/B1</f>
        <v>0.461</v>
      </c>
      <c r="F142" s="23">
        <f t="shared" si="4"/>
        <v>3.84</v>
      </c>
      <c r="G142" s="24">
        <f>F142/B2</f>
        <v>0.384</v>
      </c>
      <c r="H142" s="25">
        <f t="shared" si="5"/>
        <v>4.44</v>
      </c>
      <c r="I142" s="26">
        <f>H142/B3</f>
        <v>0.444</v>
      </c>
      <c r="J142" s="22">
        <v>0.0</v>
      </c>
      <c r="K142" s="22">
        <v>0.0</v>
      </c>
      <c r="L142" s="22">
        <v>0.0</v>
      </c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</row>
    <row r="143">
      <c r="A143" s="12">
        <v>46128.0</v>
      </c>
      <c r="B143" s="21" t="s">
        <v>63</v>
      </c>
      <c r="C143" s="2">
        <v>1.23</v>
      </c>
      <c r="D143" s="23">
        <f t="shared" si="3"/>
        <v>4.61</v>
      </c>
      <c r="E143" s="24">
        <f>D143/B1</f>
        <v>0.461</v>
      </c>
      <c r="F143" s="23">
        <f t="shared" si="4"/>
        <v>3.84</v>
      </c>
      <c r="G143" s="24">
        <f>F143/B2</f>
        <v>0.384</v>
      </c>
      <c r="H143" s="25">
        <f t="shared" si="5"/>
        <v>3.21</v>
      </c>
      <c r="I143" s="26">
        <f>H143/B3</f>
        <v>0.321</v>
      </c>
      <c r="J143" s="22">
        <v>0.0</v>
      </c>
      <c r="K143" s="22">
        <v>0.0</v>
      </c>
      <c r="L143" s="22">
        <v>0.0</v>
      </c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</row>
    <row r="144">
      <c r="A144" s="12">
        <v>46129.0</v>
      </c>
      <c r="B144" s="21" t="s">
        <v>61</v>
      </c>
      <c r="C144" s="2">
        <v>1.52</v>
      </c>
      <c r="D144" s="23">
        <f t="shared" si="3"/>
        <v>3.09</v>
      </c>
      <c r="E144" s="24">
        <f>D144/B1</f>
        <v>0.309</v>
      </c>
      <c r="F144" s="23">
        <f t="shared" si="4"/>
        <v>3.84</v>
      </c>
      <c r="G144" s="24">
        <f>F144/B2</f>
        <v>0.384</v>
      </c>
      <c r="H144" s="25">
        <f t="shared" si="5"/>
        <v>3.21</v>
      </c>
      <c r="I144" s="26">
        <f>H144/B3</f>
        <v>0.321</v>
      </c>
      <c r="J144" s="22">
        <v>0.0</v>
      </c>
      <c r="K144" s="22">
        <v>0.0</v>
      </c>
      <c r="L144" s="22">
        <v>0.0</v>
      </c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</row>
    <row r="145">
      <c r="A145" s="12">
        <v>46129.0</v>
      </c>
      <c r="B145" s="21" t="s">
        <v>62</v>
      </c>
      <c r="C145" s="2">
        <v>0.89</v>
      </c>
      <c r="D145" s="23">
        <f t="shared" si="3"/>
        <v>3.09</v>
      </c>
      <c r="E145" s="24">
        <f>D145/B1</f>
        <v>0.309</v>
      </c>
      <c r="F145" s="23">
        <f t="shared" si="4"/>
        <v>2.95</v>
      </c>
      <c r="G145" s="24">
        <f>F145/B2</f>
        <v>0.295</v>
      </c>
      <c r="H145" s="25">
        <f t="shared" si="5"/>
        <v>3.21</v>
      </c>
      <c r="I145" s="26">
        <f>H145/B3</f>
        <v>0.321</v>
      </c>
      <c r="J145" s="22">
        <v>0.0</v>
      </c>
      <c r="K145" s="22">
        <v>0.0</v>
      </c>
      <c r="L145" s="22">
        <v>0.0</v>
      </c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</row>
    <row r="146">
      <c r="A146" s="12">
        <v>46129.0</v>
      </c>
      <c r="B146" s="21" t="s">
        <v>63</v>
      </c>
      <c r="C146" s="2">
        <v>0.72</v>
      </c>
      <c r="D146" s="23">
        <f t="shared" si="3"/>
        <v>3.09</v>
      </c>
      <c r="E146" s="24">
        <f>D146/B1</f>
        <v>0.309</v>
      </c>
      <c r="F146" s="23">
        <f t="shared" si="4"/>
        <v>2.95</v>
      </c>
      <c r="G146" s="24">
        <f>F146/B2</f>
        <v>0.295</v>
      </c>
      <c r="H146" s="25">
        <f t="shared" si="5"/>
        <v>2.49</v>
      </c>
      <c r="I146" s="26">
        <f>H146/B3</f>
        <v>0.249</v>
      </c>
      <c r="J146" s="22">
        <v>0.0</v>
      </c>
      <c r="K146" s="22">
        <v>0.0</v>
      </c>
      <c r="L146" s="22">
        <v>0.0</v>
      </c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</row>
    <row r="147">
      <c r="A147" s="12">
        <v>46130.0</v>
      </c>
      <c r="B147" s="21" t="s">
        <v>61</v>
      </c>
      <c r="C147" s="2">
        <v>1.02</v>
      </c>
      <c r="D147" s="23">
        <f t="shared" si="3"/>
        <v>2.07</v>
      </c>
      <c r="E147" s="24">
        <f>D147/B1</f>
        <v>0.207</v>
      </c>
      <c r="F147" s="23">
        <f t="shared" si="4"/>
        <v>2.95</v>
      </c>
      <c r="G147" s="24">
        <f>F147/B2</f>
        <v>0.295</v>
      </c>
      <c r="H147" s="25">
        <f t="shared" si="5"/>
        <v>2.49</v>
      </c>
      <c r="I147" s="26">
        <f>H147/B3</f>
        <v>0.249</v>
      </c>
      <c r="J147" s="22">
        <v>0.0</v>
      </c>
      <c r="K147" s="22">
        <v>0.0</v>
      </c>
      <c r="L147" s="22">
        <v>0.0</v>
      </c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</row>
    <row r="148">
      <c r="A148" s="12">
        <v>46130.0</v>
      </c>
      <c r="B148" s="21" t="s">
        <v>62</v>
      </c>
      <c r="C148" s="2">
        <v>0.84</v>
      </c>
      <c r="D148" s="23">
        <f t="shared" si="3"/>
        <v>2.07</v>
      </c>
      <c r="E148" s="24">
        <f>D148/B1</f>
        <v>0.207</v>
      </c>
      <c r="F148" s="23">
        <f t="shared" si="4"/>
        <v>2.11</v>
      </c>
      <c r="G148" s="24">
        <f>F148/B2</f>
        <v>0.211</v>
      </c>
      <c r="H148" s="25">
        <f t="shared" si="5"/>
        <v>2.49</v>
      </c>
      <c r="I148" s="26">
        <f>H148/B3</f>
        <v>0.249</v>
      </c>
      <c r="J148" s="22">
        <v>0.0</v>
      </c>
      <c r="K148" s="22">
        <v>0.0</v>
      </c>
      <c r="L148" s="22">
        <v>0.0</v>
      </c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</row>
    <row r="149">
      <c r="A149" s="12">
        <v>46130.0</v>
      </c>
      <c r="B149" s="21" t="s">
        <v>63</v>
      </c>
      <c r="C149" s="2">
        <v>1.12</v>
      </c>
      <c r="D149" s="23">
        <f t="shared" si="3"/>
        <v>2.07</v>
      </c>
      <c r="E149" s="24">
        <f>D149/B1</f>
        <v>0.207</v>
      </c>
      <c r="F149" s="23">
        <f t="shared" si="4"/>
        <v>2.11</v>
      </c>
      <c r="G149" s="24">
        <f>F149/B2</f>
        <v>0.211</v>
      </c>
      <c r="H149" s="25">
        <f t="shared" si="5"/>
        <v>1.37</v>
      </c>
      <c r="I149" s="26">
        <f>H149/B3</f>
        <v>0.137</v>
      </c>
      <c r="J149" s="22">
        <v>0.0</v>
      </c>
      <c r="K149" s="22">
        <v>0.0</v>
      </c>
      <c r="L149" s="22">
        <v>0.0</v>
      </c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</row>
    <row r="150">
      <c r="A150" s="12">
        <v>46131.0</v>
      </c>
      <c r="B150" s="21" t="s">
        <v>61</v>
      </c>
      <c r="C150" s="2">
        <v>1.02</v>
      </c>
      <c r="D150" s="23">
        <f t="shared" si="3"/>
        <v>1.05</v>
      </c>
      <c r="E150" s="24">
        <f>D150/B1</f>
        <v>0.105</v>
      </c>
      <c r="F150" s="23">
        <f t="shared" si="4"/>
        <v>2.11</v>
      </c>
      <c r="G150" s="24">
        <f>F150/B2</f>
        <v>0.211</v>
      </c>
      <c r="H150" s="25">
        <f t="shared" si="5"/>
        <v>1.37</v>
      </c>
      <c r="I150" s="26">
        <f>H150/B3</f>
        <v>0.137</v>
      </c>
      <c r="J150" s="22">
        <v>0.0</v>
      </c>
      <c r="K150" s="22">
        <v>0.0</v>
      </c>
      <c r="L150" s="22">
        <v>0.0</v>
      </c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</row>
    <row r="151">
      <c r="A151" s="12">
        <v>46131.0</v>
      </c>
      <c r="B151" s="21" t="s">
        <v>62</v>
      </c>
      <c r="C151" s="2">
        <v>1.1</v>
      </c>
      <c r="D151" s="23">
        <f t="shared" si="3"/>
        <v>1.05</v>
      </c>
      <c r="E151" s="24">
        <f>D151/B1</f>
        <v>0.105</v>
      </c>
      <c r="F151" s="23">
        <f t="shared" si="4"/>
        <v>1.01</v>
      </c>
      <c r="G151" s="24">
        <f>F151/B2</f>
        <v>0.101</v>
      </c>
      <c r="H151" s="25">
        <f t="shared" si="5"/>
        <v>1.37</v>
      </c>
      <c r="I151" s="26">
        <f>H151/B3</f>
        <v>0.137</v>
      </c>
      <c r="J151" s="22">
        <v>0.0</v>
      </c>
      <c r="K151" s="22">
        <v>0.0</v>
      </c>
      <c r="L151" s="22">
        <v>0.0</v>
      </c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</row>
    <row r="152">
      <c r="A152" s="12">
        <v>46131.0</v>
      </c>
      <c r="B152" s="21" t="s">
        <v>63</v>
      </c>
      <c r="C152" s="2">
        <v>0.65</v>
      </c>
      <c r="D152" s="23">
        <f t="shared" si="3"/>
        <v>1.05</v>
      </c>
      <c r="E152" s="24">
        <f>D152/B1</f>
        <v>0.105</v>
      </c>
      <c r="F152" s="23">
        <f t="shared" si="4"/>
        <v>1.01</v>
      </c>
      <c r="G152" s="24">
        <f>F152/B2</f>
        <v>0.101</v>
      </c>
      <c r="H152" s="25">
        <f t="shared" si="5"/>
        <v>0.72</v>
      </c>
      <c r="I152" s="26">
        <f>H152/B3</f>
        <v>0.072</v>
      </c>
      <c r="J152" s="22">
        <v>0.0</v>
      </c>
      <c r="K152" s="22">
        <v>0.0</v>
      </c>
      <c r="L152" s="22">
        <v>0.0</v>
      </c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</row>
    <row r="153">
      <c r="A153" s="12">
        <v>46132.0</v>
      </c>
      <c r="B153" s="21" t="s">
        <v>61</v>
      </c>
      <c r="C153" s="2">
        <v>1.05</v>
      </c>
      <c r="D153" s="23">
        <f t="shared" si="3"/>
        <v>0</v>
      </c>
      <c r="E153" s="24">
        <f>D153/B1</f>
        <v>0</v>
      </c>
      <c r="F153" s="23">
        <f t="shared" si="4"/>
        <v>1.01</v>
      </c>
      <c r="G153" s="24">
        <f>F153/B2</f>
        <v>0.101</v>
      </c>
      <c r="H153" s="25">
        <f t="shared" si="5"/>
        <v>0.72</v>
      </c>
      <c r="I153" s="26">
        <f>H153/B3</f>
        <v>0.072</v>
      </c>
      <c r="J153" s="22">
        <v>0.0</v>
      </c>
      <c r="K153" s="22">
        <v>0.0</v>
      </c>
      <c r="L153" s="22">
        <v>0.0</v>
      </c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</row>
    <row r="154">
      <c r="A154" s="12">
        <v>46132.0</v>
      </c>
      <c r="B154" s="21" t="s">
        <v>62</v>
      </c>
      <c r="C154" s="2">
        <v>1.01</v>
      </c>
      <c r="D154" s="23">
        <f t="shared" si="3"/>
        <v>0</v>
      </c>
      <c r="E154" s="24">
        <f>D154/B1</f>
        <v>0</v>
      </c>
      <c r="F154" s="23">
        <f t="shared" si="4"/>
        <v>0</v>
      </c>
      <c r="G154" s="24">
        <f>F154/B2</f>
        <v>0</v>
      </c>
      <c r="H154" s="25">
        <f t="shared" si="5"/>
        <v>0.72</v>
      </c>
      <c r="I154" s="26">
        <f>H154/B3</f>
        <v>0.072</v>
      </c>
      <c r="J154" s="22">
        <v>0.0</v>
      </c>
      <c r="K154" s="22">
        <v>0.0</v>
      </c>
      <c r="L154" s="22">
        <v>0.0</v>
      </c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</row>
    <row r="155">
      <c r="A155" s="12">
        <v>46132.0</v>
      </c>
      <c r="B155" s="21" t="s">
        <v>63</v>
      </c>
      <c r="C155" s="2">
        <v>0.72</v>
      </c>
      <c r="D155" s="23">
        <f t="shared" si="3"/>
        <v>0</v>
      </c>
      <c r="E155" s="24">
        <f>D155/B1</f>
        <v>0</v>
      </c>
      <c r="F155" s="23">
        <f t="shared" si="4"/>
        <v>0</v>
      </c>
      <c r="G155" s="24">
        <f>F155/B2</f>
        <v>0</v>
      </c>
      <c r="H155" s="25">
        <f t="shared" si="5"/>
        <v>0</v>
      </c>
      <c r="I155" s="26">
        <f>H155/B3</f>
        <v>0</v>
      </c>
      <c r="J155" s="22">
        <v>0.0</v>
      </c>
      <c r="K155" s="22">
        <v>0.0</v>
      </c>
      <c r="L155" s="22">
        <v>0.0</v>
      </c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</row>
    <row r="156">
      <c r="A156" s="12">
        <v>46133.0</v>
      </c>
      <c r="B156" s="21" t="s">
        <v>61</v>
      </c>
      <c r="C156" s="2">
        <v>0.0</v>
      </c>
      <c r="D156" s="23">
        <f t="shared" si="3"/>
        <v>0</v>
      </c>
      <c r="E156" s="24">
        <f>D156/B1</f>
        <v>0</v>
      </c>
      <c r="F156" s="23">
        <f t="shared" si="4"/>
        <v>0</v>
      </c>
      <c r="G156" s="24">
        <f>F156/B2</f>
        <v>0</v>
      </c>
      <c r="H156" s="25">
        <f t="shared" si="5"/>
        <v>0</v>
      </c>
      <c r="I156" s="26">
        <f>H156/B3</f>
        <v>0</v>
      </c>
      <c r="J156" s="22">
        <v>0.0</v>
      </c>
      <c r="K156" s="22">
        <v>0.0</v>
      </c>
      <c r="L156" s="22">
        <v>0.0</v>
      </c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</row>
    <row r="157">
      <c r="A157" s="12">
        <v>46133.0</v>
      </c>
      <c r="B157" s="21" t="s">
        <v>62</v>
      </c>
      <c r="C157" s="2">
        <v>0.0</v>
      </c>
      <c r="D157" s="23">
        <f t="shared" si="3"/>
        <v>0</v>
      </c>
      <c r="E157" s="24">
        <f>D157/B1</f>
        <v>0</v>
      </c>
      <c r="F157" s="23">
        <f t="shared" si="4"/>
        <v>0</v>
      </c>
      <c r="G157" s="24">
        <f>F157/B2</f>
        <v>0</v>
      </c>
      <c r="H157" s="25">
        <f t="shared" si="5"/>
        <v>0</v>
      </c>
      <c r="I157" s="26">
        <f>H157/B3</f>
        <v>0</v>
      </c>
      <c r="J157" s="22">
        <v>0.0</v>
      </c>
      <c r="K157" s="22">
        <v>0.0</v>
      </c>
      <c r="L157" s="22">
        <v>0.0</v>
      </c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</row>
    <row r="158">
      <c r="A158" s="12">
        <v>46133.0</v>
      </c>
      <c r="B158" s="21" t="s">
        <v>63</v>
      </c>
      <c r="C158" s="2">
        <v>0.0</v>
      </c>
      <c r="D158" s="23">
        <f t="shared" si="3"/>
        <v>0</v>
      </c>
      <c r="E158" s="24">
        <f>D158/B1</f>
        <v>0</v>
      </c>
      <c r="F158" s="23">
        <f t="shared" si="4"/>
        <v>0</v>
      </c>
      <c r="G158" s="24">
        <f>F158/B2</f>
        <v>0</v>
      </c>
      <c r="H158" s="25">
        <f t="shared" si="5"/>
        <v>0</v>
      </c>
      <c r="I158" s="26">
        <f>H158/B3</f>
        <v>0</v>
      </c>
      <c r="J158" s="22">
        <v>0.0</v>
      </c>
      <c r="K158" s="22">
        <v>0.0</v>
      </c>
      <c r="L158" s="22">
        <v>0.0</v>
      </c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</row>
    <row r="159">
      <c r="A159" s="12">
        <v>46134.0</v>
      </c>
      <c r="B159" s="21" t="s">
        <v>61</v>
      </c>
      <c r="C159" s="2">
        <v>0.0</v>
      </c>
      <c r="D159" s="23">
        <f t="shared" si="3"/>
        <v>0</v>
      </c>
      <c r="E159" s="24">
        <f>D159/B1</f>
        <v>0</v>
      </c>
      <c r="F159" s="23">
        <f t="shared" si="4"/>
        <v>0</v>
      </c>
      <c r="G159" s="24">
        <f>F159/B2</f>
        <v>0</v>
      </c>
      <c r="H159" s="25">
        <f t="shared" si="5"/>
        <v>0</v>
      </c>
      <c r="I159" s="26">
        <f>H159/B3</f>
        <v>0</v>
      </c>
      <c r="J159" s="22">
        <v>0.0</v>
      </c>
      <c r="K159" s="22">
        <v>0.0</v>
      </c>
      <c r="L159" s="22">
        <v>0.0</v>
      </c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</row>
    <row r="160">
      <c r="A160" s="12">
        <v>46134.0</v>
      </c>
      <c r="B160" s="21" t="s">
        <v>62</v>
      </c>
      <c r="C160" s="2">
        <v>0.0</v>
      </c>
      <c r="D160" s="23">
        <f t="shared" si="3"/>
        <v>0</v>
      </c>
      <c r="E160" s="24">
        <f>D160/B1</f>
        <v>0</v>
      </c>
      <c r="F160" s="23">
        <f t="shared" si="4"/>
        <v>0</v>
      </c>
      <c r="G160" s="24">
        <f>F160/B2</f>
        <v>0</v>
      </c>
      <c r="H160" s="25">
        <f t="shared" si="5"/>
        <v>0</v>
      </c>
      <c r="I160" s="26">
        <f>H160/B3</f>
        <v>0</v>
      </c>
      <c r="J160" s="22">
        <v>0.0</v>
      </c>
      <c r="K160" s="22">
        <v>0.0</v>
      </c>
      <c r="L160" s="22">
        <v>0.0</v>
      </c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</row>
    <row r="161">
      <c r="A161" s="12">
        <v>46134.0</v>
      </c>
      <c r="B161" s="21" t="s">
        <v>63</v>
      </c>
      <c r="C161" s="2">
        <v>0.0</v>
      </c>
      <c r="D161" s="23">
        <f t="shared" si="3"/>
        <v>0</v>
      </c>
      <c r="E161" s="24">
        <f>D161/B1</f>
        <v>0</v>
      </c>
      <c r="F161" s="23">
        <f t="shared" si="4"/>
        <v>0</v>
      </c>
      <c r="G161" s="24">
        <f>F161/B2</f>
        <v>0</v>
      </c>
      <c r="H161" s="25">
        <f t="shared" si="5"/>
        <v>0</v>
      </c>
      <c r="I161" s="26">
        <f>H161/B3</f>
        <v>0</v>
      </c>
      <c r="J161" s="22">
        <v>0.0</v>
      </c>
      <c r="K161" s="22">
        <v>0.0</v>
      </c>
      <c r="L161" s="22">
        <v>0.0</v>
      </c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</row>
    <row r="162">
      <c r="A162" s="12">
        <v>46135.0</v>
      </c>
      <c r="B162" s="21" t="s">
        <v>61</v>
      </c>
      <c r="C162" s="2">
        <v>0.0</v>
      </c>
      <c r="D162" s="23">
        <f t="shared" si="3"/>
        <v>0</v>
      </c>
      <c r="E162" s="24">
        <f>D162/B1</f>
        <v>0</v>
      </c>
      <c r="F162" s="23">
        <f t="shared" si="4"/>
        <v>0</v>
      </c>
      <c r="G162" s="24">
        <f>F162/B2</f>
        <v>0</v>
      </c>
      <c r="H162" s="25">
        <f t="shared" si="5"/>
        <v>0</v>
      </c>
      <c r="I162" s="26">
        <f>H162/B3</f>
        <v>0</v>
      </c>
      <c r="J162" s="22">
        <v>0.0</v>
      </c>
      <c r="K162" s="22">
        <v>0.0</v>
      </c>
      <c r="L162" s="22">
        <v>0.0</v>
      </c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</row>
    <row r="163">
      <c r="A163" s="12">
        <v>46135.0</v>
      </c>
      <c r="B163" s="21" t="s">
        <v>62</v>
      </c>
      <c r="C163" s="2">
        <v>0.0</v>
      </c>
      <c r="D163" s="23">
        <f t="shared" si="3"/>
        <v>0</v>
      </c>
      <c r="E163" s="24">
        <f>D163/B1</f>
        <v>0</v>
      </c>
      <c r="F163" s="23">
        <f t="shared" si="4"/>
        <v>0</v>
      </c>
      <c r="G163" s="24">
        <f>F163/B2</f>
        <v>0</v>
      </c>
      <c r="H163" s="25">
        <f t="shared" si="5"/>
        <v>0</v>
      </c>
      <c r="I163" s="26">
        <f>H163/B3</f>
        <v>0</v>
      </c>
      <c r="J163" s="22">
        <v>0.0</v>
      </c>
      <c r="K163" s="22">
        <v>0.0</v>
      </c>
      <c r="L163" s="22">
        <v>0.0</v>
      </c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</row>
    <row r="164">
      <c r="A164" s="12">
        <v>46135.0</v>
      </c>
      <c r="B164" s="21" t="s">
        <v>63</v>
      </c>
      <c r="C164" s="2">
        <v>0.0</v>
      </c>
      <c r="D164" s="23">
        <f t="shared" si="3"/>
        <v>0</v>
      </c>
      <c r="E164" s="24">
        <f>D164/B1</f>
        <v>0</v>
      </c>
      <c r="F164" s="23">
        <f t="shared" si="4"/>
        <v>0</v>
      </c>
      <c r="G164" s="24">
        <f>F164/B2</f>
        <v>0</v>
      </c>
      <c r="H164" s="25">
        <f t="shared" si="5"/>
        <v>0</v>
      </c>
      <c r="I164" s="26">
        <f>H164/B3</f>
        <v>0</v>
      </c>
      <c r="J164" s="22">
        <v>0.0</v>
      </c>
      <c r="K164" s="22">
        <v>0.0</v>
      </c>
      <c r="L164" s="22">
        <v>0.0</v>
      </c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</row>
    <row r="165">
      <c r="A165" s="12">
        <v>46136.0</v>
      </c>
      <c r="B165" s="21" t="s">
        <v>61</v>
      </c>
      <c r="C165" s="2">
        <v>0.0</v>
      </c>
      <c r="D165" s="23">
        <f t="shared" si="3"/>
        <v>0</v>
      </c>
      <c r="E165" s="24">
        <f>D165/B1</f>
        <v>0</v>
      </c>
      <c r="F165" s="23">
        <f t="shared" si="4"/>
        <v>0</v>
      </c>
      <c r="G165" s="24">
        <f>F165/B2</f>
        <v>0</v>
      </c>
      <c r="H165" s="25">
        <f t="shared" si="5"/>
        <v>0</v>
      </c>
      <c r="I165" s="26">
        <f>H165/B3</f>
        <v>0</v>
      </c>
      <c r="J165" s="22">
        <v>0.0</v>
      </c>
      <c r="K165" s="22">
        <v>0.0</v>
      </c>
      <c r="L165" s="22">
        <v>0.0</v>
      </c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</row>
    <row r="166">
      <c r="A166" s="12">
        <v>46136.0</v>
      </c>
      <c r="B166" s="21" t="s">
        <v>62</v>
      </c>
      <c r="C166" s="2">
        <v>0.0</v>
      </c>
      <c r="D166" s="23">
        <f t="shared" si="3"/>
        <v>0</v>
      </c>
      <c r="E166" s="24">
        <f>D166/B1</f>
        <v>0</v>
      </c>
      <c r="F166" s="23">
        <f t="shared" si="4"/>
        <v>0</v>
      </c>
      <c r="G166" s="24">
        <f>F166/B2</f>
        <v>0</v>
      </c>
      <c r="H166" s="25">
        <f t="shared" si="5"/>
        <v>0</v>
      </c>
      <c r="I166" s="26">
        <f>H166/B3</f>
        <v>0</v>
      </c>
      <c r="J166" s="22">
        <v>0.0</v>
      </c>
      <c r="K166" s="22">
        <v>0.0</v>
      </c>
      <c r="L166" s="22">
        <v>0.0</v>
      </c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</row>
    <row r="167">
      <c r="A167" s="12">
        <v>46136.0</v>
      </c>
      <c r="B167" s="21" t="s">
        <v>63</v>
      </c>
      <c r="C167" s="2">
        <v>0.0</v>
      </c>
      <c r="D167" s="23">
        <f t="shared" si="3"/>
        <v>0</v>
      </c>
      <c r="E167" s="24">
        <f>D167/B1</f>
        <v>0</v>
      </c>
      <c r="F167" s="23">
        <f t="shared" si="4"/>
        <v>0</v>
      </c>
      <c r="G167" s="24">
        <f>F167/B2</f>
        <v>0</v>
      </c>
      <c r="H167" s="25">
        <f t="shared" si="5"/>
        <v>0</v>
      </c>
      <c r="I167" s="26">
        <f>H167/B3</f>
        <v>0</v>
      </c>
      <c r="J167" s="22">
        <v>0.0</v>
      </c>
      <c r="K167" s="22">
        <v>0.0</v>
      </c>
      <c r="L167" s="22">
        <v>0.0</v>
      </c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</row>
    <row r="168">
      <c r="A168" s="12">
        <v>46137.0</v>
      </c>
      <c r="B168" s="21" t="s">
        <v>61</v>
      </c>
      <c r="C168" s="2">
        <v>0.0</v>
      </c>
      <c r="D168" s="23">
        <f t="shared" si="3"/>
        <v>0</v>
      </c>
      <c r="E168" s="24">
        <f>D168/B1</f>
        <v>0</v>
      </c>
      <c r="F168" s="23">
        <f t="shared" si="4"/>
        <v>0</v>
      </c>
      <c r="G168" s="24">
        <f>F168/B2</f>
        <v>0</v>
      </c>
      <c r="H168" s="25">
        <f t="shared" si="5"/>
        <v>0</v>
      </c>
      <c r="I168" s="26">
        <f>H168/B3</f>
        <v>0</v>
      </c>
      <c r="J168" s="22">
        <v>0.0</v>
      </c>
      <c r="K168" s="22">
        <v>0.0</v>
      </c>
      <c r="L168" s="22">
        <v>0.0</v>
      </c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</row>
    <row r="169">
      <c r="A169" s="12">
        <v>46137.0</v>
      </c>
      <c r="B169" s="21" t="s">
        <v>62</v>
      </c>
      <c r="C169" s="2">
        <v>0.0</v>
      </c>
      <c r="D169" s="23">
        <f t="shared" si="3"/>
        <v>0</v>
      </c>
      <c r="E169" s="24">
        <f>D169/B1</f>
        <v>0</v>
      </c>
      <c r="F169" s="23">
        <f t="shared" si="4"/>
        <v>0</v>
      </c>
      <c r="G169" s="24">
        <f>F169/B2</f>
        <v>0</v>
      </c>
      <c r="H169" s="25">
        <f t="shared" si="5"/>
        <v>0</v>
      </c>
      <c r="I169" s="26">
        <f>H169/B3</f>
        <v>0</v>
      </c>
      <c r="J169" s="22">
        <v>0.0</v>
      </c>
      <c r="K169" s="22">
        <v>0.0</v>
      </c>
      <c r="L169" s="22">
        <v>0.0</v>
      </c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</row>
    <row r="170">
      <c r="A170" s="12">
        <v>46137.0</v>
      </c>
      <c r="B170" s="21" t="s">
        <v>63</v>
      </c>
      <c r="C170" s="2">
        <v>0.0</v>
      </c>
      <c r="D170" s="23">
        <f t="shared" si="3"/>
        <v>0</v>
      </c>
      <c r="E170" s="24">
        <f>D170/B1</f>
        <v>0</v>
      </c>
      <c r="F170" s="23">
        <f t="shared" si="4"/>
        <v>0</v>
      </c>
      <c r="G170" s="24">
        <f>F170/B2</f>
        <v>0</v>
      </c>
      <c r="H170" s="25">
        <f t="shared" si="5"/>
        <v>0</v>
      </c>
      <c r="I170" s="31" t="s">
        <v>138</v>
      </c>
      <c r="J170" s="22">
        <v>0.0</v>
      </c>
      <c r="K170" s="22">
        <v>0.0</v>
      </c>
      <c r="L170" s="22">
        <v>0.0</v>
      </c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</row>
    <row r="171">
      <c r="A171" s="12">
        <v>46138.0</v>
      </c>
      <c r="B171" s="21" t="s">
        <v>61</v>
      </c>
      <c r="C171" s="2">
        <v>0.0</v>
      </c>
      <c r="D171" s="23">
        <f t="shared" si="3"/>
        <v>0</v>
      </c>
      <c r="E171" s="24">
        <f>D171/B1</f>
        <v>0</v>
      </c>
      <c r="F171" s="23">
        <f t="shared" si="4"/>
        <v>0</v>
      </c>
      <c r="G171" s="24">
        <f>F171/B2</f>
        <v>0</v>
      </c>
      <c r="H171" s="25">
        <f t="shared" si="5"/>
        <v>0</v>
      </c>
      <c r="I171" s="26">
        <f>H171/B3</f>
        <v>0</v>
      </c>
      <c r="J171" s="22">
        <v>0.0</v>
      </c>
      <c r="K171" s="22">
        <v>0.0</v>
      </c>
      <c r="L171" s="22">
        <v>0.0</v>
      </c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</row>
    <row r="172">
      <c r="A172" s="12">
        <v>46138.0</v>
      </c>
      <c r="B172" s="21" t="s">
        <v>62</v>
      </c>
      <c r="C172" s="2">
        <v>0.0</v>
      </c>
      <c r="D172" s="23">
        <f t="shared" si="3"/>
        <v>0</v>
      </c>
      <c r="E172" s="24">
        <f>D172/B1</f>
        <v>0</v>
      </c>
      <c r="F172" s="23">
        <f t="shared" si="4"/>
        <v>0</v>
      </c>
      <c r="G172" s="24">
        <f>F172/B2</f>
        <v>0</v>
      </c>
      <c r="H172" s="25">
        <f t="shared" si="5"/>
        <v>0</v>
      </c>
      <c r="I172" s="26">
        <f>H172/B3</f>
        <v>0</v>
      </c>
      <c r="J172" s="22">
        <v>0.0</v>
      </c>
      <c r="K172" s="22">
        <v>0.0</v>
      </c>
      <c r="L172" s="22">
        <v>0.0</v>
      </c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</row>
    <row r="173">
      <c r="A173" s="12">
        <v>46138.0</v>
      </c>
      <c r="B173" s="21" t="s">
        <v>63</v>
      </c>
      <c r="C173" s="2">
        <v>0.0</v>
      </c>
      <c r="D173" s="23">
        <f t="shared" si="3"/>
        <v>0</v>
      </c>
      <c r="E173" s="24">
        <f>D173/B1</f>
        <v>0</v>
      </c>
      <c r="F173" s="23">
        <f t="shared" si="4"/>
        <v>0</v>
      </c>
      <c r="G173" s="24">
        <f>F173/B2</f>
        <v>0</v>
      </c>
      <c r="H173" s="25">
        <f t="shared" si="5"/>
        <v>0</v>
      </c>
      <c r="I173" s="26">
        <f>H173/B3</f>
        <v>0</v>
      </c>
      <c r="J173" s="22">
        <v>0.0</v>
      </c>
      <c r="K173" s="22">
        <v>0.0</v>
      </c>
      <c r="L173" s="22">
        <v>0.0</v>
      </c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</row>
    <row r="174">
      <c r="A174" s="12">
        <v>46139.0</v>
      </c>
      <c r="B174" s="21" t="s">
        <v>61</v>
      </c>
      <c r="C174" s="2">
        <v>0.0</v>
      </c>
      <c r="D174" s="23">
        <f t="shared" si="3"/>
        <v>0</v>
      </c>
      <c r="E174" s="24">
        <f>D174/B1</f>
        <v>0</v>
      </c>
      <c r="F174" s="23">
        <f t="shared" si="4"/>
        <v>0</v>
      </c>
      <c r="G174" s="24">
        <f>F174/B2</f>
        <v>0</v>
      </c>
      <c r="H174" s="25">
        <f t="shared" si="5"/>
        <v>0</v>
      </c>
      <c r="I174" s="26">
        <f>H174/B3</f>
        <v>0</v>
      </c>
      <c r="J174" s="22">
        <v>0.0</v>
      </c>
      <c r="K174" s="22">
        <v>0.0</v>
      </c>
      <c r="L174" s="22">
        <v>0.0</v>
      </c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</row>
    <row r="175">
      <c r="A175" s="12">
        <v>46139.0</v>
      </c>
      <c r="B175" s="21" t="s">
        <v>62</v>
      </c>
      <c r="C175" s="2">
        <v>0.0</v>
      </c>
      <c r="D175" s="23">
        <f t="shared" si="3"/>
        <v>0</v>
      </c>
      <c r="E175" s="24">
        <f>D175/B1</f>
        <v>0</v>
      </c>
      <c r="F175" s="23">
        <f t="shared" si="4"/>
        <v>0</v>
      </c>
      <c r="G175" s="24">
        <f>F175/B2</f>
        <v>0</v>
      </c>
      <c r="H175" s="25">
        <f t="shared" si="5"/>
        <v>0</v>
      </c>
      <c r="I175" s="26">
        <f>H175/B3</f>
        <v>0</v>
      </c>
      <c r="J175" s="22">
        <v>0.0</v>
      </c>
      <c r="K175" s="22">
        <v>0.0</v>
      </c>
      <c r="L175" s="22">
        <v>0.0</v>
      </c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</row>
    <row r="176">
      <c r="A176" s="12">
        <v>46139.0</v>
      </c>
      <c r="B176" s="21" t="s">
        <v>63</v>
      </c>
      <c r="C176" s="2">
        <v>0.0</v>
      </c>
      <c r="D176" s="23">
        <f t="shared" si="3"/>
        <v>0</v>
      </c>
      <c r="E176" s="24">
        <f>D176/B1</f>
        <v>0</v>
      </c>
      <c r="F176" s="23">
        <f t="shared" si="4"/>
        <v>0</v>
      </c>
      <c r="G176" s="24">
        <f>F176/B2</f>
        <v>0</v>
      </c>
      <c r="H176" s="25">
        <f t="shared" si="5"/>
        <v>0</v>
      </c>
      <c r="I176" s="26">
        <f>H176/B3</f>
        <v>0</v>
      </c>
      <c r="J176" s="22">
        <v>0.0</v>
      </c>
      <c r="K176" s="22">
        <v>0.0</v>
      </c>
      <c r="L176" s="22">
        <v>0.0</v>
      </c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</row>
    <row r="177">
      <c r="A177" s="12">
        <v>46140.0</v>
      </c>
      <c r="B177" s="21" t="s">
        <v>61</v>
      </c>
      <c r="C177" s="2">
        <v>0.0</v>
      </c>
      <c r="D177" s="23">
        <f t="shared" si="3"/>
        <v>0</v>
      </c>
      <c r="E177" s="24">
        <f>D177/B1</f>
        <v>0</v>
      </c>
      <c r="F177" s="23">
        <f t="shared" si="4"/>
        <v>0</v>
      </c>
      <c r="G177" s="24">
        <f>F177/B2</f>
        <v>0</v>
      </c>
      <c r="H177" s="25">
        <f t="shared" si="5"/>
        <v>0</v>
      </c>
      <c r="I177" s="26">
        <f>H177/B3</f>
        <v>0</v>
      </c>
      <c r="J177" s="22">
        <v>0.0</v>
      </c>
      <c r="K177" s="22">
        <v>0.0</v>
      </c>
      <c r="L177" s="22">
        <v>0.0</v>
      </c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</row>
    <row r="178">
      <c r="A178" s="12">
        <v>46140.0</v>
      </c>
      <c r="B178" s="21" t="s">
        <v>62</v>
      </c>
      <c r="C178" s="2">
        <v>0.0</v>
      </c>
      <c r="D178" s="23">
        <f t="shared" si="3"/>
        <v>0</v>
      </c>
      <c r="E178" s="24">
        <f>D178/B1</f>
        <v>0</v>
      </c>
      <c r="F178" s="23">
        <f t="shared" si="4"/>
        <v>0</v>
      </c>
      <c r="G178" s="24">
        <f>F178/B2</f>
        <v>0</v>
      </c>
      <c r="H178" s="25">
        <f t="shared" si="5"/>
        <v>0</v>
      </c>
      <c r="I178" s="26">
        <f>H178/B3</f>
        <v>0</v>
      </c>
      <c r="J178" s="22">
        <v>0.0</v>
      </c>
      <c r="K178" s="22">
        <v>0.0</v>
      </c>
      <c r="L178" s="22">
        <v>0.0</v>
      </c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</row>
    <row r="179">
      <c r="A179" s="12">
        <v>46140.0</v>
      </c>
      <c r="B179" s="21" t="s">
        <v>63</v>
      </c>
      <c r="C179" s="2">
        <v>0.0</v>
      </c>
      <c r="D179" s="23">
        <f t="shared" si="3"/>
        <v>0</v>
      </c>
      <c r="E179" s="24">
        <f>D179/B1</f>
        <v>0</v>
      </c>
      <c r="F179" s="23">
        <f t="shared" si="4"/>
        <v>0</v>
      </c>
      <c r="G179" s="24">
        <f>F179/B2</f>
        <v>0</v>
      </c>
      <c r="H179" s="25">
        <f t="shared" si="5"/>
        <v>0</v>
      </c>
      <c r="I179" s="26">
        <f>H179/B3</f>
        <v>0</v>
      </c>
      <c r="J179" s="22">
        <v>0.0</v>
      </c>
      <c r="K179" s="22">
        <v>0.0</v>
      </c>
      <c r="L179" s="22">
        <v>0.0</v>
      </c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</row>
    <row r="180">
      <c r="A180" s="12">
        <v>46141.0</v>
      </c>
      <c r="B180" s="21" t="s">
        <v>61</v>
      </c>
      <c r="C180" s="2">
        <v>0.0</v>
      </c>
      <c r="D180" s="23">
        <f t="shared" si="3"/>
        <v>0</v>
      </c>
      <c r="E180" s="24">
        <f>D180/B1</f>
        <v>0</v>
      </c>
      <c r="F180" s="23">
        <f t="shared" si="4"/>
        <v>0</v>
      </c>
      <c r="G180" s="24">
        <f>F180/B2</f>
        <v>0</v>
      </c>
      <c r="H180" s="25">
        <f t="shared" si="5"/>
        <v>0</v>
      </c>
      <c r="I180" s="26">
        <f>H180/B3</f>
        <v>0</v>
      </c>
      <c r="J180" s="22">
        <v>0.0</v>
      </c>
      <c r="K180" s="22">
        <v>0.0</v>
      </c>
      <c r="L180" s="22">
        <v>0.0</v>
      </c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</row>
    <row r="181">
      <c r="A181" s="12">
        <v>46141.0</v>
      </c>
      <c r="B181" s="21" t="s">
        <v>62</v>
      </c>
      <c r="C181" s="2">
        <v>0.0</v>
      </c>
      <c r="D181" s="23">
        <f t="shared" si="3"/>
        <v>0</v>
      </c>
      <c r="E181" s="24">
        <f>D181/B1</f>
        <v>0</v>
      </c>
      <c r="F181" s="23">
        <f t="shared" si="4"/>
        <v>0</v>
      </c>
      <c r="G181" s="24">
        <f>F181/B2</f>
        <v>0</v>
      </c>
      <c r="H181" s="25">
        <f t="shared" si="5"/>
        <v>0</v>
      </c>
      <c r="I181" s="26">
        <f>H181/B3</f>
        <v>0</v>
      </c>
      <c r="J181" s="22">
        <v>0.0</v>
      </c>
      <c r="K181" s="22">
        <v>0.0</v>
      </c>
      <c r="L181" s="22">
        <v>0.0</v>
      </c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</row>
    <row r="182">
      <c r="A182" s="12">
        <v>46141.0</v>
      </c>
      <c r="B182" s="21" t="s">
        <v>63</v>
      </c>
      <c r="C182" s="2">
        <v>0.0</v>
      </c>
      <c r="D182" s="23">
        <f t="shared" si="3"/>
        <v>0</v>
      </c>
      <c r="E182" s="24">
        <f>D182/B1</f>
        <v>0</v>
      </c>
      <c r="F182" s="23">
        <f t="shared" si="4"/>
        <v>0</v>
      </c>
      <c r="G182" s="24">
        <f>F182/B2</f>
        <v>0</v>
      </c>
      <c r="H182" s="25">
        <f t="shared" si="5"/>
        <v>0</v>
      </c>
      <c r="I182" s="26">
        <f>H182/B3</f>
        <v>0</v>
      </c>
      <c r="J182" s="22">
        <v>0.0</v>
      </c>
      <c r="K182" s="22">
        <v>0.0</v>
      </c>
      <c r="L182" s="22">
        <v>0.0</v>
      </c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</row>
    <row r="183">
      <c r="A183" s="12">
        <v>46142.0</v>
      </c>
      <c r="B183" s="21" t="s">
        <v>61</v>
      </c>
      <c r="C183" s="2">
        <v>0.0</v>
      </c>
      <c r="D183" s="23">
        <f t="shared" si="3"/>
        <v>0</v>
      </c>
      <c r="E183" s="24">
        <f>D183/B1</f>
        <v>0</v>
      </c>
      <c r="F183" s="23">
        <f t="shared" si="4"/>
        <v>0</v>
      </c>
      <c r="G183" s="24">
        <f>F183/B2</f>
        <v>0</v>
      </c>
      <c r="H183" s="25">
        <f t="shared" si="5"/>
        <v>0</v>
      </c>
      <c r="I183" s="26">
        <f>H183/B3</f>
        <v>0</v>
      </c>
      <c r="J183" s="22">
        <v>0.0</v>
      </c>
      <c r="K183" s="22">
        <v>0.0</v>
      </c>
      <c r="L183" s="22">
        <v>0.0</v>
      </c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</row>
    <row r="184">
      <c r="A184" s="12">
        <v>46142.0</v>
      </c>
      <c r="B184" s="21" t="s">
        <v>62</v>
      </c>
      <c r="C184" s="2">
        <v>0.0</v>
      </c>
      <c r="D184" s="23">
        <f t="shared" si="3"/>
        <v>0</v>
      </c>
      <c r="E184" s="24">
        <f>D184/B1</f>
        <v>0</v>
      </c>
      <c r="F184" s="23">
        <f t="shared" si="4"/>
        <v>0</v>
      </c>
      <c r="G184" s="24">
        <f>F184/B2</f>
        <v>0</v>
      </c>
      <c r="H184" s="25">
        <f t="shared" si="5"/>
        <v>0</v>
      </c>
      <c r="I184" s="26">
        <f>H184/B3</f>
        <v>0</v>
      </c>
      <c r="J184" s="22">
        <v>0.0</v>
      </c>
      <c r="K184" s="22">
        <v>0.0</v>
      </c>
      <c r="L184" s="22">
        <v>0.0</v>
      </c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</row>
    <row r="185">
      <c r="A185" s="12">
        <v>46142.0</v>
      </c>
      <c r="B185" s="21" t="s">
        <v>63</v>
      </c>
      <c r="C185" s="2">
        <v>0.0</v>
      </c>
      <c r="D185" s="23">
        <f t="shared" si="3"/>
        <v>0</v>
      </c>
      <c r="E185" s="24">
        <f>D185/B1</f>
        <v>0</v>
      </c>
      <c r="F185" s="23">
        <f t="shared" si="4"/>
        <v>0</v>
      </c>
      <c r="G185" s="24">
        <f>F185/B2</f>
        <v>0</v>
      </c>
      <c r="H185" s="25">
        <f t="shared" si="5"/>
        <v>0</v>
      </c>
      <c r="I185" s="26">
        <f>H185/B3</f>
        <v>0</v>
      </c>
      <c r="J185" s="22">
        <v>0.0</v>
      </c>
      <c r="K185" s="22">
        <v>0.0</v>
      </c>
      <c r="L185" s="22">
        <v>0.0</v>
      </c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</row>
    <row r="186">
      <c r="A186" s="12">
        <v>46143.0</v>
      </c>
      <c r="B186" s="21" t="s">
        <v>61</v>
      </c>
      <c r="C186" s="2">
        <v>0.0</v>
      </c>
      <c r="D186" s="23">
        <f t="shared" si="3"/>
        <v>0</v>
      </c>
      <c r="E186" s="24">
        <f>D186/B1</f>
        <v>0</v>
      </c>
      <c r="F186" s="23">
        <f t="shared" si="4"/>
        <v>0</v>
      </c>
      <c r="G186" s="24">
        <f>F186/B2</f>
        <v>0</v>
      </c>
      <c r="H186" s="25">
        <f t="shared" si="5"/>
        <v>0</v>
      </c>
      <c r="I186" s="26">
        <f>H186/B3</f>
        <v>0</v>
      </c>
      <c r="J186" s="22">
        <v>0.0</v>
      </c>
      <c r="K186" s="22">
        <v>0.0</v>
      </c>
      <c r="L186" s="22">
        <v>0.0</v>
      </c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</row>
    <row r="187">
      <c r="A187" s="12">
        <v>46143.0</v>
      </c>
      <c r="B187" s="21" t="s">
        <v>62</v>
      </c>
      <c r="C187" s="2">
        <v>0.0</v>
      </c>
      <c r="D187" s="23">
        <f t="shared" si="3"/>
        <v>0</v>
      </c>
      <c r="E187" s="24">
        <f>D187/B1</f>
        <v>0</v>
      </c>
      <c r="F187" s="23">
        <f t="shared" si="4"/>
        <v>0</v>
      </c>
      <c r="G187" s="24">
        <f>F187/B2</f>
        <v>0</v>
      </c>
      <c r="H187" s="25">
        <f t="shared" si="5"/>
        <v>0</v>
      </c>
      <c r="I187" s="26">
        <f>H187/B3</f>
        <v>0</v>
      </c>
      <c r="J187" s="22">
        <v>0.0</v>
      </c>
      <c r="K187" s="22">
        <v>0.0</v>
      </c>
      <c r="L187" s="22">
        <v>0.0</v>
      </c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</row>
    <row r="188">
      <c r="A188" s="12">
        <v>46143.0</v>
      </c>
      <c r="B188" s="21" t="s">
        <v>63</v>
      </c>
      <c r="C188" s="2">
        <v>0.0</v>
      </c>
      <c r="D188" s="23">
        <f t="shared" si="3"/>
        <v>0</v>
      </c>
      <c r="E188" s="24">
        <f>D188/B1</f>
        <v>0</v>
      </c>
      <c r="F188" s="23">
        <f t="shared" si="4"/>
        <v>0</v>
      </c>
      <c r="G188" s="24">
        <f>F188/B2</f>
        <v>0</v>
      </c>
      <c r="H188" s="25">
        <f t="shared" si="5"/>
        <v>0</v>
      </c>
      <c r="I188" s="26">
        <f>H188/B3</f>
        <v>0</v>
      </c>
      <c r="J188" s="22">
        <v>0.0</v>
      </c>
      <c r="K188" s="22">
        <v>0.0</v>
      </c>
      <c r="L188" s="22">
        <v>0.0</v>
      </c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</row>
  </sheetData>
  <dataValidations>
    <dataValidation type="list" allowBlank="1" showErrorMessage="1" sqref="B6:B188">
      <formula1>"WW,FLA,MAC1+"</formula1>
    </dataValidation>
  </dataValidations>
  <hyperlinks>
    <hyperlink r:id="rId1" ref="I170"/>
  </hyperlin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61.75"/>
    <col customWidth="1" min="2" max="2" width="22.63"/>
    <col customWidth="1" min="3" max="3" width="10.25"/>
    <col customWidth="1" min="4" max="4" width="17.0"/>
    <col customWidth="1" min="5" max="5" width="15.0"/>
    <col customWidth="1" min="6" max="6" width="17.0"/>
    <col customWidth="1" min="7" max="7" width="16.13"/>
    <col customWidth="1" min="8" max="9" width="16.38"/>
    <col customWidth="1" min="10" max="10" width="12.63"/>
    <col customWidth="1" min="11" max="11" width="14.88"/>
    <col customWidth="1" min="12" max="12" width="13.0"/>
  </cols>
  <sheetData>
    <row r="1">
      <c r="A1" s="1" t="s">
        <v>121</v>
      </c>
      <c r="B1" s="2">
        <v>5.0</v>
      </c>
      <c r="C1" s="2">
        <f>D188</f>
        <v>0</v>
      </c>
      <c r="D1" s="5">
        <f t="shared" ref="D1:D4" si="1">C1/B1</f>
        <v>0</v>
      </c>
      <c r="G1" s="1" t="s">
        <v>1</v>
      </c>
      <c r="H1" s="3">
        <f>IFERROR(__xludf.DUMMYFUNCTION("COUNTUNIQUE(A6:A110)"),35.0)</f>
        <v>35</v>
      </c>
      <c r="I1" s="3"/>
      <c r="J1" s="6"/>
      <c r="K1" s="3"/>
      <c r="L1" s="3"/>
      <c r="M1" s="7"/>
      <c r="N1" s="7"/>
    </row>
    <row r="2">
      <c r="A2" s="1" t="s">
        <v>128</v>
      </c>
      <c r="B2" s="2">
        <v>10.0</v>
      </c>
      <c r="C2" s="4">
        <f>F188</f>
        <v>0</v>
      </c>
      <c r="D2" s="5">
        <f t="shared" si="1"/>
        <v>0</v>
      </c>
      <c r="G2" s="1" t="s">
        <v>5</v>
      </c>
      <c r="H2" s="3">
        <f>(B1+B2+B3)/F4</f>
        <v>35</v>
      </c>
      <c r="I2" s="3"/>
      <c r="J2" s="3"/>
      <c r="K2" s="3"/>
      <c r="L2" s="3"/>
      <c r="M2" s="7"/>
      <c r="N2" s="7"/>
    </row>
    <row r="3">
      <c r="A3" s="1" t="s">
        <v>104</v>
      </c>
      <c r="B3" s="2">
        <v>10.0</v>
      </c>
      <c r="C3" s="4">
        <f>H188</f>
        <v>0</v>
      </c>
      <c r="D3" s="8">
        <f t="shared" si="1"/>
        <v>0</v>
      </c>
      <c r="E3" s="3"/>
      <c r="F3" s="6"/>
      <c r="G3" s="3"/>
      <c r="H3" s="3"/>
      <c r="I3" s="3"/>
      <c r="J3" s="3"/>
      <c r="K3" s="3"/>
      <c r="L3" s="3"/>
      <c r="M3" s="7"/>
      <c r="N3" s="7"/>
    </row>
    <row r="4">
      <c r="B4" s="9">
        <f t="shared" ref="B4:C4" si="2">SUM(B1:B3)</f>
        <v>25</v>
      </c>
      <c r="C4" s="9">
        <f t="shared" si="2"/>
        <v>0</v>
      </c>
      <c r="D4" s="5">
        <f t="shared" si="1"/>
        <v>0</v>
      </c>
      <c r="E4" s="1" t="s">
        <v>7</v>
      </c>
      <c r="F4" s="3">
        <f>SUM(C6:C110)/H1</f>
        <v>0.7142857143</v>
      </c>
      <c r="G4" s="3"/>
      <c r="H4" s="3"/>
      <c r="I4" s="3"/>
      <c r="J4" s="3"/>
      <c r="K4" s="3"/>
      <c r="L4" s="3"/>
      <c r="M4" s="7"/>
      <c r="N4" s="7"/>
    </row>
    <row r="5">
      <c r="A5" s="10" t="s">
        <v>8</v>
      </c>
      <c r="B5" s="10" t="s">
        <v>9</v>
      </c>
      <c r="C5" s="10" t="s">
        <v>10</v>
      </c>
      <c r="D5" s="10" t="s">
        <v>131</v>
      </c>
      <c r="E5" s="10" t="s">
        <v>131</v>
      </c>
      <c r="F5" s="10" t="s">
        <v>132</v>
      </c>
      <c r="G5" s="10" t="s">
        <v>132</v>
      </c>
      <c r="H5" s="10" t="s">
        <v>78</v>
      </c>
      <c r="I5" s="10" t="s">
        <v>78</v>
      </c>
      <c r="J5" s="10" t="s">
        <v>133</v>
      </c>
      <c r="K5" s="10" t="s">
        <v>134</v>
      </c>
      <c r="L5" s="10" t="s">
        <v>80</v>
      </c>
      <c r="M5" s="7"/>
      <c r="N5" s="7"/>
    </row>
    <row r="6">
      <c r="A6" s="12">
        <v>46189.0</v>
      </c>
      <c r="B6" s="6" t="s">
        <v>61</v>
      </c>
      <c r="C6" s="2">
        <v>0.0</v>
      </c>
      <c r="D6" s="4">
        <f>IF(B6="WW",B1-C6,B1)</f>
        <v>5</v>
      </c>
      <c r="E6" s="13">
        <f>D6/B1</f>
        <v>1</v>
      </c>
      <c r="F6" s="2">
        <f>IF(B6="FLA",B2-C6,B2)</f>
        <v>10</v>
      </c>
      <c r="G6" s="14">
        <f>F6/B2</f>
        <v>1</v>
      </c>
      <c r="H6" s="15">
        <f>IF(B6="MAC1+",B3-C6,B3)</f>
        <v>10</v>
      </c>
      <c r="I6" s="14">
        <f>H6/B3</f>
        <v>1</v>
      </c>
      <c r="J6" s="2">
        <v>0.0</v>
      </c>
      <c r="K6" s="2">
        <v>0.0</v>
      </c>
      <c r="L6" s="2">
        <v>0.0</v>
      </c>
      <c r="M6" s="7"/>
      <c r="N6" s="7"/>
    </row>
    <row r="7">
      <c r="A7" s="12">
        <v>46189.0</v>
      </c>
      <c r="B7" s="6" t="s">
        <v>62</v>
      </c>
      <c r="C7" s="2">
        <v>0.0</v>
      </c>
      <c r="D7" s="16">
        <f t="shared" ref="D7:D188" si="3">IF(B7="WW",D6-C7,D6)</f>
        <v>5</v>
      </c>
      <c r="E7" s="17">
        <f>D7/B1</f>
        <v>1</v>
      </c>
      <c r="F7" s="16">
        <f t="shared" ref="F7:F188" si="4">IF(B7="FLA",F6-C7,F6)</f>
        <v>10</v>
      </c>
      <c r="G7" s="17">
        <f>F7/B2</f>
        <v>1</v>
      </c>
      <c r="H7" s="15">
        <f t="shared" ref="H7:H188" si="5">IF(B7="MAC1+",H6-C7,H6)</f>
        <v>10</v>
      </c>
      <c r="I7" s="14">
        <f>H7/B3</f>
        <v>1</v>
      </c>
      <c r="J7" s="2">
        <v>0.0</v>
      </c>
      <c r="K7" s="2">
        <v>0.0</v>
      </c>
      <c r="L7" s="2">
        <v>0.0</v>
      </c>
      <c r="M7" s="7"/>
      <c r="N7" s="7"/>
    </row>
    <row r="8">
      <c r="A8" s="12">
        <v>46189.0</v>
      </c>
      <c r="B8" s="6" t="s">
        <v>63</v>
      </c>
      <c r="C8" s="2">
        <v>0.35</v>
      </c>
      <c r="D8" s="16">
        <f t="shared" si="3"/>
        <v>5</v>
      </c>
      <c r="E8" s="17">
        <f>D8/B1</f>
        <v>1</v>
      </c>
      <c r="F8" s="16">
        <f t="shared" si="4"/>
        <v>10</v>
      </c>
      <c r="G8" s="17">
        <f>F8/B2</f>
        <v>1</v>
      </c>
      <c r="H8" s="15">
        <f t="shared" si="5"/>
        <v>9.65</v>
      </c>
      <c r="I8" s="14">
        <f>H8/B3</f>
        <v>0.965</v>
      </c>
      <c r="J8" s="2">
        <v>0.0</v>
      </c>
      <c r="K8" s="2">
        <v>0.0</v>
      </c>
      <c r="L8" s="2">
        <v>0.0</v>
      </c>
      <c r="M8" s="7"/>
      <c r="N8" s="7"/>
    </row>
    <row r="9">
      <c r="A9" s="12">
        <v>46190.0</v>
      </c>
      <c r="B9" s="6" t="s">
        <v>61</v>
      </c>
      <c r="C9" s="2">
        <v>0.0</v>
      </c>
      <c r="D9" s="16">
        <f t="shared" si="3"/>
        <v>5</v>
      </c>
      <c r="E9" s="17">
        <f>D9/B1</f>
        <v>1</v>
      </c>
      <c r="F9" s="16">
        <f t="shared" si="4"/>
        <v>10</v>
      </c>
      <c r="G9" s="17">
        <f>F9/B2</f>
        <v>1</v>
      </c>
      <c r="H9" s="15">
        <f t="shared" si="5"/>
        <v>9.65</v>
      </c>
      <c r="I9" s="14">
        <f>H9/B3</f>
        <v>0.965</v>
      </c>
      <c r="J9" s="2">
        <v>0.0</v>
      </c>
      <c r="K9" s="2">
        <v>0.0</v>
      </c>
      <c r="L9" s="2">
        <v>0.0</v>
      </c>
      <c r="M9" s="7"/>
      <c r="N9" s="7"/>
    </row>
    <row r="10">
      <c r="A10" s="12">
        <v>46190.0</v>
      </c>
      <c r="B10" s="6" t="s">
        <v>62</v>
      </c>
      <c r="C10" s="2">
        <v>0.0</v>
      </c>
      <c r="D10" s="16">
        <f t="shared" si="3"/>
        <v>5</v>
      </c>
      <c r="E10" s="17">
        <f>D10/B1</f>
        <v>1</v>
      </c>
      <c r="F10" s="16">
        <f t="shared" si="4"/>
        <v>10</v>
      </c>
      <c r="G10" s="17">
        <f>F10/B2</f>
        <v>1</v>
      </c>
      <c r="H10" s="15">
        <f t="shared" si="5"/>
        <v>9.65</v>
      </c>
      <c r="I10" s="14">
        <f>H10/B3</f>
        <v>0.965</v>
      </c>
      <c r="J10" s="2">
        <v>0.0</v>
      </c>
      <c r="K10" s="2">
        <v>0.0</v>
      </c>
      <c r="L10" s="2">
        <v>0.0</v>
      </c>
      <c r="M10" s="7"/>
      <c r="N10" s="7"/>
    </row>
    <row r="11">
      <c r="A11" s="12">
        <v>46190.0</v>
      </c>
      <c r="B11" s="6" t="s">
        <v>63</v>
      </c>
      <c r="C11" s="2">
        <v>0.0</v>
      </c>
      <c r="D11" s="16">
        <f t="shared" si="3"/>
        <v>5</v>
      </c>
      <c r="E11" s="17">
        <f>D11/B1</f>
        <v>1</v>
      </c>
      <c r="F11" s="16">
        <f t="shared" si="4"/>
        <v>10</v>
      </c>
      <c r="G11" s="17">
        <f>F11/B2</f>
        <v>1</v>
      </c>
      <c r="H11" s="15">
        <f t="shared" si="5"/>
        <v>9.65</v>
      </c>
      <c r="I11" s="14">
        <f>H11/B3</f>
        <v>0.965</v>
      </c>
      <c r="J11" s="2">
        <v>0.0</v>
      </c>
      <c r="K11" s="2">
        <v>0.0</v>
      </c>
      <c r="L11" s="2">
        <v>0.0</v>
      </c>
      <c r="M11" s="7"/>
      <c r="N11" s="7"/>
    </row>
    <row r="12">
      <c r="A12" s="12">
        <v>46191.0</v>
      </c>
      <c r="B12" s="6" t="s">
        <v>61</v>
      </c>
      <c r="C12" s="2">
        <v>0.37</v>
      </c>
      <c r="D12" s="16">
        <f t="shared" si="3"/>
        <v>4.63</v>
      </c>
      <c r="E12" s="17">
        <f>D12/B1</f>
        <v>0.926</v>
      </c>
      <c r="F12" s="16">
        <f t="shared" si="4"/>
        <v>10</v>
      </c>
      <c r="G12" s="17">
        <f>F12/B2</f>
        <v>1</v>
      </c>
      <c r="H12" s="15">
        <f t="shared" si="5"/>
        <v>9.65</v>
      </c>
      <c r="I12" s="14">
        <f>H12/B3</f>
        <v>0.965</v>
      </c>
      <c r="J12" s="2">
        <v>0.0</v>
      </c>
      <c r="K12" s="2">
        <v>0.0</v>
      </c>
      <c r="L12" s="2">
        <v>0.0</v>
      </c>
      <c r="M12" s="7"/>
      <c r="N12" s="7"/>
    </row>
    <row r="13">
      <c r="A13" s="12">
        <v>46191.0</v>
      </c>
      <c r="B13" s="6" t="s">
        <v>62</v>
      </c>
      <c r="C13" s="2">
        <v>0.77</v>
      </c>
      <c r="D13" s="16">
        <f t="shared" si="3"/>
        <v>4.63</v>
      </c>
      <c r="E13" s="17">
        <f>D13/B1</f>
        <v>0.926</v>
      </c>
      <c r="F13" s="16">
        <f t="shared" si="4"/>
        <v>9.23</v>
      </c>
      <c r="G13" s="17">
        <f>F13/B2</f>
        <v>0.923</v>
      </c>
      <c r="H13" s="15">
        <f t="shared" si="5"/>
        <v>9.65</v>
      </c>
      <c r="I13" s="14">
        <f>H13/B3</f>
        <v>0.965</v>
      </c>
      <c r="J13" s="2">
        <v>0.0</v>
      </c>
      <c r="K13" s="2">
        <v>0.0</v>
      </c>
      <c r="L13" s="2">
        <v>0.0</v>
      </c>
      <c r="M13" s="7"/>
      <c r="N13" s="7"/>
    </row>
    <row r="14">
      <c r="A14" s="12">
        <v>46191.0</v>
      </c>
      <c r="B14" s="6" t="s">
        <v>63</v>
      </c>
      <c r="C14" s="2">
        <v>0.0</v>
      </c>
      <c r="D14" s="16">
        <f t="shared" si="3"/>
        <v>4.63</v>
      </c>
      <c r="E14" s="17">
        <f>D14/B1</f>
        <v>0.926</v>
      </c>
      <c r="F14" s="16">
        <f t="shared" si="4"/>
        <v>9.23</v>
      </c>
      <c r="G14" s="17">
        <f>F14/B2</f>
        <v>0.923</v>
      </c>
      <c r="H14" s="15">
        <f t="shared" si="5"/>
        <v>9.65</v>
      </c>
      <c r="I14" s="14">
        <f>H14/B3</f>
        <v>0.965</v>
      </c>
      <c r="J14" s="2">
        <v>0.0</v>
      </c>
      <c r="K14" s="2">
        <v>0.0</v>
      </c>
      <c r="L14" s="2">
        <v>0.0</v>
      </c>
      <c r="M14" s="7"/>
      <c r="N14" s="7"/>
    </row>
    <row r="15">
      <c r="A15" s="12">
        <v>46192.0</v>
      </c>
      <c r="B15" s="6" t="s">
        <v>61</v>
      </c>
      <c r="C15" s="2">
        <v>0.0</v>
      </c>
      <c r="D15" s="16">
        <f t="shared" si="3"/>
        <v>4.63</v>
      </c>
      <c r="E15" s="17">
        <f>D15/B1</f>
        <v>0.926</v>
      </c>
      <c r="F15" s="16">
        <f t="shared" si="4"/>
        <v>9.23</v>
      </c>
      <c r="G15" s="17">
        <f>F15/B2</f>
        <v>0.923</v>
      </c>
      <c r="H15" s="15">
        <f t="shared" si="5"/>
        <v>9.65</v>
      </c>
      <c r="I15" s="14">
        <f>H15/B3</f>
        <v>0.965</v>
      </c>
      <c r="J15" s="2">
        <v>0.0</v>
      </c>
      <c r="K15" s="2">
        <v>0.0</v>
      </c>
      <c r="L15" s="2">
        <v>0.0</v>
      </c>
      <c r="M15" s="7"/>
      <c r="N15" s="7"/>
    </row>
    <row r="16">
      <c r="A16" s="12">
        <v>46192.0</v>
      </c>
      <c r="B16" s="6" t="s">
        <v>62</v>
      </c>
      <c r="C16" s="2">
        <v>0.73</v>
      </c>
      <c r="D16" s="16">
        <f t="shared" si="3"/>
        <v>4.63</v>
      </c>
      <c r="E16" s="17">
        <f>D16/B1</f>
        <v>0.926</v>
      </c>
      <c r="F16" s="16">
        <f t="shared" si="4"/>
        <v>8.5</v>
      </c>
      <c r="G16" s="17">
        <f>F16/B2</f>
        <v>0.85</v>
      </c>
      <c r="H16" s="15">
        <f t="shared" si="5"/>
        <v>9.65</v>
      </c>
      <c r="I16" s="14">
        <f>H16/B3</f>
        <v>0.965</v>
      </c>
      <c r="J16" s="2">
        <v>0.0</v>
      </c>
      <c r="K16" s="2">
        <v>0.0</v>
      </c>
      <c r="L16" s="2">
        <v>0.0</v>
      </c>
      <c r="M16" s="7"/>
      <c r="N16" s="7"/>
    </row>
    <row r="17">
      <c r="A17" s="12">
        <v>46192.0</v>
      </c>
      <c r="B17" s="6" t="s">
        <v>63</v>
      </c>
      <c r="C17" s="2">
        <v>0.53</v>
      </c>
      <c r="D17" s="16">
        <f t="shared" si="3"/>
        <v>4.63</v>
      </c>
      <c r="E17" s="17">
        <f>D17/B1</f>
        <v>0.926</v>
      </c>
      <c r="F17" s="16">
        <f t="shared" si="4"/>
        <v>8.5</v>
      </c>
      <c r="G17" s="17">
        <f>F17/B2</f>
        <v>0.85</v>
      </c>
      <c r="H17" s="15">
        <f t="shared" si="5"/>
        <v>9.12</v>
      </c>
      <c r="I17" s="14">
        <f>H17/B3</f>
        <v>0.912</v>
      </c>
      <c r="J17" s="2">
        <v>0.0</v>
      </c>
      <c r="K17" s="2">
        <v>0.0</v>
      </c>
      <c r="L17" s="2">
        <v>0.0</v>
      </c>
      <c r="M17" s="7"/>
      <c r="N17" s="7"/>
    </row>
    <row r="18">
      <c r="A18" s="12">
        <v>46193.0</v>
      </c>
      <c r="B18" s="6" t="s">
        <v>61</v>
      </c>
      <c r="C18" s="2">
        <v>0.0</v>
      </c>
      <c r="D18" s="16">
        <f t="shared" si="3"/>
        <v>4.63</v>
      </c>
      <c r="E18" s="17">
        <f>D18/B1</f>
        <v>0.926</v>
      </c>
      <c r="F18" s="16">
        <f t="shared" si="4"/>
        <v>8.5</v>
      </c>
      <c r="G18" s="17">
        <f>F18/B2</f>
        <v>0.85</v>
      </c>
      <c r="H18" s="15">
        <f t="shared" si="5"/>
        <v>9.12</v>
      </c>
      <c r="I18" s="14">
        <f>H18/B3</f>
        <v>0.912</v>
      </c>
      <c r="J18" s="2">
        <v>0.0</v>
      </c>
      <c r="K18" s="2">
        <v>0.0</v>
      </c>
      <c r="L18" s="2">
        <v>0.0</v>
      </c>
      <c r="M18" s="7"/>
      <c r="N18" s="7"/>
    </row>
    <row r="19">
      <c r="A19" s="12">
        <v>46193.0</v>
      </c>
      <c r="B19" s="6" t="s">
        <v>62</v>
      </c>
      <c r="C19" s="2">
        <v>0.8</v>
      </c>
      <c r="D19" s="16">
        <f t="shared" si="3"/>
        <v>4.63</v>
      </c>
      <c r="E19" s="17">
        <f>D19/B1</f>
        <v>0.926</v>
      </c>
      <c r="F19" s="16">
        <f t="shared" si="4"/>
        <v>7.7</v>
      </c>
      <c r="G19" s="17">
        <f>F19/B2</f>
        <v>0.77</v>
      </c>
      <c r="H19" s="15">
        <f t="shared" si="5"/>
        <v>9.12</v>
      </c>
      <c r="I19" s="14">
        <f>H19/B3</f>
        <v>0.912</v>
      </c>
      <c r="J19" s="2">
        <v>0.0</v>
      </c>
      <c r="K19" s="2">
        <v>0.0</v>
      </c>
      <c r="L19" s="2">
        <v>0.0</v>
      </c>
      <c r="M19" s="7"/>
      <c r="N19" s="7"/>
    </row>
    <row r="20">
      <c r="A20" s="12">
        <v>46193.0</v>
      </c>
      <c r="B20" s="6" t="s">
        <v>63</v>
      </c>
      <c r="C20" s="2">
        <f>0.87+0.85</f>
        <v>1.72</v>
      </c>
      <c r="D20" s="16">
        <f t="shared" si="3"/>
        <v>4.63</v>
      </c>
      <c r="E20" s="17">
        <f>D20/B1</f>
        <v>0.926</v>
      </c>
      <c r="F20" s="16">
        <f t="shared" si="4"/>
        <v>7.7</v>
      </c>
      <c r="G20" s="17">
        <f>F20/B2</f>
        <v>0.77</v>
      </c>
      <c r="H20" s="15">
        <f t="shared" si="5"/>
        <v>7.4</v>
      </c>
      <c r="I20" s="14">
        <f>H20/B3</f>
        <v>0.74</v>
      </c>
      <c r="J20" s="2">
        <v>0.0</v>
      </c>
      <c r="K20" s="2">
        <v>0.0</v>
      </c>
      <c r="L20" s="2">
        <v>0.0</v>
      </c>
      <c r="M20" s="7"/>
      <c r="N20" s="7"/>
    </row>
    <row r="21">
      <c r="A21" s="12">
        <v>46194.0</v>
      </c>
      <c r="B21" s="6" t="s">
        <v>61</v>
      </c>
      <c r="C21" s="2">
        <v>0.0</v>
      </c>
      <c r="D21" s="16">
        <f t="shared" si="3"/>
        <v>4.63</v>
      </c>
      <c r="E21" s="17">
        <f>D21/B1</f>
        <v>0.926</v>
      </c>
      <c r="F21" s="16">
        <f t="shared" si="4"/>
        <v>7.7</v>
      </c>
      <c r="G21" s="17">
        <f>F21/B2</f>
        <v>0.77</v>
      </c>
      <c r="H21" s="15">
        <f t="shared" si="5"/>
        <v>7.4</v>
      </c>
      <c r="I21" s="14">
        <f>H21/B3</f>
        <v>0.74</v>
      </c>
      <c r="J21" s="2">
        <v>0.0</v>
      </c>
      <c r="K21" s="2">
        <v>0.0</v>
      </c>
      <c r="L21" s="2">
        <v>0.0</v>
      </c>
      <c r="M21" s="7"/>
      <c r="N21" s="7"/>
    </row>
    <row r="22">
      <c r="A22" s="12">
        <v>46194.0</v>
      </c>
      <c r="B22" s="6" t="s">
        <v>62</v>
      </c>
      <c r="C22" s="2">
        <v>0.83</v>
      </c>
      <c r="D22" s="16">
        <f t="shared" si="3"/>
        <v>4.63</v>
      </c>
      <c r="E22" s="17">
        <f>D22/B1</f>
        <v>0.926</v>
      </c>
      <c r="F22" s="16">
        <f t="shared" si="4"/>
        <v>6.87</v>
      </c>
      <c r="G22" s="17">
        <f>F22/B2</f>
        <v>0.687</v>
      </c>
      <c r="H22" s="15">
        <f t="shared" si="5"/>
        <v>7.4</v>
      </c>
      <c r="I22" s="14">
        <f>H22/B3</f>
        <v>0.74</v>
      </c>
      <c r="J22" s="2">
        <v>0.0</v>
      </c>
      <c r="K22" s="2">
        <v>0.0</v>
      </c>
      <c r="L22" s="2">
        <v>0.0</v>
      </c>
      <c r="M22" s="7"/>
      <c r="N22" s="7"/>
    </row>
    <row r="23">
      <c r="A23" s="12">
        <v>46194.0</v>
      </c>
      <c r="B23" s="6" t="s">
        <v>63</v>
      </c>
      <c r="C23" s="2">
        <v>0.0</v>
      </c>
      <c r="D23" s="16">
        <f t="shared" si="3"/>
        <v>4.63</v>
      </c>
      <c r="E23" s="17">
        <f>D23/B1</f>
        <v>0.926</v>
      </c>
      <c r="F23" s="16">
        <f t="shared" si="4"/>
        <v>6.87</v>
      </c>
      <c r="G23" s="17">
        <f>F23/B2</f>
        <v>0.687</v>
      </c>
      <c r="H23" s="15">
        <f t="shared" si="5"/>
        <v>7.4</v>
      </c>
      <c r="I23" s="14">
        <f>H23/B3</f>
        <v>0.74</v>
      </c>
      <c r="J23" s="2">
        <v>0.0</v>
      </c>
      <c r="K23" s="2">
        <v>0.0</v>
      </c>
      <c r="L23" s="2">
        <v>0.0</v>
      </c>
      <c r="M23" s="7"/>
      <c r="N23" s="7"/>
    </row>
    <row r="24">
      <c r="A24" s="12">
        <v>46195.0</v>
      </c>
      <c r="B24" s="6" t="s">
        <v>61</v>
      </c>
      <c r="C24" s="2">
        <v>0.0</v>
      </c>
      <c r="D24" s="16">
        <f t="shared" si="3"/>
        <v>4.63</v>
      </c>
      <c r="E24" s="17">
        <f>D24/B1</f>
        <v>0.926</v>
      </c>
      <c r="F24" s="16">
        <f t="shared" si="4"/>
        <v>6.87</v>
      </c>
      <c r="G24" s="17">
        <f>F24/B2</f>
        <v>0.687</v>
      </c>
      <c r="H24" s="15">
        <f t="shared" si="5"/>
        <v>7.4</v>
      </c>
      <c r="I24" s="14">
        <f>H24/B3</f>
        <v>0.74</v>
      </c>
      <c r="J24" s="2">
        <v>0.0</v>
      </c>
      <c r="K24" s="2">
        <v>0.0</v>
      </c>
      <c r="L24" s="2">
        <v>0.0</v>
      </c>
      <c r="M24" s="7"/>
      <c r="N24" s="7"/>
    </row>
    <row r="25">
      <c r="A25" s="12">
        <v>46195.0</v>
      </c>
      <c r="B25" s="6" t="s">
        <v>62</v>
      </c>
      <c r="C25" s="2">
        <v>1.05</v>
      </c>
      <c r="D25" s="16">
        <f t="shared" si="3"/>
        <v>4.63</v>
      </c>
      <c r="E25" s="17">
        <f>D25/B1</f>
        <v>0.926</v>
      </c>
      <c r="F25" s="16">
        <f t="shared" si="4"/>
        <v>5.82</v>
      </c>
      <c r="G25" s="17">
        <f>F25/B2</f>
        <v>0.582</v>
      </c>
      <c r="H25" s="15">
        <f t="shared" si="5"/>
        <v>7.4</v>
      </c>
      <c r="I25" s="14">
        <f>H25/B3</f>
        <v>0.74</v>
      </c>
      <c r="J25" s="2">
        <v>0.0</v>
      </c>
      <c r="K25" s="2">
        <v>0.0</v>
      </c>
      <c r="L25" s="2">
        <v>0.0</v>
      </c>
      <c r="M25" s="7"/>
      <c r="N25" s="7"/>
    </row>
    <row r="26">
      <c r="A26" s="12">
        <v>46195.0</v>
      </c>
      <c r="B26" s="6" t="s">
        <v>63</v>
      </c>
      <c r="C26" s="2">
        <v>0.91</v>
      </c>
      <c r="D26" s="16">
        <f t="shared" si="3"/>
        <v>4.63</v>
      </c>
      <c r="E26" s="17">
        <f>D26/B1</f>
        <v>0.926</v>
      </c>
      <c r="F26" s="16">
        <f t="shared" si="4"/>
        <v>5.82</v>
      </c>
      <c r="G26" s="17">
        <f>F26/B2</f>
        <v>0.582</v>
      </c>
      <c r="H26" s="15">
        <f t="shared" si="5"/>
        <v>6.49</v>
      </c>
      <c r="I26" s="14">
        <f>H26/B3</f>
        <v>0.649</v>
      </c>
      <c r="J26" s="2">
        <v>0.0</v>
      </c>
      <c r="K26" s="2">
        <v>0.0</v>
      </c>
      <c r="L26" s="2">
        <v>0.0</v>
      </c>
      <c r="M26" s="7"/>
      <c r="N26" s="7"/>
    </row>
    <row r="27">
      <c r="A27" s="12">
        <v>46196.0</v>
      </c>
      <c r="B27" s="6" t="s">
        <v>61</v>
      </c>
      <c r="C27" s="2">
        <v>0.0</v>
      </c>
      <c r="D27" s="16">
        <f t="shared" si="3"/>
        <v>4.63</v>
      </c>
      <c r="E27" s="17">
        <f>D27/B1</f>
        <v>0.926</v>
      </c>
      <c r="F27" s="16">
        <f t="shared" si="4"/>
        <v>5.82</v>
      </c>
      <c r="G27" s="17">
        <f>F27/B2</f>
        <v>0.582</v>
      </c>
      <c r="H27" s="15">
        <f t="shared" si="5"/>
        <v>6.49</v>
      </c>
      <c r="I27" s="14">
        <f>H27/B3</f>
        <v>0.649</v>
      </c>
      <c r="J27" s="2">
        <v>0.0</v>
      </c>
      <c r="K27" s="2">
        <v>0.0</v>
      </c>
      <c r="L27" s="2">
        <v>0.0</v>
      </c>
      <c r="M27" s="7"/>
      <c r="N27" s="7"/>
    </row>
    <row r="28">
      <c r="A28" s="12">
        <v>46196.0</v>
      </c>
      <c r="B28" s="6" t="s">
        <v>62</v>
      </c>
      <c r="C28" s="2">
        <v>0.0</v>
      </c>
      <c r="D28" s="16">
        <f t="shared" si="3"/>
        <v>4.63</v>
      </c>
      <c r="E28" s="17">
        <f>D28/B1</f>
        <v>0.926</v>
      </c>
      <c r="F28" s="16">
        <f t="shared" si="4"/>
        <v>5.82</v>
      </c>
      <c r="G28" s="17">
        <f>F28/B2</f>
        <v>0.582</v>
      </c>
      <c r="H28" s="15">
        <f t="shared" si="5"/>
        <v>6.49</v>
      </c>
      <c r="I28" s="14">
        <f>H28/B3</f>
        <v>0.649</v>
      </c>
      <c r="J28" s="2">
        <v>0.0</v>
      </c>
      <c r="K28" s="2">
        <v>0.0</v>
      </c>
      <c r="L28" s="2">
        <v>0.0</v>
      </c>
      <c r="M28" s="7"/>
      <c r="N28" s="7"/>
    </row>
    <row r="29">
      <c r="A29" s="12">
        <v>46196.0</v>
      </c>
      <c r="B29" s="6" t="s">
        <v>63</v>
      </c>
      <c r="C29" s="2">
        <v>0.83</v>
      </c>
      <c r="D29" s="16">
        <f t="shared" si="3"/>
        <v>4.63</v>
      </c>
      <c r="E29" s="17">
        <f>D29/B1</f>
        <v>0.926</v>
      </c>
      <c r="F29" s="16">
        <f t="shared" si="4"/>
        <v>5.82</v>
      </c>
      <c r="G29" s="17">
        <f>F29/B2</f>
        <v>0.582</v>
      </c>
      <c r="H29" s="15">
        <f t="shared" si="5"/>
        <v>5.66</v>
      </c>
      <c r="I29" s="14">
        <f>H29/B3</f>
        <v>0.566</v>
      </c>
      <c r="J29" s="2">
        <v>0.0</v>
      </c>
      <c r="K29" s="2">
        <v>0.0</v>
      </c>
      <c r="L29" s="2">
        <v>0.0</v>
      </c>
      <c r="M29" s="7"/>
      <c r="N29" s="7"/>
    </row>
    <row r="30">
      <c r="A30" s="12">
        <v>46197.0</v>
      </c>
      <c r="B30" s="6" t="s">
        <v>61</v>
      </c>
      <c r="C30" s="2">
        <v>0.0</v>
      </c>
      <c r="D30" s="16">
        <f t="shared" si="3"/>
        <v>4.63</v>
      </c>
      <c r="E30" s="17">
        <f>D30/B1</f>
        <v>0.926</v>
      </c>
      <c r="F30" s="16">
        <f t="shared" si="4"/>
        <v>5.82</v>
      </c>
      <c r="G30" s="17">
        <f>F30/B2</f>
        <v>0.582</v>
      </c>
      <c r="H30" s="15">
        <f t="shared" si="5"/>
        <v>5.66</v>
      </c>
      <c r="I30" s="14">
        <f>H30/B3</f>
        <v>0.566</v>
      </c>
      <c r="J30" s="2">
        <v>0.0</v>
      </c>
      <c r="K30" s="2">
        <v>0.0</v>
      </c>
      <c r="L30" s="2">
        <v>0.0</v>
      </c>
      <c r="M30" s="7"/>
      <c r="N30" s="7"/>
    </row>
    <row r="31">
      <c r="A31" s="12">
        <v>46197.0</v>
      </c>
      <c r="B31" s="6" t="s">
        <v>62</v>
      </c>
      <c r="C31" s="2">
        <v>0.0</v>
      </c>
      <c r="D31" s="16">
        <f t="shared" si="3"/>
        <v>4.63</v>
      </c>
      <c r="E31" s="17">
        <f>D31/B1</f>
        <v>0.926</v>
      </c>
      <c r="F31" s="16">
        <f t="shared" si="4"/>
        <v>5.82</v>
      </c>
      <c r="G31" s="17">
        <f>F31/B2</f>
        <v>0.582</v>
      </c>
      <c r="H31" s="15">
        <f t="shared" si="5"/>
        <v>5.66</v>
      </c>
      <c r="I31" s="14">
        <f>H31/B3</f>
        <v>0.566</v>
      </c>
      <c r="J31" s="2">
        <v>0.0</v>
      </c>
      <c r="K31" s="2">
        <v>0.0</v>
      </c>
      <c r="L31" s="2">
        <v>0.0</v>
      </c>
      <c r="M31" s="7"/>
      <c r="N31" s="7"/>
    </row>
    <row r="32">
      <c r="A32" s="12">
        <v>46197.0</v>
      </c>
      <c r="B32" s="6" t="s">
        <v>63</v>
      </c>
      <c r="C32" s="2">
        <v>0.0</v>
      </c>
      <c r="D32" s="16">
        <f t="shared" si="3"/>
        <v>4.63</v>
      </c>
      <c r="E32" s="17">
        <f>D32/B1</f>
        <v>0.926</v>
      </c>
      <c r="F32" s="16">
        <f t="shared" si="4"/>
        <v>5.82</v>
      </c>
      <c r="G32" s="17">
        <f>F32/B2</f>
        <v>0.582</v>
      </c>
      <c r="H32" s="15">
        <f t="shared" si="5"/>
        <v>5.66</v>
      </c>
      <c r="I32" s="14">
        <f>H32/B3</f>
        <v>0.566</v>
      </c>
      <c r="J32" s="2">
        <v>0.0</v>
      </c>
      <c r="K32" s="2">
        <v>0.0</v>
      </c>
      <c r="L32" s="2">
        <v>0.0</v>
      </c>
      <c r="M32" s="7"/>
      <c r="N32" s="7"/>
    </row>
    <row r="33">
      <c r="A33" s="12">
        <v>46198.0</v>
      </c>
      <c r="B33" s="6" t="s">
        <v>61</v>
      </c>
      <c r="C33" s="2">
        <v>0.0</v>
      </c>
      <c r="D33" s="16">
        <f t="shared" si="3"/>
        <v>4.63</v>
      </c>
      <c r="E33" s="17">
        <f>D33/B1</f>
        <v>0.926</v>
      </c>
      <c r="F33" s="16">
        <f t="shared" si="4"/>
        <v>5.82</v>
      </c>
      <c r="G33" s="17">
        <f>F33/B2</f>
        <v>0.582</v>
      </c>
      <c r="H33" s="15">
        <f t="shared" si="5"/>
        <v>5.66</v>
      </c>
      <c r="I33" s="14">
        <f>H33/B3</f>
        <v>0.566</v>
      </c>
      <c r="J33" s="2">
        <v>0.0</v>
      </c>
      <c r="K33" s="2">
        <v>0.0</v>
      </c>
      <c r="L33" s="2">
        <v>0.0</v>
      </c>
      <c r="M33" s="7"/>
      <c r="N33" s="7"/>
    </row>
    <row r="34">
      <c r="A34" s="12">
        <v>46198.0</v>
      </c>
      <c r="B34" s="6" t="s">
        <v>62</v>
      </c>
      <c r="C34" s="2">
        <v>0.0</v>
      </c>
      <c r="D34" s="16">
        <f t="shared" si="3"/>
        <v>4.63</v>
      </c>
      <c r="E34" s="17">
        <f>D34/B1</f>
        <v>0.926</v>
      </c>
      <c r="F34" s="16">
        <f t="shared" si="4"/>
        <v>5.82</v>
      </c>
      <c r="G34" s="17">
        <f>F34/B2</f>
        <v>0.582</v>
      </c>
      <c r="H34" s="15">
        <f t="shared" si="5"/>
        <v>5.66</v>
      </c>
      <c r="I34" s="14">
        <f>H34/B3</f>
        <v>0.566</v>
      </c>
      <c r="J34" s="2">
        <v>0.0</v>
      </c>
      <c r="K34" s="2">
        <v>0.0</v>
      </c>
      <c r="L34" s="2">
        <v>0.0</v>
      </c>
      <c r="M34" s="7"/>
      <c r="N34" s="7"/>
    </row>
    <row r="35">
      <c r="A35" s="12">
        <v>46198.0</v>
      </c>
      <c r="B35" s="6" t="s">
        <v>63</v>
      </c>
      <c r="C35" s="2">
        <v>0.0</v>
      </c>
      <c r="D35" s="16">
        <f t="shared" si="3"/>
        <v>4.63</v>
      </c>
      <c r="E35" s="17">
        <f>D35/B1</f>
        <v>0.926</v>
      </c>
      <c r="F35" s="16">
        <f t="shared" si="4"/>
        <v>5.82</v>
      </c>
      <c r="G35" s="17">
        <f>F35/B2</f>
        <v>0.582</v>
      </c>
      <c r="H35" s="15">
        <f t="shared" si="5"/>
        <v>5.66</v>
      </c>
      <c r="I35" s="14">
        <f>H35/B3</f>
        <v>0.566</v>
      </c>
      <c r="J35" s="2">
        <v>0.0</v>
      </c>
      <c r="K35" s="2">
        <v>0.0</v>
      </c>
      <c r="L35" s="2">
        <v>0.0</v>
      </c>
      <c r="M35" s="7"/>
      <c r="N35" s="7"/>
    </row>
    <row r="36">
      <c r="A36" s="12">
        <v>46199.0</v>
      </c>
      <c r="B36" s="6" t="s">
        <v>61</v>
      </c>
      <c r="C36" s="2">
        <v>0.0</v>
      </c>
      <c r="D36" s="16">
        <f t="shared" si="3"/>
        <v>4.63</v>
      </c>
      <c r="E36" s="17">
        <f>D36/B1</f>
        <v>0.926</v>
      </c>
      <c r="F36" s="16">
        <f t="shared" si="4"/>
        <v>5.82</v>
      </c>
      <c r="G36" s="17">
        <f>F36/B2</f>
        <v>0.582</v>
      </c>
      <c r="H36" s="15">
        <f t="shared" si="5"/>
        <v>5.66</v>
      </c>
      <c r="I36" s="14">
        <f>H36/B3</f>
        <v>0.566</v>
      </c>
      <c r="J36" s="2">
        <v>0.0</v>
      </c>
      <c r="K36" s="2">
        <v>0.0</v>
      </c>
      <c r="L36" s="2">
        <v>0.0</v>
      </c>
      <c r="M36" s="7"/>
      <c r="N36" s="7"/>
    </row>
    <row r="37">
      <c r="A37" s="12">
        <v>46199.0</v>
      </c>
      <c r="B37" s="6" t="s">
        <v>62</v>
      </c>
      <c r="C37" s="2">
        <v>0.0</v>
      </c>
      <c r="D37" s="16">
        <f t="shared" si="3"/>
        <v>4.63</v>
      </c>
      <c r="E37" s="17">
        <f>D37/B1</f>
        <v>0.926</v>
      </c>
      <c r="F37" s="16">
        <f t="shared" si="4"/>
        <v>5.82</v>
      </c>
      <c r="G37" s="17">
        <f>F37/B2</f>
        <v>0.582</v>
      </c>
      <c r="H37" s="15">
        <f t="shared" si="5"/>
        <v>5.66</v>
      </c>
      <c r="I37" s="14">
        <f>H37/B3</f>
        <v>0.566</v>
      </c>
      <c r="J37" s="2">
        <v>0.0</v>
      </c>
      <c r="K37" s="2">
        <v>0.0</v>
      </c>
      <c r="L37" s="2">
        <v>0.0</v>
      </c>
      <c r="M37" s="7"/>
      <c r="N37" s="7"/>
    </row>
    <row r="38">
      <c r="A38" s="12">
        <v>46199.0</v>
      </c>
      <c r="B38" s="6" t="s">
        <v>63</v>
      </c>
      <c r="C38" s="2">
        <v>0.0</v>
      </c>
      <c r="D38" s="16">
        <f t="shared" si="3"/>
        <v>4.63</v>
      </c>
      <c r="E38" s="17">
        <f>D38/B1</f>
        <v>0.926</v>
      </c>
      <c r="F38" s="16">
        <f t="shared" si="4"/>
        <v>5.82</v>
      </c>
      <c r="G38" s="17">
        <f>F38/B2</f>
        <v>0.582</v>
      </c>
      <c r="H38" s="15">
        <f t="shared" si="5"/>
        <v>5.66</v>
      </c>
      <c r="I38" s="14">
        <f>H38/B3</f>
        <v>0.566</v>
      </c>
      <c r="J38" s="2">
        <v>0.0</v>
      </c>
      <c r="K38" s="2">
        <v>0.0</v>
      </c>
      <c r="L38" s="2">
        <v>0.0</v>
      </c>
      <c r="M38" s="7"/>
      <c r="N38" s="7"/>
    </row>
    <row r="39">
      <c r="A39" s="12">
        <v>46200.0</v>
      </c>
      <c r="B39" s="6" t="s">
        <v>61</v>
      </c>
      <c r="C39" s="2">
        <v>0.0</v>
      </c>
      <c r="D39" s="16">
        <f t="shared" si="3"/>
        <v>4.63</v>
      </c>
      <c r="E39" s="17">
        <f>D39/B1</f>
        <v>0.926</v>
      </c>
      <c r="F39" s="16">
        <f t="shared" si="4"/>
        <v>5.82</v>
      </c>
      <c r="G39" s="17">
        <f>F39/B2</f>
        <v>0.582</v>
      </c>
      <c r="H39" s="15">
        <f t="shared" si="5"/>
        <v>5.66</v>
      </c>
      <c r="I39" s="14">
        <f>H39/B3</f>
        <v>0.566</v>
      </c>
      <c r="J39" s="2">
        <v>0.0</v>
      </c>
      <c r="K39" s="2">
        <v>0.0</v>
      </c>
      <c r="L39" s="2">
        <v>0.0</v>
      </c>
      <c r="M39" s="7"/>
      <c r="N39" s="7"/>
    </row>
    <row r="40">
      <c r="A40" s="12">
        <v>46200.0</v>
      </c>
      <c r="B40" s="6" t="s">
        <v>62</v>
      </c>
      <c r="C40" s="2">
        <v>0.0</v>
      </c>
      <c r="D40" s="16">
        <f t="shared" si="3"/>
        <v>4.63</v>
      </c>
      <c r="E40" s="17">
        <f>D40/B1</f>
        <v>0.926</v>
      </c>
      <c r="F40" s="16">
        <f t="shared" si="4"/>
        <v>5.82</v>
      </c>
      <c r="G40" s="17">
        <f>F40/B2</f>
        <v>0.582</v>
      </c>
      <c r="H40" s="15">
        <f t="shared" si="5"/>
        <v>5.66</v>
      </c>
      <c r="I40" s="14">
        <f>H40/B3</f>
        <v>0.566</v>
      </c>
      <c r="J40" s="2">
        <v>0.0</v>
      </c>
      <c r="K40" s="2">
        <v>0.0</v>
      </c>
      <c r="L40" s="2">
        <v>0.0</v>
      </c>
      <c r="M40" s="7"/>
      <c r="N40" s="7"/>
    </row>
    <row r="41">
      <c r="A41" s="12">
        <v>46200.0</v>
      </c>
      <c r="B41" s="6" t="s">
        <v>63</v>
      </c>
      <c r="C41" s="2">
        <v>0.75</v>
      </c>
      <c r="D41" s="16">
        <f t="shared" si="3"/>
        <v>4.63</v>
      </c>
      <c r="E41" s="17">
        <f>D41/B1</f>
        <v>0.926</v>
      </c>
      <c r="F41" s="16">
        <f t="shared" si="4"/>
        <v>5.82</v>
      </c>
      <c r="G41" s="17">
        <f>F41/B2</f>
        <v>0.582</v>
      </c>
      <c r="H41" s="15">
        <f t="shared" si="5"/>
        <v>4.91</v>
      </c>
      <c r="I41" s="14">
        <f>H41/B3</f>
        <v>0.491</v>
      </c>
      <c r="J41" s="2">
        <v>0.0</v>
      </c>
      <c r="K41" s="2">
        <v>0.0</v>
      </c>
      <c r="L41" s="2">
        <v>0.0</v>
      </c>
      <c r="M41" s="7"/>
      <c r="N41" s="7"/>
    </row>
    <row r="42">
      <c r="A42" s="12">
        <v>46201.0</v>
      </c>
      <c r="B42" s="6" t="s">
        <v>61</v>
      </c>
      <c r="C42" s="2">
        <v>1.08</v>
      </c>
      <c r="D42" s="16">
        <f t="shared" si="3"/>
        <v>3.55</v>
      </c>
      <c r="E42" s="17">
        <f>D42/B1</f>
        <v>0.71</v>
      </c>
      <c r="F42" s="16">
        <f t="shared" si="4"/>
        <v>5.82</v>
      </c>
      <c r="G42" s="17">
        <f>F42/B2</f>
        <v>0.582</v>
      </c>
      <c r="H42" s="15">
        <f t="shared" si="5"/>
        <v>4.91</v>
      </c>
      <c r="I42" s="14">
        <f>H42/B3</f>
        <v>0.491</v>
      </c>
      <c r="J42" s="2">
        <v>0.0</v>
      </c>
      <c r="K42" s="2">
        <v>0.0</v>
      </c>
      <c r="L42" s="2">
        <v>0.0</v>
      </c>
      <c r="M42" s="7"/>
      <c r="N42" s="7"/>
    </row>
    <row r="43">
      <c r="A43" s="12">
        <v>46201.0</v>
      </c>
      <c r="B43" s="6" t="s">
        <v>62</v>
      </c>
      <c r="C43" s="2">
        <v>1.2</v>
      </c>
      <c r="D43" s="16">
        <f t="shared" si="3"/>
        <v>3.55</v>
      </c>
      <c r="E43" s="17">
        <f>D43/B1</f>
        <v>0.71</v>
      </c>
      <c r="F43" s="16">
        <f t="shared" si="4"/>
        <v>4.62</v>
      </c>
      <c r="G43" s="17">
        <f>F43/B2</f>
        <v>0.462</v>
      </c>
      <c r="H43" s="15">
        <f t="shared" si="5"/>
        <v>4.91</v>
      </c>
      <c r="I43" s="14">
        <f>H43/B3</f>
        <v>0.491</v>
      </c>
      <c r="J43" s="2">
        <v>0.0</v>
      </c>
      <c r="K43" s="2">
        <v>0.0</v>
      </c>
      <c r="L43" s="2">
        <v>0.0</v>
      </c>
      <c r="M43" s="7"/>
      <c r="N43" s="7"/>
    </row>
    <row r="44">
      <c r="A44" s="12">
        <v>46201.0</v>
      </c>
      <c r="B44" s="6" t="s">
        <v>63</v>
      </c>
      <c r="C44" s="2">
        <v>1.02</v>
      </c>
      <c r="D44" s="16">
        <f t="shared" si="3"/>
        <v>3.55</v>
      </c>
      <c r="E44" s="17">
        <f>D44/B1</f>
        <v>0.71</v>
      </c>
      <c r="F44" s="16">
        <f t="shared" si="4"/>
        <v>4.62</v>
      </c>
      <c r="G44" s="17">
        <f>F44/B2</f>
        <v>0.462</v>
      </c>
      <c r="H44" s="15">
        <f t="shared" si="5"/>
        <v>3.89</v>
      </c>
      <c r="I44" s="14">
        <f>H44/B3</f>
        <v>0.389</v>
      </c>
      <c r="J44" s="2">
        <v>0.0</v>
      </c>
      <c r="K44" s="2">
        <v>0.0</v>
      </c>
      <c r="L44" s="2">
        <v>0.0</v>
      </c>
      <c r="M44" s="7"/>
      <c r="N44" s="7"/>
    </row>
    <row r="45">
      <c r="A45" s="12">
        <v>46202.0</v>
      </c>
      <c r="B45" s="6" t="s">
        <v>61</v>
      </c>
      <c r="C45" s="2">
        <v>0.0</v>
      </c>
      <c r="D45" s="16">
        <f t="shared" si="3"/>
        <v>3.55</v>
      </c>
      <c r="E45" s="17">
        <f>D45/B1</f>
        <v>0.71</v>
      </c>
      <c r="F45" s="16">
        <f t="shared" si="4"/>
        <v>4.62</v>
      </c>
      <c r="G45" s="17">
        <f>F45/B2</f>
        <v>0.462</v>
      </c>
      <c r="H45" s="15">
        <f t="shared" si="5"/>
        <v>3.89</v>
      </c>
      <c r="I45" s="14">
        <f>H45/B3</f>
        <v>0.389</v>
      </c>
      <c r="J45" s="2">
        <v>0.0</v>
      </c>
      <c r="K45" s="2">
        <v>0.0</v>
      </c>
      <c r="L45" s="2">
        <v>0.0</v>
      </c>
      <c r="M45" s="7"/>
      <c r="N45" s="7"/>
    </row>
    <row r="46">
      <c r="A46" s="12">
        <v>46202.0</v>
      </c>
      <c r="B46" s="6" t="s">
        <v>62</v>
      </c>
      <c r="C46" s="2">
        <v>0.0</v>
      </c>
      <c r="D46" s="16">
        <f t="shared" si="3"/>
        <v>3.55</v>
      </c>
      <c r="E46" s="17">
        <f>D46/B1</f>
        <v>0.71</v>
      </c>
      <c r="F46" s="16">
        <f t="shared" si="4"/>
        <v>4.62</v>
      </c>
      <c r="G46" s="17">
        <f>F46/B2</f>
        <v>0.462</v>
      </c>
      <c r="H46" s="15">
        <f t="shared" si="5"/>
        <v>3.89</v>
      </c>
      <c r="I46" s="14">
        <f>H46/B3</f>
        <v>0.389</v>
      </c>
      <c r="J46" s="2">
        <v>0.0</v>
      </c>
      <c r="K46" s="2">
        <v>0.0</v>
      </c>
      <c r="L46" s="2">
        <v>0.0</v>
      </c>
      <c r="M46" s="7"/>
      <c r="N46" s="7"/>
    </row>
    <row r="47">
      <c r="A47" s="12">
        <v>46202.0</v>
      </c>
      <c r="B47" s="6" t="s">
        <v>63</v>
      </c>
      <c r="C47" s="2">
        <v>0.0</v>
      </c>
      <c r="D47" s="16">
        <f t="shared" si="3"/>
        <v>3.55</v>
      </c>
      <c r="E47" s="17">
        <f>D47/B1</f>
        <v>0.71</v>
      </c>
      <c r="F47" s="16">
        <f t="shared" si="4"/>
        <v>4.62</v>
      </c>
      <c r="G47" s="17">
        <f>F47/B2</f>
        <v>0.462</v>
      </c>
      <c r="H47" s="15">
        <f t="shared" si="5"/>
        <v>3.89</v>
      </c>
      <c r="I47" s="14">
        <f>H47/B3</f>
        <v>0.389</v>
      </c>
      <c r="J47" s="2">
        <v>0.0</v>
      </c>
      <c r="K47" s="2">
        <v>0.0</v>
      </c>
      <c r="L47" s="2">
        <v>0.0</v>
      </c>
      <c r="M47" s="7"/>
      <c r="N47" s="7"/>
    </row>
    <row r="48">
      <c r="A48" s="12">
        <v>46203.0</v>
      </c>
      <c r="B48" s="6" t="s">
        <v>61</v>
      </c>
      <c r="C48" s="2">
        <v>0.0</v>
      </c>
      <c r="D48" s="16">
        <f t="shared" si="3"/>
        <v>3.55</v>
      </c>
      <c r="E48" s="17">
        <f>D48/B1</f>
        <v>0.71</v>
      </c>
      <c r="F48" s="16">
        <f t="shared" si="4"/>
        <v>4.62</v>
      </c>
      <c r="G48" s="17">
        <f>F48/B2</f>
        <v>0.462</v>
      </c>
      <c r="H48" s="15">
        <f t="shared" si="5"/>
        <v>3.89</v>
      </c>
      <c r="I48" s="14">
        <f>H48/B3</f>
        <v>0.389</v>
      </c>
      <c r="J48" s="2">
        <v>0.0</v>
      </c>
      <c r="K48" s="2">
        <v>0.0</v>
      </c>
      <c r="L48" s="2">
        <v>0.0</v>
      </c>
      <c r="M48" s="7"/>
      <c r="N48" s="7"/>
    </row>
    <row r="49">
      <c r="A49" s="12">
        <v>46203.0</v>
      </c>
      <c r="B49" s="6" t="s">
        <v>62</v>
      </c>
      <c r="C49" s="2">
        <v>0.0</v>
      </c>
      <c r="D49" s="16">
        <f t="shared" si="3"/>
        <v>3.55</v>
      </c>
      <c r="E49" s="17">
        <f>D49/B1</f>
        <v>0.71</v>
      </c>
      <c r="F49" s="16">
        <f t="shared" si="4"/>
        <v>4.62</v>
      </c>
      <c r="G49" s="17">
        <f>F49/B2</f>
        <v>0.462</v>
      </c>
      <c r="H49" s="15">
        <f t="shared" si="5"/>
        <v>3.89</v>
      </c>
      <c r="I49" s="14">
        <f>H49/B3</f>
        <v>0.389</v>
      </c>
      <c r="J49" s="2">
        <v>0.0</v>
      </c>
      <c r="K49" s="2">
        <v>0.0</v>
      </c>
      <c r="L49" s="2">
        <v>0.0</v>
      </c>
      <c r="M49" s="7"/>
      <c r="N49" s="7"/>
    </row>
    <row r="50">
      <c r="A50" s="12">
        <v>46203.0</v>
      </c>
      <c r="B50" s="6" t="s">
        <v>63</v>
      </c>
      <c r="C50" s="2">
        <v>0.0</v>
      </c>
      <c r="D50" s="16">
        <f t="shared" si="3"/>
        <v>3.55</v>
      </c>
      <c r="E50" s="17">
        <f>D50/B1</f>
        <v>0.71</v>
      </c>
      <c r="F50" s="16">
        <f t="shared" si="4"/>
        <v>4.62</v>
      </c>
      <c r="G50" s="17">
        <f>F50/B2</f>
        <v>0.462</v>
      </c>
      <c r="H50" s="15">
        <f t="shared" si="5"/>
        <v>3.89</v>
      </c>
      <c r="I50" s="14">
        <f>H50/B3</f>
        <v>0.389</v>
      </c>
      <c r="J50" s="2">
        <v>0.0</v>
      </c>
      <c r="K50" s="2">
        <v>0.0</v>
      </c>
      <c r="L50" s="2">
        <v>0.0</v>
      </c>
      <c r="M50" s="7"/>
      <c r="N50" s="7"/>
    </row>
    <row r="51">
      <c r="A51" s="12">
        <v>46204.0</v>
      </c>
      <c r="B51" s="6" t="s">
        <v>61</v>
      </c>
      <c r="C51" s="2">
        <v>0.0</v>
      </c>
      <c r="D51" s="16">
        <f t="shared" si="3"/>
        <v>3.55</v>
      </c>
      <c r="E51" s="17">
        <f>D51/B1</f>
        <v>0.71</v>
      </c>
      <c r="F51" s="16">
        <f t="shared" si="4"/>
        <v>4.62</v>
      </c>
      <c r="G51" s="17">
        <f>F51/B2</f>
        <v>0.462</v>
      </c>
      <c r="H51" s="15">
        <f t="shared" si="5"/>
        <v>3.89</v>
      </c>
      <c r="I51" s="14">
        <f>H51/B3</f>
        <v>0.389</v>
      </c>
      <c r="J51" s="2">
        <v>0.0</v>
      </c>
      <c r="K51" s="2">
        <v>0.0</v>
      </c>
      <c r="L51" s="2">
        <v>0.0</v>
      </c>
      <c r="M51" s="7"/>
      <c r="N51" s="7"/>
    </row>
    <row r="52">
      <c r="A52" s="12">
        <v>46204.0</v>
      </c>
      <c r="B52" s="6" t="s">
        <v>62</v>
      </c>
      <c r="C52" s="2">
        <v>0.0</v>
      </c>
      <c r="D52" s="16">
        <f t="shared" si="3"/>
        <v>3.55</v>
      </c>
      <c r="E52" s="17">
        <f>D52/B1</f>
        <v>0.71</v>
      </c>
      <c r="F52" s="16">
        <f t="shared" si="4"/>
        <v>4.62</v>
      </c>
      <c r="G52" s="17">
        <f>F52/B2</f>
        <v>0.462</v>
      </c>
      <c r="H52" s="15">
        <f t="shared" si="5"/>
        <v>3.89</v>
      </c>
      <c r="I52" s="14">
        <f>H52/B3</f>
        <v>0.389</v>
      </c>
      <c r="J52" s="2">
        <v>0.0</v>
      </c>
      <c r="K52" s="2">
        <v>0.0</v>
      </c>
      <c r="L52" s="2">
        <v>0.0</v>
      </c>
      <c r="M52" s="7"/>
      <c r="N52" s="7"/>
    </row>
    <row r="53">
      <c r="A53" s="12">
        <v>46204.0</v>
      </c>
      <c r="B53" s="6" t="s">
        <v>63</v>
      </c>
      <c r="C53" s="2">
        <v>0.0</v>
      </c>
      <c r="D53" s="16">
        <f t="shared" si="3"/>
        <v>3.55</v>
      </c>
      <c r="E53" s="17">
        <f>D53/B1</f>
        <v>0.71</v>
      </c>
      <c r="F53" s="16">
        <f t="shared" si="4"/>
        <v>4.62</v>
      </c>
      <c r="G53" s="17">
        <f>F53/B2</f>
        <v>0.462</v>
      </c>
      <c r="H53" s="15">
        <f t="shared" si="5"/>
        <v>3.89</v>
      </c>
      <c r="I53" s="14">
        <f>H53/B3</f>
        <v>0.389</v>
      </c>
      <c r="J53" s="2">
        <v>0.0</v>
      </c>
      <c r="K53" s="2">
        <v>0.0</v>
      </c>
      <c r="L53" s="2">
        <v>0.0</v>
      </c>
      <c r="M53" s="7"/>
      <c r="N53" s="7"/>
    </row>
    <row r="54">
      <c r="A54" s="12">
        <v>46205.0</v>
      </c>
      <c r="B54" s="6" t="s">
        <v>61</v>
      </c>
      <c r="C54" s="2">
        <v>0.0</v>
      </c>
      <c r="D54" s="16">
        <f t="shared" si="3"/>
        <v>3.55</v>
      </c>
      <c r="E54" s="17">
        <f>D54/B1</f>
        <v>0.71</v>
      </c>
      <c r="F54" s="16">
        <f t="shared" si="4"/>
        <v>4.62</v>
      </c>
      <c r="G54" s="17">
        <f>F54/B2</f>
        <v>0.462</v>
      </c>
      <c r="H54" s="15">
        <f t="shared" si="5"/>
        <v>3.89</v>
      </c>
      <c r="I54" s="14">
        <f>H54/B3</f>
        <v>0.389</v>
      </c>
      <c r="J54" s="2">
        <v>0.0</v>
      </c>
      <c r="K54" s="2">
        <v>0.0</v>
      </c>
      <c r="L54" s="2">
        <v>0.0</v>
      </c>
      <c r="M54" s="7"/>
      <c r="N54" s="7"/>
    </row>
    <row r="55">
      <c r="A55" s="12">
        <v>46205.0</v>
      </c>
      <c r="B55" s="6" t="s">
        <v>62</v>
      </c>
      <c r="C55" s="2">
        <v>0.0</v>
      </c>
      <c r="D55" s="16">
        <f t="shared" si="3"/>
        <v>3.55</v>
      </c>
      <c r="E55" s="17">
        <f>D55/B1</f>
        <v>0.71</v>
      </c>
      <c r="F55" s="16">
        <f t="shared" si="4"/>
        <v>4.62</v>
      </c>
      <c r="G55" s="17">
        <f>F55/B2</f>
        <v>0.462</v>
      </c>
      <c r="H55" s="15">
        <f t="shared" si="5"/>
        <v>3.89</v>
      </c>
      <c r="I55" s="14">
        <f>H55/B3</f>
        <v>0.389</v>
      </c>
      <c r="J55" s="2">
        <v>0.0</v>
      </c>
      <c r="K55" s="2">
        <v>0.0</v>
      </c>
      <c r="L55" s="2">
        <v>0.0</v>
      </c>
      <c r="M55" s="7"/>
      <c r="N55" s="7"/>
    </row>
    <row r="56">
      <c r="A56" s="12">
        <v>46205.0</v>
      </c>
      <c r="B56" s="6" t="s">
        <v>63</v>
      </c>
      <c r="C56" s="2">
        <v>0.0</v>
      </c>
      <c r="D56" s="16">
        <f t="shared" si="3"/>
        <v>3.55</v>
      </c>
      <c r="E56" s="17">
        <f>D56/B1</f>
        <v>0.71</v>
      </c>
      <c r="F56" s="16">
        <f t="shared" si="4"/>
        <v>4.62</v>
      </c>
      <c r="G56" s="17">
        <f>F56/B2</f>
        <v>0.462</v>
      </c>
      <c r="H56" s="15">
        <f t="shared" si="5"/>
        <v>3.89</v>
      </c>
      <c r="I56" s="14">
        <f>H56/B3</f>
        <v>0.389</v>
      </c>
      <c r="J56" s="2">
        <v>0.0</v>
      </c>
      <c r="K56" s="2">
        <v>0.0</v>
      </c>
      <c r="L56" s="2">
        <v>0.0</v>
      </c>
      <c r="M56" s="7"/>
      <c r="N56" s="7"/>
    </row>
    <row r="57">
      <c r="A57" s="12">
        <v>46206.0</v>
      </c>
      <c r="B57" s="6" t="s">
        <v>61</v>
      </c>
      <c r="C57" s="2">
        <v>0.0</v>
      </c>
      <c r="D57" s="16">
        <f t="shared" si="3"/>
        <v>3.55</v>
      </c>
      <c r="E57" s="17">
        <f>D57/B1</f>
        <v>0.71</v>
      </c>
      <c r="F57" s="16">
        <f t="shared" si="4"/>
        <v>4.62</v>
      </c>
      <c r="G57" s="17">
        <f>F57/B2</f>
        <v>0.462</v>
      </c>
      <c r="H57" s="15">
        <f t="shared" si="5"/>
        <v>3.89</v>
      </c>
      <c r="I57" s="14">
        <f>H57/B3</f>
        <v>0.389</v>
      </c>
      <c r="J57" s="2">
        <v>0.0</v>
      </c>
      <c r="K57" s="2">
        <v>0.0</v>
      </c>
      <c r="L57" s="2">
        <v>0.0</v>
      </c>
      <c r="M57" s="7"/>
      <c r="N57" s="7"/>
    </row>
    <row r="58">
      <c r="A58" s="12">
        <v>46206.0</v>
      </c>
      <c r="B58" s="6" t="s">
        <v>62</v>
      </c>
      <c r="C58" s="2">
        <v>0.0</v>
      </c>
      <c r="D58" s="16">
        <f t="shared" si="3"/>
        <v>3.55</v>
      </c>
      <c r="E58" s="17">
        <f>D58/B1</f>
        <v>0.71</v>
      </c>
      <c r="F58" s="16">
        <f t="shared" si="4"/>
        <v>4.62</v>
      </c>
      <c r="G58" s="17">
        <f>F58/B2</f>
        <v>0.462</v>
      </c>
      <c r="H58" s="15">
        <f t="shared" si="5"/>
        <v>3.89</v>
      </c>
      <c r="I58" s="14">
        <f>H58/B3</f>
        <v>0.389</v>
      </c>
      <c r="J58" s="2">
        <v>0.0</v>
      </c>
      <c r="K58" s="2">
        <v>0.0</v>
      </c>
      <c r="L58" s="2">
        <v>0.0</v>
      </c>
      <c r="M58" s="7"/>
      <c r="N58" s="7"/>
    </row>
    <row r="59">
      <c r="A59" s="12">
        <v>46206.0</v>
      </c>
      <c r="B59" s="6" t="s">
        <v>63</v>
      </c>
      <c r="C59" s="2">
        <v>0.0</v>
      </c>
      <c r="D59" s="16">
        <f t="shared" si="3"/>
        <v>3.55</v>
      </c>
      <c r="E59" s="17">
        <f>D59/B1</f>
        <v>0.71</v>
      </c>
      <c r="F59" s="16">
        <f t="shared" si="4"/>
        <v>4.62</v>
      </c>
      <c r="G59" s="17">
        <f>F59/B2</f>
        <v>0.462</v>
      </c>
      <c r="H59" s="15">
        <f t="shared" si="5"/>
        <v>3.89</v>
      </c>
      <c r="I59" s="14">
        <f>H59/B3</f>
        <v>0.389</v>
      </c>
      <c r="J59" s="2">
        <v>0.0</v>
      </c>
      <c r="K59" s="2">
        <v>0.0</v>
      </c>
      <c r="L59" s="2">
        <v>0.0</v>
      </c>
    </row>
    <row r="60">
      <c r="A60" s="12">
        <v>46207.0</v>
      </c>
      <c r="B60" s="6" t="s">
        <v>61</v>
      </c>
      <c r="C60" s="2">
        <v>0.0</v>
      </c>
      <c r="D60" s="16">
        <f t="shared" si="3"/>
        <v>3.55</v>
      </c>
      <c r="E60" s="17">
        <f>D60/B1</f>
        <v>0.71</v>
      </c>
      <c r="F60" s="16">
        <f t="shared" si="4"/>
        <v>4.62</v>
      </c>
      <c r="G60" s="17">
        <f>F60/B2</f>
        <v>0.462</v>
      </c>
      <c r="H60" s="15">
        <f t="shared" si="5"/>
        <v>3.89</v>
      </c>
      <c r="I60" s="14">
        <f>H60/B3</f>
        <v>0.389</v>
      </c>
      <c r="J60" s="2">
        <v>0.0</v>
      </c>
      <c r="K60" s="2">
        <v>0.0</v>
      </c>
      <c r="L60" s="2">
        <v>0.0</v>
      </c>
    </row>
    <row r="61">
      <c r="A61" s="12">
        <v>46207.0</v>
      </c>
      <c r="B61" s="6" t="s">
        <v>62</v>
      </c>
      <c r="C61" s="2">
        <v>0.0</v>
      </c>
      <c r="D61" s="16">
        <f t="shared" si="3"/>
        <v>3.55</v>
      </c>
      <c r="E61" s="17">
        <f>D61/B1</f>
        <v>0.71</v>
      </c>
      <c r="F61" s="16">
        <f t="shared" si="4"/>
        <v>4.62</v>
      </c>
      <c r="G61" s="17">
        <f>F61/B2</f>
        <v>0.462</v>
      </c>
      <c r="H61" s="15">
        <f t="shared" si="5"/>
        <v>3.89</v>
      </c>
      <c r="I61" s="14">
        <f>H61/B3</f>
        <v>0.389</v>
      </c>
      <c r="J61" s="2">
        <v>0.0</v>
      </c>
      <c r="K61" s="2">
        <v>0.0</v>
      </c>
      <c r="L61" s="2">
        <v>0.0</v>
      </c>
    </row>
    <row r="62">
      <c r="A62" s="12">
        <v>46207.0</v>
      </c>
      <c r="B62" s="6" t="s">
        <v>63</v>
      </c>
      <c r="C62" s="2">
        <v>0.0</v>
      </c>
      <c r="D62" s="16">
        <f t="shared" si="3"/>
        <v>3.55</v>
      </c>
      <c r="E62" s="17">
        <f>D62/B1</f>
        <v>0.71</v>
      </c>
      <c r="F62" s="16">
        <f t="shared" si="4"/>
        <v>4.62</v>
      </c>
      <c r="G62" s="17">
        <f>F62/B2</f>
        <v>0.462</v>
      </c>
      <c r="H62" s="15">
        <f t="shared" si="5"/>
        <v>3.89</v>
      </c>
      <c r="I62" s="14">
        <f>H62/B3</f>
        <v>0.389</v>
      </c>
      <c r="J62" s="2">
        <v>0.0</v>
      </c>
      <c r="K62" s="2">
        <v>0.0</v>
      </c>
      <c r="L62" s="2">
        <v>0.0</v>
      </c>
    </row>
    <row r="63">
      <c r="A63" s="12">
        <v>46208.0</v>
      </c>
      <c r="B63" s="6" t="s">
        <v>61</v>
      </c>
      <c r="C63" s="2">
        <v>0.0</v>
      </c>
      <c r="D63" s="16">
        <f t="shared" si="3"/>
        <v>3.55</v>
      </c>
      <c r="E63" s="17">
        <f>D63/B1</f>
        <v>0.71</v>
      </c>
      <c r="F63" s="16">
        <f t="shared" si="4"/>
        <v>4.62</v>
      </c>
      <c r="G63" s="17">
        <f>F63/B2</f>
        <v>0.462</v>
      </c>
      <c r="H63" s="15">
        <f t="shared" si="5"/>
        <v>3.89</v>
      </c>
      <c r="I63" s="14">
        <f>H63/B3</f>
        <v>0.389</v>
      </c>
      <c r="J63" s="2">
        <v>0.0</v>
      </c>
      <c r="K63" s="2">
        <v>0.0</v>
      </c>
      <c r="L63" s="2">
        <v>0.0</v>
      </c>
    </row>
    <row r="64">
      <c r="A64" s="12">
        <v>46208.0</v>
      </c>
      <c r="B64" s="6" t="s">
        <v>62</v>
      </c>
      <c r="C64" s="2">
        <v>0.0</v>
      </c>
      <c r="D64" s="16">
        <f t="shared" si="3"/>
        <v>3.55</v>
      </c>
      <c r="E64" s="17">
        <f>D64/B1</f>
        <v>0.71</v>
      </c>
      <c r="F64" s="16">
        <f t="shared" si="4"/>
        <v>4.62</v>
      </c>
      <c r="G64" s="17">
        <f>F64/B2</f>
        <v>0.462</v>
      </c>
      <c r="H64" s="15">
        <f t="shared" si="5"/>
        <v>3.89</v>
      </c>
      <c r="I64" s="14">
        <f>H64/B3</f>
        <v>0.389</v>
      </c>
      <c r="J64" s="2">
        <v>0.0</v>
      </c>
      <c r="K64" s="2">
        <v>0.0</v>
      </c>
      <c r="L64" s="2">
        <v>0.0</v>
      </c>
    </row>
    <row r="65">
      <c r="A65" s="12">
        <v>46208.0</v>
      </c>
      <c r="B65" s="6" t="s">
        <v>63</v>
      </c>
      <c r="C65" s="2">
        <v>0.0</v>
      </c>
      <c r="D65" s="16">
        <f t="shared" si="3"/>
        <v>3.55</v>
      </c>
      <c r="E65" s="17">
        <f>D65/B1</f>
        <v>0.71</v>
      </c>
      <c r="F65" s="16">
        <f t="shared" si="4"/>
        <v>4.62</v>
      </c>
      <c r="G65" s="17">
        <f>F65/B2</f>
        <v>0.462</v>
      </c>
      <c r="H65" s="15">
        <f t="shared" si="5"/>
        <v>3.89</v>
      </c>
      <c r="I65" s="14">
        <f>H65/B3</f>
        <v>0.389</v>
      </c>
      <c r="J65" s="2">
        <v>0.0</v>
      </c>
      <c r="K65" s="2">
        <v>0.0</v>
      </c>
      <c r="L65" s="2">
        <v>0.0</v>
      </c>
    </row>
    <row r="66">
      <c r="A66" s="12">
        <v>46209.0</v>
      </c>
      <c r="B66" s="6" t="s">
        <v>61</v>
      </c>
      <c r="C66" s="2">
        <v>0.0</v>
      </c>
      <c r="D66" s="16">
        <f t="shared" si="3"/>
        <v>3.55</v>
      </c>
      <c r="E66" s="17">
        <f>D66/B1</f>
        <v>0.71</v>
      </c>
      <c r="F66" s="16">
        <f t="shared" si="4"/>
        <v>4.62</v>
      </c>
      <c r="G66" s="17">
        <f>F66/B2</f>
        <v>0.462</v>
      </c>
      <c r="H66" s="15">
        <f t="shared" si="5"/>
        <v>3.89</v>
      </c>
      <c r="I66" s="14">
        <f>H66/B3</f>
        <v>0.389</v>
      </c>
      <c r="J66" s="2">
        <v>0.0</v>
      </c>
      <c r="K66" s="2">
        <v>0.0</v>
      </c>
      <c r="L66" s="2">
        <v>0.0</v>
      </c>
    </row>
    <row r="67">
      <c r="A67" s="12">
        <v>46209.0</v>
      </c>
      <c r="B67" s="6" t="s">
        <v>62</v>
      </c>
      <c r="C67" s="2">
        <v>0.0</v>
      </c>
      <c r="D67" s="16">
        <f t="shared" si="3"/>
        <v>3.55</v>
      </c>
      <c r="E67" s="17">
        <f>D67/B1</f>
        <v>0.71</v>
      </c>
      <c r="F67" s="16">
        <f t="shared" si="4"/>
        <v>4.62</v>
      </c>
      <c r="G67" s="17">
        <f>F67/B2</f>
        <v>0.462</v>
      </c>
      <c r="H67" s="15">
        <f t="shared" si="5"/>
        <v>3.89</v>
      </c>
      <c r="I67" s="14">
        <f>H67/B3</f>
        <v>0.389</v>
      </c>
      <c r="J67" s="2">
        <v>0.0</v>
      </c>
      <c r="K67" s="2">
        <v>0.0</v>
      </c>
      <c r="L67" s="2">
        <v>0.0</v>
      </c>
    </row>
    <row r="68">
      <c r="A68" s="12">
        <v>46209.0</v>
      </c>
      <c r="B68" s="6" t="s">
        <v>63</v>
      </c>
      <c r="C68" s="2">
        <v>0.0</v>
      </c>
      <c r="D68" s="16">
        <f t="shared" si="3"/>
        <v>3.55</v>
      </c>
      <c r="E68" s="17">
        <f>D68/B1</f>
        <v>0.71</v>
      </c>
      <c r="F68" s="16">
        <f t="shared" si="4"/>
        <v>4.62</v>
      </c>
      <c r="G68" s="17">
        <f>F68/B2</f>
        <v>0.462</v>
      </c>
      <c r="H68" s="15">
        <f t="shared" si="5"/>
        <v>3.89</v>
      </c>
      <c r="I68" s="14">
        <f>H68/B3</f>
        <v>0.389</v>
      </c>
      <c r="J68" s="2">
        <v>0.0</v>
      </c>
      <c r="K68" s="2">
        <v>0.0</v>
      </c>
      <c r="L68" s="2">
        <v>0.0</v>
      </c>
    </row>
    <row r="69">
      <c r="A69" s="12">
        <v>46210.0</v>
      </c>
      <c r="B69" s="6" t="s">
        <v>61</v>
      </c>
      <c r="C69" s="2">
        <v>0.0</v>
      </c>
      <c r="D69" s="16">
        <f t="shared" si="3"/>
        <v>3.55</v>
      </c>
      <c r="E69" s="17">
        <f>D69/B1</f>
        <v>0.71</v>
      </c>
      <c r="F69" s="16">
        <f t="shared" si="4"/>
        <v>4.62</v>
      </c>
      <c r="G69" s="17">
        <f>F69/B2</f>
        <v>0.462</v>
      </c>
      <c r="H69" s="15">
        <f t="shared" si="5"/>
        <v>3.89</v>
      </c>
      <c r="I69" s="14">
        <f>H69/B3</f>
        <v>0.389</v>
      </c>
      <c r="J69" s="2">
        <v>0.0</v>
      </c>
      <c r="K69" s="2">
        <v>0.0</v>
      </c>
      <c r="L69" s="2">
        <v>0.0</v>
      </c>
    </row>
    <row r="70">
      <c r="A70" s="12">
        <v>46210.0</v>
      </c>
      <c r="B70" s="6" t="s">
        <v>62</v>
      </c>
      <c r="C70" s="2">
        <v>0.0</v>
      </c>
      <c r="D70" s="16">
        <f t="shared" si="3"/>
        <v>3.55</v>
      </c>
      <c r="E70" s="17">
        <f>D70/B1</f>
        <v>0.71</v>
      </c>
      <c r="F70" s="16">
        <f t="shared" si="4"/>
        <v>4.62</v>
      </c>
      <c r="G70" s="17">
        <f>F70/B2</f>
        <v>0.462</v>
      </c>
      <c r="H70" s="15">
        <f t="shared" si="5"/>
        <v>3.89</v>
      </c>
      <c r="I70" s="14">
        <f>H70/B3</f>
        <v>0.389</v>
      </c>
      <c r="J70" s="2">
        <v>0.0</v>
      </c>
      <c r="K70" s="2">
        <v>0.0</v>
      </c>
      <c r="L70" s="2">
        <v>0.0</v>
      </c>
    </row>
    <row r="71">
      <c r="A71" s="12">
        <v>46210.0</v>
      </c>
      <c r="B71" s="6" t="s">
        <v>63</v>
      </c>
      <c r="C71" s="2">
        <v>0.0</v>
      </c>
      <c r="D71" s="16">
        <f t="shared" si="3"/>
        <v>3.55</v>
      </c>
      <c r="E71" s="17">
        <f>D71/B1</f>
        <v>0.71</v>
      </c>
      <c r="F71" s="16">
        <f t="shared" si="4"/>
        <v>4.62</v>
      </c>
      <c r="G71" s="17">
        <f>F71/B2</f>
        <v>0.462</v>
      </c>
      <c r="H71" s="15">
        <f t="shared" si="5"/>
        <v>3.89</v>
      </c>
      <c r="I71" s="14">
        <f>H71/B3</f>
        <v>0.389</v>
      </c>
      <c r="J71" s="2">
        <v>0.0</v>
      </c>
      <c r="K71" s="2">
        <v>0.0</v>
      </c>
      <c r="L71" s="2">
        <v>0.0</v>
      </c>
    </row>
    <row r="72">
      <c r="A72" s="12">
        <v>46211.0</v>
      </c>
      <c r="B72" s="6" t="s">
        <v>61</v>
      </c>
      <c r="C72" s="2">
        <v>0.0</v>
      </c>
      <c r="D72" s="16">
        <f t="shared" si="3"/>
        <v>3.55</v>
      </c>
      <c r="E72" s="17">
        <f>D72/B1</f>
        <v>0.71</v>
      </c>
      <c r="F72" s="16">
        <f t="shared" si="4"/>
        <v>4.62</v>
      </c>
      <c r="G72" s="17">
        <f>F72/B2</f>
        <v>0.462</v>
      </c>
      <c r="H72" s="15">
        <f t="shared" si="5"/>
        <v>3.89</v>
      </c>
      <c r="I72" s="14">
        <f>H72/B3</f>
        <v>0.389</v>
      </c>
      <c r="J72" s="2">
        <v>0.0</v>
      </c>
      <c r="K72" s="2">
        <v>0.0</v>
      </c>
      <c r="L72" s="2">
        <v>0.0</v>
      </c>
    </row>
    <row r="73">
      <c r="A73" s="12">
        <v>46211.0</v>
      </c>
      <c r="B73" s="6" t="s">
        <v>62</v>
      </c>
      <c r="C73" s="2">
        <v>0.9</v>
      </c>
      <c r="D73" s="16">
        <f t="shared" si="3"/>
        <v>3.55</v>
      </c>
      <c r="E73" s="17">
        <f>D73/B1</f>
        <v>0.71</v>
      </c>
      <c r="F73" s="16">
        <f t="shared" si="4"/>
        <v>3.72</v>
      </c>
      <c r="G73" s="17">
        <f>F73/B2</f>
        <v>0.372</v>
      </c>
      <c r="H73" s="15">
        <f t="shared" si="5"/>
        <v>3.89</v>
      </c>
      <c r="I73" s="14">
        <f>H73/B3</f>
        <v>0.389</v>
      </c>
      <c r="J73" s="2">
        <v>0.0</v>
      </c>
      <c r="K73" s="2">
        <v>0.0</v>
      </c>
      <c r="L73" s="2">
        <v>0.0</v>
      </c>
    </row>
    <row r="74">
      <c r="A74" s="12">
        <v>46211.0</v>
      </c>
      <c r="B74" s="6" t="s">
        <v>63</v>
      </c>
      <c r="C74" s="2">
        <v>0.94</v>
      </c>
      <c r="D74" s="16">
        <f t="shared" si="3"/>
        <v>3.55</v>
      </c>
      <c r="E74" s="17">
        <f>D74/B1</f>
        <v>0.71</v>
      </c>
      <c r="F74" s="16">
        <f t="shared" si="4"/>
        <v>3.72</v>
      </c>
      <c r="G74" s="17">
        <f>F74/B2</f>
        <v>0.372</v>
      </c>
      <c r="H74" s="15">
        <f t="shared" si="5"/>
        <v>2.95</v>
      </c>
      <c r="I74" s="14">
        <f>H74/B3</f>
        <v>0.295</v>
      </c>
      <c r="J74" s="2">
        <v>0.0</v>
      </c>
      <c r="K74" s="2">
        <v>0.0</v>
      </c>
      <c r="L74" s="2">
        <v>0.0</v>
      </c>
    </row>
    <row r="75">
      <c r="A75" s="12">
        <v>46212.0</v>
      </c>
      <c r="B75" s="6" t="s">
        <v>61</v>
      </c>
      <c r="C75" s="2">
        <v>0.0</v>
      </c>
      <c r="D75" s="16">
        <f t="shared" si="3"/>
        <v>3.55</v>
      </c>
      <c r="E75" s="17">
        <f>D75/B1</f>
        <v>0.71</v>
      </c>
      <c r="F75" s="16">
        <f t="shared" si="4"/>
        <v>3.72</v>
      </c>
      <c r="G75" s="17">
        <f>F75/B2</f>
        <v>0.372</v>
      </c>
      <c r="H75" s="15">
        <f t="shared" si="5"/>
        <v>2.95</v>
      </c>
      <c r="I75" s="14">
        <f>H75/B3</f>
        <v>0.295</v>
      </c>
      <c r="J75" s="2">
        <v>0.0</v>
      </c>
      <c r="K75" s="2">
        <v>0.0</v>
      </c>
      <c r="L75" s="2">
        <v>0.0</v>
      </c>
    </row>
    <row r="76">
      <c r="A76" s="12">
        <v>46212.0</v>
      </c>
      <c r="B76" s="6" t="s">
        <v>62</v>
      </c>
      <c r="C76" s="2">
        <v>0.0</v>
      </c>
      <c r="D76" s="16">
        <f t="shared" si="3"/>
        <v>3.55</v>
      </c>
      <c r="E76" s="17">
        <f>D76/B1</f>
        <v>0.71</v>
      </c>
      <c r="F76" s="16">
        <f t="shared" si="4"/>
        <v>3.72</v>
      </c>
      <c r="G76" s="17">
        <f>F76/B2</f>
        <v>0.372</v>
      </c>
      <c r="H76" s="15">
        <f t="shared" si="5"/>
        <v>2.95</v>
      </c>
      <c r="I76" s="14">
        <f>H76/B3</f>
        <v>0.295</v>
      </c>
      <c r="J76" s="2">
        <v>0.0</v>
      </c>
      <c r="K76" s="2">
        <v>0.0</v>
      </c>
      <c r="L76" s="2">
        <v>0.0</v>
      </c>
    </row>
    <row r="77">
      <c r="A77" s="12">
        <v>46212.0</v>
      </c>
      <c r="B77" s="6" t="s">
        <v>63</v>
      </c>
      <c r="C77" s="2">
        <v>0.0</v>
      </c>
      <c r="D77" s="16">
        <f t="shared" si="3"/>
        <v>3.55</v>
      </c>
      <c r="E77" s="17">
        <f>D77/B1</f>
        <v>0.71</v>
      </c>
      <c r="F77" s="16">
        <f t="shared" si="4"/>
        <v>3.72</v>
      </c>
      <c r="G77" s="17">
        <f>F77/B2</f>
        <v>0.372</v>
      </c>
      <c r="H77" s="15">
        <f t="shared" si="5"/>
        <v>2.95</v>
      </c>
      <c r="I77" s="14">
        <f>H77/B3</f>
        <v>0.295</v>
      </c>
      <c r="J77" s="2">
        <v>0.0</v>
      </c>
      <c r="K77" s="2">
        <v>0.0</v>
      </c>
      <c r="L77" s="2">
        <v>0.0</v>
      </c>
    </row>
    <row r="78">
      <c r="A78" s="12">
        <v>46213.0</v>
      </c>
      <c r="B78" s="6" t="s">
        <v>61</v>
      </c>
      <c r="C78" s="2">
        <v>0.0</v>
      </c>
      <c r="D78" s="16">
        <f t="shared" si="3"/>
        <v>3.55</v>
      </c>
      <c r="E78" s="17">
        <f>D78/B1</f>
        <v>0.71</v>
      </c>
      <c r="F78" s="16">
        <f t="shared" si="4"/>
        <v>3.72</v>
      </c>
      <c r="G78" s="17">
        <f>F78/B2</f>
        <v>0.372</v>
      </c>
      <c r="H78" s="15">
        <f t="shared" si="5"/>
        <v>2.95</v>
      </c>
      <c r="I78" s="14">
        <f>H78/B3</f>
        <v>0.295</v>
      </c>
      <c r="J78" s="2">
        <v>0.0</v>
      </c>
      <c r="K78" s="2">
        <v>0.0</v>
      </c>
      <c r="L78" s="2">
        <v>0.0</v>
      </c>
    </row>
    <row r="79">
      <c r="A79" s="12">
        <v>46213.0</v>
      </c>
      <c r="B79" s="6" t="s">
        <v>62</v>
      </c>
      <c r="C79" s="2">
        <v>0.0</v>
      </c>
      <c r="D79" s="16">
        <f t="shared" si="3"/>
        <v>3.55</v>
      </c>
      <c r="E79" s="17">
        <f>D79/B1</f>
        <v>0.71</v>
      </c>
      <c r="F79" s="16">
        <f t="shared" si="4"/>
        <v>3.72</v>
      </c>
      <c r="G79" s="17">
        <f>F79/B2</f>
        <v>0.372</v>
      </c>
      <c r="H79" s="15">
        <f t="shared" si="5"/>
        <v>2.95</v>
      </c>
      <c r="I79" s="14">
        <f>H79/B3</f>
        <v>0.295</v>
      </c>
      <c r="J79" s="2">
        <v>0.0</v>
      </c>
      <c r="K79" s="2">
        <v>0.0</v>
      </c>
      <c r="L79" s="2">
        <v>0.0</v>
      </c>
    </row>
    <row r="80">
      <c r="A80" s="12">
        <v>46213.0</v>
      </c>
      <c r="B80" s="6" t="s">
        <v>63</v>
      </c>
      <c r="C80" s="2">
        <v>1.03</v>
      </c>
      <c r="D80" s="16">
        <f t="shared" si="3"/>
        <v>3.55</v>
      </c>
      <c r="E80" s="17">
        <f>D80/B1</f>
        <v>0.71</v>
      </c>
      <c r="F80" s="16">
        <f t="shared" si="4"/>
        <v>3.72</v>
      </c>
      <c r="G80" s="17">
        <f>F80/B2</f>
        <v>0.372</v>
      </c>
      <c r="H80" s="15">
        <f t="shared" si="5"/>
        <v>1.92</v>
      </c>
      <c r="I80" s="14">
        <f>H80/B3</f>
        <v>0.192</v>
      </c>
      <c r="J80" s="2">
        <v>0.0</v>
      </c>
      <c r="K80" s="2">
        <v>0.0</v>
      </c>
      <c r="L80" s="2">
        <v>0.0</v>
      </c>
    </row>
    <row r="81">
      <c r="A81" s="12">
        <v>46214.0</v>
      </c>
      <c r="B81" s="6" t="s">
        <v>61</v>
      </c>
      <c r="C81" s="2">
        <v>0.0</v>
      </c>
      <c r="D81" s="16">
        <f t="shared" si="3"/>
        <v>3.55</v>
      </c>
      <c r="E81" s="17">
        <f>D81/B1</f>
        <v>0.71</v>
      </c>
      <c r="F81" s="16">
        <f t="shared" si="4"/>
        <v>3.72</v>
      </c>
      <c r="G81" s="17">
        <f>F81/B2</f>
        <v>0.372</v>
      </c>
      <c r="H81" s="15">
        <f t="shared" si="5"/>
        <v>1.92</v>
      </c>
      <c r="I81" s="14">
        <f>H81/B3</f>
        <v>0.192</v>
      </c>
      <c r="J81" s="2">
        <v>0.0</v>
      </c>
      <c r="K81" s="2">
        <v>0.0</v>
      </c>
      <c r="L81" s="2">
        <v>0.0</v>
      </c>
    </row>
    <row r="82">
      <c r="A82" s="12">
        <v>46214.0</v>
      </c>
      <c r="B82" s="6" t="s">
        <v>62</v>
      </c>
      <c r="C82" s="2">
        <v>1.37</v>
      </c>
      <c r="D82" s="16">
        <f t="shared" si="3"/>
        <v>3.55</v>
      </c>
      <c r="E82" s="17">
        <f>D82/B1</f>
        <v>0.71</v>
      </c>
      <c r="F82" s="16">
        <f t="shared" si="4"/>
        <v>2.35</v>
      </c>
      <c r="G82" s="17">
        <f>F82/B2</f>
        <v>0.235</v>
      </c>
      <c r="H82" s="15">
        <f t="shared" si="5"/>
        <v>1.92</v>
      </c>
      <c r="I82" s="14">
        <f>H82/B3</f>
        <v>0.192</v>
      </c>
      <c r="J82" s="2">
        <v>0.0</v>
      </c>
      <c r="K82" s="2">
        <v>0.0</v>
      </c>
      <c r="L82" s="2">
        <v>0.0</v>
      </c>
    </row>
    <row r="83">
      <c r="A83" s="12">
        <v>46214.0</v>
      </c>
      <c r="B83" s="6" t="s">
        <v>63</v>
      </c>
      <c r="C83" s="2">
        <v>0.0</v>
      </c>
      <c r="D83" s="16">
        <f t="shared" si="3"/>
        <v>3.55</v>
      </c>
      <c r="E83" s="17">
        <f>D83/B1</f>
        <v>0.71</v>
      </c>
      <c r="F83" s="16">
        <f t="shared" si="4"/>
        <v>2.35</v>
      </c>
      <c r="G83" s="17">
        <f>F83/B2</f>
        <v>0.235</v>
      </c>
      <c r="H83" s="15">
        <f t="shared" si="5"/>
        <v>1.92</v>
      </c>
      <c r="I83" s="14">
        <f>H83/B3</f>
        <v>0.192</v>
      </c>
      <c r="J83" s="2">
        <v>0.0</v>
      </c>
      <c r="K83" s="2">
        <v>0.0</v>
      </c>
      <c r="L83" s="2">
        <v>0.0</v>
      </c>
    </row>
    <row r="84">
      <c r="A84" s="12">
        <v>46215.0</v>
      </c>
      <c r="B84" s="6" t="s">
        <v>61</v>
      </c>
      <c r="C84" s="2">
        <v>1.32</v>
      </c>
      <c r="D84" s="16">
        <f t="shared" si="3"/>
        <v>2.23</v>
      </c>
      <c r="E84" s="17">
        <f>D84/B1</f>
        <v>0.446</v>
      </c>
      <c r="F84" s="16">
        <f t="shared" si="4"/>
        <v>2.35</v>
      </c>
      <c r="G84" s="17">
        <f>F84/B2</f>
        <v>0.235</v>
      </c>
      <c r="H84" s="15">
        <f t="shared" si="5"/>
        <v>1.92</v>
      </c>
      <c r="I84" s="14">
        <f>H84/B3</f>
        <v>0.192</v>
      </c>
      <c r="J84" s="2">
        <v>0.0</v>
      </c>
      <c r="K84" s="2">
        <v>0.0</v>
      </c>
      <c r="L84" s="2">
        <v>0.0</v>
      </c>
    </row>
    <row r="85">
      <c r="A85" s="12">
        <v>46215.0</v>
      </c>
      <c r="B85" s="6" t="s">
        <v>62</v>
      </c>
      <c r="C85" s="2">
        <v>1.78</v>
      </c>
      <c r="D85" s="16">
        <f t="shared" si="3"/>
        <v>2.23</v>
      </c>
      <c r="E85" s="17">
        <f>D85/B1</f>
        <v>0.446</v>
      </c>
      <c r="F85" s="16">
        <f t="shared" si="4"/>
        <v>0.57</v>
      </c>
      <c r="G85" s="17">
        <f>F85/B2</f>
        <v>0.057</v>
      </c>
      <c r="H85" s="15">
        <f t="shared" si="5"/>
        <v>1.92</v>
      </c>
      <c r="I85" s="14">
        <f>H85/B3</f>
        <v>0.192</v>
      </c>
      <c r="J85" s="2">
        <v>0.0</v>
      </c>
      <c r="K85" s="2">
        <v>0.0</v>
      </c>
      <c r="L85" s="2">
        <v>0.0</v>
      </c>
    </row>
    <row r="86">
      <c r="A86" s="12">
        <v>46215.0</v>
      </c>
      <c r="B86" s="6" t="s">
        <v>63</v>
      </c>
      <c r="C86" s="2">
        <v>0.0</v>
      </c>
      <c r="D86" s="16">
        <f t="shared" si="3"/>
        <v>2.23</v>
      </c>
      <c r="E86" s="17">
        <f>D86/B1</f>
        <v>0.446</v>
      </c>
      <c r="F86" s="16">
        <f t="shared" si="4"/>
        <v>0.57</v>
      </c>
      <c r="G86" s="17">
        <f>F86/B2</f>
        <v>0.057</v>
      </c>
      <c r="H86" s="15">
        <f t="shared" si="5"/>
        <v>1.92</v>
      </c>
      <c r="I86" s="14">
        <f>H86/B3</f>
        <v>0.192</v>
      </c>
      <c r="J86" s="2">
        <v>0.0</v>
      </c>
      <c r="K86" s="2">
        <v>0.0</v>
      </c>
      <c r="L86" s="2">
        <v>0.0</v>
      </c>
    </row>
    <row r="87">
      <c r="A87" s="12">
        <v>46216.0</v>
      </c>
      <c r="B87" s="6" t="s">
        <v>61</v>
      </c>
      <c r="C87" s="2">
        <v>0.0</v>
      </c>
      <c r="D87" s="16">
        <f t="shared" si="3"/>
        <v>2.23</v>
      </c>
      <c r="E87" s="17">
        <f>D87/B1</f>
        <v>0.446</v>
      </c>
      <c r="F87" s="16">
        <f t="shared" si="4"/>
        <v>0.57</v>
      </c>
      <c r="G87" s="17">
        <f>F87/B2</f>
        <v>0.057</v>
      </c>
      <c r="H87" s="15">
        <f t="shared" si="5"/>
        <v>1.92</v>
      </c>
      <c r="I87" s="14">
        <f>H87/B3</f>
        <v>0.192</v>
      </c>
      <c r="J87" s="2">
        <v>0.0</v>
      </c>
      <c r="K87" s="2">
        <v>0.0</v>
      </c>
      <c r="L87" s="2">
        <v>0.0</v>
      </c>
    </row>
    <row r="88">
      <c r="A88" s="12">
        <v>46216.0</v>
      </c>
      <c r="B88" s="6" t="s">
        <v>62</v>
      </c>
      <c r="C88" s="2">
        <v>0.0</v>
      </c>
      <c r="D88" s="16">
        <f t="shared" si="3"/>
        <v>2.23</v>
      </c>
      <c r="E88" s="17">
        <f>D88/B1</f>
        <v>0.446</v>
      </c>
      <c r="F88" s="16">
        <f t="shared" si="4"/>
        <v>0.57</v>
      </c>
      <c r="G88" s="17">
        <f>F88/B2</f>
        <v>0.057</v>
      </c>
      <c r="H88" s="15">
        <f t="shared" si="5"/>
        <v>1.92</v>
      </c>
      <c r="I88" s="14">
        <f>H88/B3</f>
        <v>0.192</v>
      </c>
      <c r="J88" s="2">
        <v>0.0</v>
      </c>
      <c r="K88" s="2">
        <v>0.0</v>
      </c>
      <c r="L88" s="2">
        <v>0.0</v>
      </c>
    </row>
    <row r="89">
      <c r="A89" s="12">
        <v>46216.0</v>
      </c>
      <c r="B89" s="6" t="s">
        <v>63</v>
      </c>
      <c r="C89" s="2">
        <v>0.0</v>
      </c>
      <c r="D89" s="16">
        <f t="shared" si="3"/>
        <v>2.23</v>
      </c>
      <c r="E89" s="17">
        <f>D89/B1</f>
        <v>0.446</v>
      </c>
      <c r="F89" s="16">
        <f t="shared" si="4"/>
        <v>0.57</v>
      </c>
      <c r="G89" s="17">
        <f>F89/B2</f>
        <v>0.057</v>
      </c>
      <c r="H89" s="15">
        <f t="shared" si="5"/>
        <v>1.92</v>
      </c>
      <c r="I89" s="14">
        <f>H89/B3</f>
        <v>0.192</v>
      </c>
      <c r="J89" s="2">
        <v>0.0</v>
      </c>
      <c r="K89" s="2">
        <v>0.0</v>
      </c>
      <c r="L89" s="2">
        <v>0.0</v>
      </c>
    </row>
    <row r="90">
      <c r="A90" s="12">
        <v>46217.0</v>
      </c>
      <c r="B90" s="6" t="s">
        <v>61</v>
      </c>
      <c r="C90" s="2">
        <v>0.0</v>
      </c>
      <c r="D90" s="16">
        <f t="shared" si="3"/>
        <v>2.23</v>
      </c>
      <c r="E90" s="17">
        <f>D90/B1</f>
        <v>0.446</v>
      </c>
      <c r="F90" s="16">
        <f t="shared" si="4"/>
        <v>0.57</v>
      </c>
      <c r="G90" s="17">
        <f>F90/B2</f>
        <v>0.057</v>
      </c>
      <c r="H90" s="15">
        <f t="shared" si="5"/>
        <v>1.92</v>
      </c>
      <c r="I90" s="14">
        <f>H90/B3</f>
        <v>0.192</v>
      </c>
      <c r="J90" s="2">
        <v>0.0</v>
      </c>
      <c r="K90" s="2">
        <v>0.0</v>
      </c>
      <c r="L90" s="2">
        <v>0.0</v>
      </c>
    </row>
    <row r="91">
      <c r="A91" s="12">
        <v>46217.0</v>
      </c>
      <c r="B91" s="6" t="s">
        <v>62</v>
      </c>
      <c r="C91" s="2">
        <v>0.0</v>
      </c>
      <c r="D91" s="16">
        <f t="shared" si="3"/>
        <v>2.23</v>
      </c>
      <c r="E91" s="17">
        <f>D91/B1</f>
        <v>0.446</v>
      </c>
      <c r="F91" s="16">
        <f t="shared" si="4"/>
        <v>0.57</v>
      </c>
      <c r="G91" s="17">
        <f>F91/B2</f>
        <v>0.057</v>
      </c>
      <c r="H91" s="15">
        <f t="shared" si="5"/>
        <v>1.92</v>
      </c>
      <c r="I91" s="14">
        <f>H91/B3</f>
        <v>0.192</v>
      </c>
      <c r="J91" s="2">
        <v>0.0</v>
      </c>
      <c r="K91" s="2">
        <v>0.0</v>
      </c>
      <c r="L91" s="2">
        <v>0.0</v>
      </c>
    </row>
    <row r="92">
      <c r="A92" s="12">
        <v>46217.0</v>
      </c>
      <c r="B92" s="6" t="s">
        <v>63</v>
      </c>
      <c r="C92" s="2">
        <v>0.0</v>
      </c>
      <c r="D92" s="16">
        <f t="shared" si="3"/>
        <v>2.23</v>
      </c>
      <c r="E92" s="17">
        <f>D92/B1</f>
        <v>0.446</v>
      </c>
      <c r="F92" s="16">
        <f t="shared" si="4"/>
        <v>0.57</v>
      </c>
      <c r="G92" s="17">
        <f>F92/B2</f>
        <v>0.057</v>
      </c>
      <c r="H92" s="15">
        <f t="shared" si="5"/>
        <v>1.92</v>
      </c>
      <c r="I92" s="14">
        <f>H92/B3</f>
        <v>0.192</v>
      </c>
      <c r="J92" s="2">
        <v>0.0</v>
      </c>
      <c r="K92" s="2">
        <v>0.0</v>
      </c>
      <c r="L92" s="2">
        <v>0.0</v>
      </c>
    </row>
    <row r="93">
      <c r="A93" s="12">
        <v>46218.0</v>
      </c>
      <c r="B93" s="6" t="s">
        <v>61</v>
      </c>
      <c r="C93" s="2">
        <v>0.0</v>
      </c>
      <c r="D93" s="16">
        <f t="shared" si="3"/>
        <v>2.23</v>
      </c>
      <c r="E93" s="17">
        <f>D93/B1</f>
        <v>0.446</v>
      </c>
      <c r="F93" s="16">
        <f t="shared" si="4"/>
        <v>0.57</v>
      </c>
      <c r="G93" s="17">
        <f>F93/B2</f>
        <v>0.057</v>
      </c>
      <c r="H93" s="15">
        <f t="shared" si="5"/>
        <v>1.92</v>
      </c>
      <c r="I93" s="14">
        <f>H93/B3</f>
        <v>0.192</v>
      </c>
      <c r="J93" s="2">
        <v>0.0</v>
      </c>
      <c r="K93" s="2">
        <v>0.0</v>
      </c>
      <c r="L93" s="2">
        <v>0.0</v>
      </c>
    </row>
    <row r="94">
      <c r="A94" s="12">
        <v>46218.0</v>
      </c>
      <c r="B94" s="6" t="s">
        <v>62</v>
      </c>
      <c r="C94" s="2">
        <v>0.0</v>
      </c>
      <c r="D94" s="16">
        <f t="shared" si="3"/>
        <v>2.23</v>
      </c>
      <c r="E94" s="17">
        <f>D94/B1</f>
        <v>0.446</v>
      </c>
      <c r="F94" s="16">
        <f t="shared" si="4"/>
        <v>0.57</v>
      </c>
      <c r="G94" s="17">
        <f>F94/B2</f>
        <v>0.057</v>
      </c>
      <c r="H94" s="15">
        <f t="shared" si="5"/>
        <v>1.92</v>
      </c>
      <c r="I94" s="14">
        <f>H94/B3</f>
        <v>0.192</v>
      </c>
      <c r="J94" s="2">
        <v>0.0</v>
      </c>
      <c r="K94" s="2">
        <v>0.0</v>
      </c>
      <c r="L94" s="2">
        <v>0.0</v>
      </c>
    </row>
    <row r="95">
      <c r="A95" s="12">
        <v>46218.0</v>
      </c>
      <c r="B95" s="6" t="s">
        <v>63</v>
      </c>
      <c r="C95" s="2">
        <v>0.0</v>
      </c>
      <c r="D95" s="16">
        <f t="shared" si="3"/>
        <v>2.23</v>
      </c>
      <c r="E95" s="17">
        <f>D95/B1</f>
        <v>0.446</v>
      </c>
      <c r="F95" s="16">
        <f t="shared" si="4"/>
        <v>0.57</v>
      </c>
      <c r="G95" s="17">
        <f>F95/B2</f>
        <v>0.057</v>
      </c>
      <c r="H95" s="15">
        <f t="shared" si="5"/>
        <v>1.92</v>
      </c>
      <c r="I95" s="14">
        <f>H95/B3</f>
        <v>0.192</v>
      </c>
      <c r="J95" s="2">
        <v>0.0</v>
      </c>
      <c r="K95" s="2">
        <v>0.0</v>
      </c>
      <c r="L95" s="2">
        <v>0.0</v>
      </c>
    </row>
    <row r="96">
      <c r="A96" s="12">
        <v>46219.0</v>
      </c>
      <c r="B96" s="6" t="s">
        <v>61</v>
      </c>
      <c r="C96" s="2">
        <v>0.0</v>
      </c>
      <c r="D96" s="16">
        <f t="shared" si="3"/>
        <v>2.23</v>
      </c>
      <c r="E96" s="17">
        <f>D96/B1</f>
        <v>0.446</v>
      </c>
      <c r="F96" s="16">
        <f t="shared" si="4"/>
        <v>0.57</v>
      </c>
      <c r="G96" s="17">
        <f>F96/B2</f>
        <v>0.057</v>
      </c>
      <c r="H96" s="15">
        <f t="shared" si="5"/>
        <v>1.92</v>
      </c>
      <c r="I96" s="14">
        <f>H96/B3</f>
        <v>0.192</v>
      </c>
      <c r="J96" s="2">
        <v>0.0</v>
      </c>
      <c r="K96" s="2">
        <v>0.0</v>
      </c>
      <c r="L96" s="2">
        <v>0.0</v>
      </c>
    </row>
    <row r="97">
      <c r="A97" s="12">
        <v>46219.0</v>
      </c>
      <c r="B97" s="6" t="s">
        <v>62</v>
      </c>
      <c r="C97" s="2">
        <v>0.0</v>
      </c>
      <c r="D97" s="16">
        <f t="shared" si="3"/>
        <v>2.23</v>
      </c>
      <c r="E97" s="17">
        <f>D97/B1</f>
        <v>0.446</v>
      </c>
      <c r="F97" s="16">
        <f t="shared" si="4"/>
        <v>0.57</v>
      </c>
      <c r="G97" s="17">
        <f>F97/B2</f>
        <v>0.057</v>
      </c>
      <c r="H97" s="15">
        <f t="shared" si="5"/>
        <v>1.92</v>
      </c>
      <c r="I97" s="14">
        <f>H97/B3</f>
        <v>0.192</v>
      </c>
      <c r="J97" s="2">
        <v>0.0</v>
      </c>
      <c r="K97" s="2">
        <v>0.0</v>
      </c>
      <c r="L97" s="2">
        <v>0.0</v>
      </c>
    </row>
    <row r="98">
      <c r="A98" s="12">
        <v>46219.0</v>
      </c>
      <c r="B98" s="6" t="s">
        <v>63</v>
      </c>
      <c r="C98" s="2">
        <v>0.0</v>
      </c>
      <c r="D98" s="16">
        <f t="shared" si="3"/>
        <v>2.23</v>
      </c>
      <c r="E98" s="17">
        <f>D98/B1</f>
        <v>0.446</v>
      </c>
      <c r="F98" s="16">
        <f t="shared" si="4"/>
        <v>0.57</v>
      </c>
      <c r="G98" s="17">
        <f>F98/B2</f>
        <v>0.057</v>
      </c>
      <c r="H98" s="15">
        <f t="shared" si="5"/>
        <v>1.92</v>
      </c>
      <c r="I98" s="14">
        <f>H98/B3</f>
        <v>0.192</v>
      </c>
      <c r="J98" s="2">
        <v>0.0</v>
      </c>
      <c r="K98" s="2">
        <v>0.0</v>
      </c>
      <c r="L98" s="2">
        <v>0.0</v>
      </c>
    </row>
    <row r="99">
      <c r="A99" s="12">
        <v>46220.0</v>
      </c>
      <c r="B99" s="6" t="s">
        <v>61</v>
      </c>
      <c r="C99" s="2">
        <v>0.0</v>
      </c>
      <c r="D99" s="16">
        <f t="shared" si="3"/>
        <v>2.23</v>
      </c>
      <c r="E99" s="17">
        <f>D99/B1</f>
        <v>0.446</v>
      </c>
      <c r="F99" s="16">
        <f t="shared" si="4"/>
        <v>0.57</v>
      </c>
      <c r="G99" s="17">
        <f>F99/B2</f>
        <v>0.057</v>
      </c>
      <c r="H99" s="15">
        <f t="shared" si="5"/>
        <v>1.92</v>
      </c>
      <c r="I99" s="14">
        <f>H99/B3</f>
        <v>0.192</v>
      </c>
      <c r="J99" s="2">
        <v>0.0</v>
      </c>
      <c r="K99" s="2">
        <v>0.0</v>
      </c>
      <c r="L99" s="2">
        <v>0.0</v>
      </c>
    </row>
    <row r="100">
      <c r="A100" s="12">
        <v>46220.0</v>
      </c>
      <c r="B100" s="6" t="s">
        <v>62</v>
      </c>
      <c r="C100" s="2">
        <v>0.0</v>
      </c>
      <c r="D100" s="16">
        <f t="shared" si="3"/>
        <v>2.23</v>
      </c>
      <c r="E100" s="17">
        <f>D100/B1</f>
        <v>0.446</v>
      </c>
      <c r="F100" s="16">
        <f t="shared" si="4"/>
        <v>0.57</v>
      </c>
      <c r="G100" s="17">
        <f>F100/B2</f>
        <v>0.057</v>
      </c>
      <c r="H100" s="15">
        <f t="shared" si="5"/>
        <v>1.92</v>
      </c>
      <c r="I100" s="14">
        <f>H100/B3</f>
        <v>0.192</v>
      </c>
      <c r="J100" s="2">
        <v>0.0</v>
      </c>
      <c r="K100" s="2">
        <v>0.0</v>
      </c>
      <c r="L100" s="2">
        <v>0.0</v>
      </c>
    </row>
    <row r="101">
      <c r="A101" s="12">
        <v>46220.0</v>
      </c>
      <c r="B101" s="6" t="s">
        <v>63</v>
      </c>
      <c r="C101" s="2">
        <v>0.0</v>
      </c>
      <c r="D101" s="16">
        <f t="shared" si="3"/>
        <v>2.23</v>
      </c>
      <c r="E101" s="17">
        <f>D101/B1</f>
        <v>0.446</v>
      </c>
      <c r="F101" s="16">
        <f t="shared" si="4"/>
        <v>0.57</v>
      </c>
      <c r="G101" s="17">
        <f>F101/B2</f>
        <v>0.057</v>
      </c>
      <c r="H101" s="15">
        <f t="shared" si="5"/>
        <v>1.92</v>
      </c>
      <c r="I101" s="14">
        <f>H101/B3</f>
        <v>0.192</v>
      </c>
      <c r="J101" s="2">
        <v>0.0</v>
      </c>
      <c r="K101" s="2">
        <v>0.0</v>
      </c>
      <c r="L101" s="2">
        <v>0.0</v>
      </c>
    </row>
    <row r="102">
      <c r="A102" s="12">
        <v>46221.0</v>
      </c>
      <c r="B102" s="21" t="s">
        <v>61</v>
      </c>
      <c r="C102" s="2">
        <v>0.0</v>
      </c>
      <c r="D102" s="23">
        <f t="shared" si="3"/>
        <v>2.23</v>
      </c>
      <c r="E102" s="24">
        <f>D102/B1</f>
        <v>0.446</v>
      </c>
      <c r="F102" s="23">
        <f t="shared" si="4"/>
        <v>0.57</v>
      </c>
      <c r="G102" s="24">
        <f>F102/B2</f>
        <v>0.057</v>
      </c>
      <c r="H102" s="25">
        <f t="shared" si="5"/>
        <v>1.92</v>
      </c>
      <c r="I102" s="26">
        <f>H102/B3</f>
        <v>0.192</v>
      </c>
      <c r="J102" s="22">
        <v>0.0</v>
      </c>
      <c r="K102" s="22">
        <v>0.0</v>
      </c>
      <c r="L102" s="22">
        <v>0.0</v>
      </c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</row>
    <row r="103">
      <c r="A103" s="12">
        <v>46221.0</v>
      </c>
      <c r="B103" s="21" t="s">
        <v>62</v>
      </c>
      <c r="C103" s="2">
        <v>0.0</v>
      </c>
      <c r="D103" s="23">
        <f t="shared" si="3"/>
        <v>2.23</v>
      </c>
      <c r="E103" s="24">
        <f>D103/B1</f>
        <v>0.446</v>
      </c>
      <c r="F103" s="23">
        <f t="shared" si="4"/>
        <v>0.57</v>
      </c>
      <c r="G103" s="24">
        <f>F103/B2</f>
        <v>0.057</v>
      </c>
      <c r="H103" s="25">
        <f t="shared" si="5"/>
        <v>1.92</v>
      </c>
      <c r="I103" s="26">
        <f>H103/B3</f>
        <v>0.192</v>
      </c>
      <c r="J103" s="22">
        <v>0.0</v>
      </c>
      <c r="K103" s="22">
        <v>0.0</v>
      </c>
      <c r="L103" s="22">
        <v>0.0</v>
      </c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</row>
    <row r="104">
      <c r="A104" s="12">
        <v>46221.0</v>
      </c>
      <c r="B104" s="21" t="s">
        <v>63</v>
      </c>
      <c r="C104" s="2">
        <v>0.99</v>
      </c>
      <c r="D104" s="23">
        <f t="shared" si="3"/>
        <v>2.23</v>
      </c>
      <c r="E104" s="24">
        <f>D104/B1</f>
        <v>0.446</v>
      </c>
      <c r="F104" s="23">
        <f t="shared" si="4"/>
        <v>0.57</v>
      </c>
      <c r="G104" s="24">
        <f>F104/B2</f>
        <v>0.057</v>
      </c>
      <c r="H104" s="25">
        <f t="shared" si="5"/>
        <v>0.93</v>
      </c>
      <c r="I104" s="26">
        <f>H104/B3</f>
        <v>0.093</v>
      </c>
      <c r="J104" s="22">
        <v>0.0</v>
      </c>
      <c r="K104" s="22">
        <v>0.0</v>
      </c>
      <c r="L104" s="22">
        <v>0.0</v>
      </c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</row>
    <row r="105">
      <c r="A105" s="12">
        <v>46222.0</v>
      </c>
      <c r="B105" s="21" t="s">
        <v>61</v>
      </c>
      <c r="C105" s="2">
        <v>1.61</v>
      </c>
      <c r="D105" s="23">
        <f t="shared" si="3"/>
        <v>0.62</v>
      </c>
      <c r="E105" s="24">
        <f>D105/B1</f>
        <v>0.124</v>
      </c>
      <c r="F105" s="23">
        <f t="shared" si="4"/>
        <v>0.57</v>
      </c>
      <c r="G105" s="24">
        <f>F105/B2</f>
        <v>0.057</v>
      </c>
      <c r="H105" s="25">
        <f t="shared" si="5"/>
        <v>0.93</v>
      </c>
      <c r="I105" s="26">
        <f>H105/B3</f>
        <v>0.093</v>
      </c>
      <c r="J105" s="22">
        <v>0.0</v>
      </c>
      <c r="K105" s="22">
        <v>0.0</v>
      </c>
      <c r="L105" s="22">
        <v>0.0</v>
      </c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</row>
    <row r="106">
      <c r="A106" s="12">
        <v>46222.0</v>
      </c>
      <c r="B106" s="21" t="s">
        <v>62</v>
      </c>
      <c r="C106" s="2">
        <v>0.57</v>
      </c>
      <c r="D106" s="23">
        <f t="shared" si="3"/>
        <v>0.62</v>
      </c>
      <c r="E106" s="24">
        <f>D106/B1</f>
        <v>0.124</v>
      </c>
      <c r="F106" s="23">
        <f t="shared" si="4"/>
        <v>0</v>
      </c>
      <c r="G106" s="24">
        <f>F106/B2</f>
        <v>0</v>
      </c>
      <c r="H106" s="25">
        <f t="shared" si="5"/>
        <v>0.93</v>
      </c>
      <c r="I106" s="26">
        <f>H106/B3</f>
        <v>0.093</v>
      </c>
      <c r="J106" s="22">
        <v>0.0</v>
      </c>
      <c r="K106" s="22">
        <v>0.0</v>
      </c>
      <c r="L106" s="22">
        <v>0.0</v>
      </c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</row>
    <row r="107">
      <c r="A107" s="12">
        <v>46222.0</v>
      </c>
      <c r="B107" s="21" t="s">
        <v>63</v>
      </c>
      <c r="C107" s="2">
        <v>0.93</v>
      </c>
      <c r="D107" s="23">
        <f t="shared" si="3"/>
        <v>0.62</v>
      </c>
      <c r="E107" s="24">
        <f>D107/B1</f>
        <v>0.124</v>
      </c>
      <c r="F107" s="23">
        <f t="shared" si="4"/>
        <v>0</v>
      </c>
      <c r="G107" s="24">
        <f>F107/B2</f>
        <v>0</v>
      </c>
      <c r="H107" s="25">
        <f t="shared" si="5"/>
        <v>0</v>
      </c>
      <c r="I107" s="26">
        <f>H107/B3</f>
        <v>0</v>
      </c>
      <c r="J107" s="22">
        <v>0.0</v>
      </c>
      <c r="K107" s="22">
        <v>0.0</v>
      </c>
      <c r="L107" s="22">
        <v>0.0</v>
      </c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</row>
    <row r="108">
      <c r="A108" s="12">
        <v>46223.0</v>
      </c>
      <c r="B108" s="21" t="s">
        <v>61</v>
      </c>
      <c r="C108" s="2">
        <v>0.62</v>
      </c>
      <c r="D108" s="23">
        <f t="shared" si="3"/>
        <v>0</v>
      </c>
      <c r="E108" s="24">
        <f>D108/B1</f>
        <v>0</v>
      </c>
      <c r="F108" s="23">
        <f t="shared" si="4"/>
        <v>0</v>
      </c>
      <c r="G108" s="24">
        <f>F108/B2</f>
        <v>0</v>
      </c>
      <c r="H108" s="25">
        <f t="shared" si="5"/>
        <v>0</v>
      </c>
      <c r="I108" s="26">
        <f>H108/B3</f>
        <v>0</v>
      </c>
      <c r="J108" s="22">
        <v>0.0</v>
      </c>
      <c r="K108" s="22">
        <v>0.0</v>
      </c>
      <c r="L108" s="22">
        <v>0.0</v>
      </c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</row>
    <row r="109">
      <c r="A109" s="12">
        <v>46223.0</v>
      </c>
      <c r="B109" s="21" t="s">
        <v>62</v>
      </c>
      <c r="C109" s="2">
        <v>0.0</v>
      </c>
      <c r="D109" s="23">
        <f t="shared" si="3"/>
        <v>0</v>
      </c>
      <c r="E109" s="24">
        <f>D109/B1</f>
        <v>0</v>
      </c>
      <c r="F109" s="23">
        <f t="shared" si="4"/>
        <v>0</v>
      </c>
      <c r="G109" s="24">
        <f>F109/B2</f>
        <v>0</v>
      </c>
      <c r="H109" s="25">
        <f t="shared" si="5"/>
        <v>0</v>
      </c>
      <c r="I109" s="26">
        <f>H109/B3</f>
        <v>0</v>
      </c>
      <c r="J109" s="22">
        <v>0.0</v>
      </c>
      <c r="K109" s="22">
        <v>0.0</v>
      </c>
      <c r="L109" s="22">
        <v>0.0</v>
      </c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</row>
    <row r="110">
      <c r="A110" s="12">
        <v>46223.0</v>
      </c>
      <c r="B110" s="21" t="s">
        <v>63</v>
      </c>
      <c r="C110" s="2">
        <v>0.0</v>
      </c>
      <c r="D110" s="23">
        <f t="shared" si="3"/>
        <v>0</v>
      </c>
      <c r="E110" s="24">
        <f>D110/B1</f>
        <v>0</v>
      </c>
      <c r="F110" s="23">
        <f t="shared" si="4"/>
        <v>0</v>
      </c>
      <c r="G110" s="24">
        <f>F110/B2</f>
        <v>0</v>
      </c>
      <c r="H110" s="25">
        <f t="shared" si="5"/>
        <v>0</v>
      </c>
      <c r="I110" s="26">
        <f>H110/B3</f>
        <v>0</v>
      </c>
      <c r="J110" s="22">
        <v>0.0</v>
      </c>
      <c r="K110" s="22">
        <v>0.0</v>
      </c>
      <c r="L110" s="22">
        <v>0.0</v>
      </c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</row>
    <row r="111">
      <c r="A111" s="12">
        <v>46224.0</v>
      </c>
      <c r="B111" s="21" t="s">
        <v>61</v>
      </c>
      <c r="C111" s="2">
        <v>0.0</v>
      </c>
      <c r="D111" s="23">
        <f t="shared" si="3"/>
        <v>0</v>
      </c>
      <c r="E111" s="24">
        <f>D111/B1</f>
        <v>0</v>
      </c>
      <c r="F111" s="23">
        <f t="shared" si="4"/>
        <v>0</v>
      </c>
      <c r="G111" s="24">
        <f>F111/B2</f>
        <v>0</v>
      </c>
      <c r="H111" s="25">
        <f t="shared" si="5"/>
        <v>0</v>
      </c>
      <c r="I111" s="26">
        <f>H111/B3</f>
        <v>0</v>
      </c>
      <c r="J111" s="22">
        <v>0.0</v>
      </c>
      <c r="K111" s="22">
        <v>0.0</v>
      </c>
      <c r="L111" s="22">
        <v>0.0</v>
      </c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</row>
    <row r="112">
      <c r="A112" s="12">
        <v>46224.0</v>
      </c>
      <c r="B112" s="21" t="s">
        <v>62</v>
      </c>
      <c r="C112" s="2">
        <v>0.0</v>
      </c>
      <c r="D112" s="23">
        <f t="shared" si="3"/>
        <v>0</v>
      </c>
      <c r="E112" s="24">
        <f>D112/B1</f>
        <v>0</v>
      </c>
      <c r="F112" s="23">
        <f t="shared" si="4"/>
        <v>0</v>
      </c>
      <c r="G112" s="24">
        <f>F112/B2</f>
        <v>0</v>
      </c>
      <c r="H112" s="25">
        <f t="shared" si="5"/>
        <v>0</v>
      </c>
      <c r="I112" s="26">
        <f>H112/B3</f>
        <v>0</v>
      </c>
      <c r="J112" s="22">
        <v>0.0</v>
      </c>
      <c r="K112" s="22">
        <v>0.0</v>
      </c>
      <c r="L112" s="22">
        <v>0.0</v>
      </c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</row>
    <row r="113">
      <c r="A113" s="12">
        <v>46224.0</v>
      </c>
      <c r="B113" s="21" t="s">
        <v>63</v>
      </c>
      <c r="C113" s="2">
        <v>0.0</v>
      </c>
      <c r="D113" s="23">
        <f t="shared" si="3"/>
        <v>0</v>
      </c>
      <c r="E113" s="24">
        <f>D113/B1</f>
        <v>0</v>
      </c>
      <c r="F113" s="23">
        <f t="shared" si="4"/>
        <v>0</v>
      </c>
      <c r="G113" s="24">
        <f>F113/B2</f>
        <v>0</v>
      </c>
      <c r="H113" s="25">
        <f t="shared" si="5"/>
        <v>0</v>
      </c>
      <c r="I113" s="26">
        <f>H113/B3</f>
        <v>0</v>
      </c>
      <c r="J113" s="22">
        <v>0.0</v>
      </c>
      <c r="K113" s="22">
        <v>0.0</v>
      </c>
      <c r="L113" s="22">
        <v>0.0</v>
      </c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</row>
    <row r="114">
      <c r="A114" s="12">
        <v>46225.0</v>
      </c>
      <c r="B114" s="21" t="s">
        <v>61</v>
      </c>
      <c r="C114" s="2">
        <v>0.0</v>
      </c>
      <c r="D114" s="23">
        <f t="shared" si="3"/>
        <v>0</v>
      </c>
      <c r="E114" s="24">
        <f>D114/B1</f>
        <v>0</v>
      </c>
      <c r="F114" s="23">
        <f t="shared" si="4"/>
        <v>0</v>
      </c>
      <c r="G114" s="24">
        <f>F114/B2</f>
        <v>0</v>
      </c>
      <c r="H114" s="25">
        <f t="shared" si="5"/>
        <v>0</v>
      </c>
      <c r="I114" s="26">
        <f>H114/B3</f>
        <v>0</v>
      </c>
      <c r="J114" s="22">
        <v>0.0</v>
      </c>
      <c r="K114" s="22">
        <v>0.0</v>
      </c>
      <c r="L114" s="22">
        <v>0.0</v>
      </c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</row>
    <row r="115">
      <c r="A115" s="12">
        <v>46225.0</v>
      </c>
      <c r="B115" s="21" t="s">
        <v>62</v>
      </c>
      <c r="C115" s="2">
        <v>0.0</v>
      </c>
      <c r="D115" s="23">
        <f t="shared" si="3"/>
        <v>0</v>
      </c>
      <c r="E115" s="24">
        <f>D115/B1</f>
        <v>0</v>
      </c>
      <c r="F115" s="23">
        <f t="shared" si="4"/>
        <v>0</v>
      </c>
      <c r="G115" s="24">
        <f>F115/B2</f>
        <v>0</v>
      </c>
      <c r="H115" s="25">
        <f t="shared" si="5"/>
        <v>0</v>
      </c>
      <c r="I115" s="26">
        <f>H115/B3</f>
        <v>0</v>
      </c>
      <c r="J115" s="22">
        <v>0.0</v>
      </c>
      <c r="K115" s="22">
        <v>0.0</v>
      </c>
      <c r="L115" s="22">
        <v>0.0</v>
      </c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</row>
    <row r="116">
      <c r="A116" s="12">
        <v>46225.0</v>
      </c>
      <c r="B116" s="21" t="s">
        <v>63</v>
      </c>
      <c r="C116" s="2">
        <v>0.0</v>
      </c>
      <c r="D116" s="23">
        <f t="shared" si="3"/>
        <v>0</v>
      </c>
      <c r="E116" s="24">
        <f>D116/B1</f>
        <v>0</v>
      </c>
      <c r="F116" s="23">
        <f t="shared" si="4"/>
        <v>0</v>
      </c>
      <c r="G116" s="24">
        <f>F116/B2</f>
        <v>0</v>
      </c>
      <c r="H116" s="25">
        <f t="shared" si="5"/>
        <v>0</v>
      </c>
      <c r="I116" s="26">
        <f>H116/B3</f>
        <v>0</v>
      </c>
      <c r="J116" s="22">
        <v>0.0</v>
      </c>
      <c r="K116" s="22">
        <v>0.0</v>
      </c>
      <c r="L116" s="22">
        <v>0.0</v>
      </c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</row>
    <row r="117">
      <c r="A117" s="12">
        <v>46226.0</v>
      </c>
      <c r="B117" s="21" t="s">
        <v>61</v>
      </c>
      <c r="C117" s="2">
        <v>0.0</v>
      </c>
      <c r="D117" s="23">
        <f t="shared" si="3"/>
        <v>0</v>
      </c>
      <c r="E117" s="24">
        <f>D117/B1</f>
        <v>0</v>
      </c>
      <c r="F117" s="23">
        <f t="shared" si="4"/>
        <v>0</v>
      </c>
      <c r="G117" s="24">
        <f>F117/B2</f>
        <v>0</v>
      </c>
      <c r="H117" s="25">
        <f t="shared" si="5"/>
        <v>0</v>
      </c>
      <c r="I117" s="26">
        <f>H117/B3</f>
        <v>0</v>
      </c>
      <c r="J117" s="22">
        <v>0.0</v>
      </c>
      <c r="K117" s="22">
        <v>0.0</v>
      </c>
      <c r="L117" s="22">
        <v>0.0</v>
      </c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</row>
    <row r="118">
      <c r="A118" s="12">
        <v>46226.0</v>
      </c>
      <c r="B118" s="21" t="s">
        <v>62</v>
      </c>
      <c r="C118" s="2">
        <v>0.0</v>
      </c>
      <c r="D118" s="23">
        <f t="shared" si="3"/>
        <v>0</v>
      </c>
      <c r="E118" s="24">
        <f>D118/B1</f>
        <v>0</v>
      </c>
      <c r="F118" s="23">
        <f t="shared" si="4"/>
        <v>0</v>
      </c>
      <c r="G118" s="24">
        <f>F118/B2</f>
        <v>0</v>
      </c>
      <c r="H118" s="25">
        <f t="shared" si="5"/>
        <v>0</v>
      </c>
      <c r="I118" s="26">
        <f>H118/B3</f>
        <v>0</v>
      </c>
      <c r="J118" s="22">
        <v>0.0</v>
      </c>
      <c r="K118" s="22">
        <v>0.0</v>
      </c>
      <c r="L118" s="22">
        <v>0.0</v>
      </c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</row>
    <row r="119">
      <c r="A119" s="12">
        <v>46226.0</v>
      </c>
      <c r="B119" s="21" t="s">
        <v>63</v>
      </c>
      <c r="C119" s="2">
        <v>0.0</v>
      </c>
      <c r="D119" s="23">
        <f t="shared" si="3"/>
        <v>0</v>
      </c>
      <c r="E119" s="24">
        <f>D119/B1</f>
        <v>0</v>
      </c>
      <c r="F119" s="23">
        <f t="shared" si="4"/>
        <v>0</v>
      </c>
      <c r="G119" s="24">
        <f>F119/B2</f>
        <v>0</v>
      </c>
      <c r="H119" s="25">
        <f t="shared" si="5"/>
        <v>0</v>
      </c>
      <c r="I119" s="26">
        <f>H119/B3</f>
        <v>0</v>
      </c>
      <c r="J119" s="22">
        <v>0.0</v>
      </c>
      <c r="K119" s="22">
        <v>0.0</v>
      </c>
      <c r="L119" s="22">
        <v>0.0</v>
      </c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</row>
    <row r="120">
      <c r="A120" s="12">
        <v>46227.0</v>
      </c>
      <c r="B120" s="21" t="s">
        <v>61</v>
      </c>
      <c r="C120" s="2">
        <v>0.0</v>
      </c>
      <c r="D120" s="23">
        <f t="shared" si="3"/>
        <v>0</v>
      </c>
      <c r="E120" s="24">
        <f>D120/B1</f>
        <v>0</v>
      </c>
      <c r="F120" s="23">
        <f t="shared" si="4"/>
        <v>0</v>
      </c>
      <c r="G120" s="24">
        <f>F120/B2</f>
        <v>0</v>
      </c>
      <c r="H120" s="25">
        <f t="shared" si="5"/>
        <v>0</v>
      </c>
      <c r="I120" s="26">
        <f>H120/B3</f>
        <v>0</v>
      </c>
      <c r="J120" s="22">
        <v>0.0</v>
      </c>
      <c r="K120" s="22">
        <v>0.0</v>
      </c>
      <c r="L120" s="22">
        <v>0.0</v>
      </c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</row>
    <row r="121">
      <c r="A121" s="12">
        <v>46227.0</v>
      </c>
      <c r="B121" s="21" t="s">
        <v>62</v>
      </c>
      <c r="C121" s="2">
        <v>0.0</v>
      </c>
      <c r="D121" s="23">
        <f t="shared" si="3"/>
        <v>0</v>
      </c>
      <c r="E121" s="24">
        <f>D121/B1</f>
        <v>0</v>
      </c>
      <c r="F121" s="23">
        <f t="shared" si="4"/>
        <v>0</v>
      </c>
      <c r="G121" s="24">
        <f>F121/B2</f>
        <v>0</v>
      </c>
      <c r="H121" s="25">
        <f t="shared" si="5"/>
        <v>0</v>
      </c>
      <c r="I121" s="26">
        <f>H121/B3</f>
        <v>0</v>
      </c>
      <c r="J121" s="22">
        <v>0.0</v>
      </c>
      <c r="K121" s="22">
        <v>0.0</v>
      </c>
      <c r="L121" s="22">
        <v>0.0</v>
      </c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</row>
    <row r="122">
      <c r="A122" s="12">
        <v>46227.0</v>
      </c>
      <c r="B122" s="21" t="s">
        <v>63</v>
      </c>
      <c r="C122" s="2">
        <v>0.0</v>
      </c>
      <c r="D122" s="23">
        <f t="shared" si="3"/>
        <v>0</v>
      </c>
      <c r="E122" s="24">
        <f>D122/B1</f>
        <v>0</v>
      </c>
      <c r="F122" s="23">
        <f t="shared" si="4"/>
        <v>0</v>
      </c>
      <c r="G122" s="24">
        <f>F122/B2</f>
        <v>0</v>
      </c>
      <c r="H122" s="25">
        <f t="shared" si="5"/>
        <v>0</v>
      </c>
      <c r="I122" s="26">
        <f>H122/B3</f>
        <v>0</v>
      </c>
      <c r="J122" s="22">
        <v>0.0</v>
      </c>
      <c r="K122" s="22">
        <v>0.0</v>
      </c>
      <c r="L122" s="22">
        <v>0.0</v>
      </c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</row>
    <row r="123">
      <c r="A123" s="12">
        <v>46228.0</v>
      </c>
      <c r="B123" s="21" t="s">
        <v>61</v>
      </c>
      <c r="C123" s="2">
        <v>0.0</v>
      </c>
      <c r="D123" s="23">
        <f t="shared" si="3"/>
        <v>0</v>
      </c>
      <c r="E123" s="24">
        <f>D123/B1</f>
        <v>0</v>
      </c>
      <c r="F123" s="23">
        <f t="shared" si="4"/>
        <v>0</v>
      </c>
      <c r="G123" s="24">
        <f>F123/B2</f>
        <v>0</v>
      </c>
      <c r="H123" s="25">
        <f t="shared" si="5"/>
        <v>0</v>
      </c>
      <c r="I123" s="26">
        <f>H123/B3</f>
        <v>0</v>
      </c>
      <c r="J123" s="22">
        <v>0.0</v>
      </c>
      <c r="K123" s="22">
        <v>0.0</v>
      </c>
      <c r="L123" s="22">
        <v>0.0</v>
      </c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</row>
    <row r="124">
      <c r="A124" s="12">
        <v>46228.0</v>
      </c>
      <c r="B124" s="21" t="s">
        <v>62</v>
      </c>
      <c r="C124" s="2">
        <v>0.0</v>
      </c>
      <c r="D124" s="23">
        <f t="shared" si="3"/>
        <v>0</v>
      </c>
      <c r="E124" s="24">
        <f>D124/B1</f>
        <v>0</v>
      </c>
      <c r="F124" s="23">
        <f t="shared" si="4"/>
        <v>0</v>
      </c>
      <c r="G124" s="24">
        <f>F124/B2</f>
        <v>0</v>
      </c>
      <c r="H124" s="25">
        <f t="shared" si="5"/>
        <v>0</v>
      </c>
      <c r="I124" s="26">
        <f>H124/B3</f>
        <v>0</v>
      </c>
      <c r="J124" s="22">
        <v>0.0</v>
      </c>
      <c r="K124" s="22">
        <v>0.0</v>
      </c>
      <c r="L124" s="22">
        <v>0.0</v>
      </c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</row>
    <row r="125">
      <c r="A125" s="12">
        <v>46228.0</v>
      </c>
      <c r="B125" s="21" t="s">
        <v>63</v>
      </c>
      <c r="C125" s="2">
        <v>0.0</v>
      </c>
      <c r="D125" s="23">
        <f t="shared" si="3"/>
        <v>0</v>
      </c>
      <c r="E125" s="24">
        <f>D125/B1</f>
        <v>0</v>
      </c>
      <c r="F125" s="23">
        <f t="shared" si="4"/>
        <v>0</v>
      </c>
      <c r="G125" s="24">
        <f>F125/B2</f>
        <v>0</v>
      </c>
      <c r="H125" s="25">
        <f t="shared" si="5"/>
        <v>0</v>
      </c>
      <c r="I125" s="26">
        <f>H125/B3</f>
        <v>0</v>
      </c>
      <c r="J125" s="22">
        <v>0.0</v>
      </c>
      <c r="K125" s="22">
        <v>0.0</v>
      </c>
      <c r="L125" s="22">
        <v>0.0</v>
      </c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</row>
    <row r="126">
      <c r="A126" s="12">
        <v>46229.0</v>
      </c>
      <c r="B126" s="21" t="s">
        <v>61</v>
      </c>
      <c r="C126" s="2">
        <v>0.0</v>
      </c>
      <c r="D126" s="23">
        <f t="shared" si="3"/>
        <v>0</v>
      </c>
      <c r="E126" s="24">
        <f>D126/B1</f>
        <v>0</v>
      </c>
      <c r="F126" s="23">
        <f t="shared" si="4"/>
        <v>0</v>
      </c>
      <c r="G126" s="24">
        <f>F126/B2</f>
        <v>0</v>
      </c>
      <c r="H126" s="25">
        <f t="shared" si="5"/>
        <v>0</v>
      </c>
      <c r="I126" s="26">
        <f>H126/B3</f>
        <v>0</v>
      </c>
      <c r="J126" s="22">
        <v>0.0</v>
      </c>
      <c r="K126" s="22">
        <v>0.0</v>
      </c>
      <c r="L126" s="22">
        <v>0.0</v>
      </c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</row>
    <row r="127">
      <c r="A127" s="12">
        <v>46229.0</v>
      </c>
      <c r="B127" s="21" t="s">
        <v>62</v>
      </c>
      <c r="C127" s="2">
        <v>0.0</v>
      </c>
      <c r="D127" s="23">
        <f t="shared" si="3"/>
        <v>0</v>
      </c>
      <c r="E127" s="24">
        <f>D127/B1</f>
        <v>0</v>
      </c>
      <c r="F127" s="23">
        <f t="shared" si="4"/>
        <v>0</v>
      </c>
      <c r="G127" s="24">
        <f>F127/B2</f>
        <v>0</v>
      </c>
      <c r="H127" s="25">
        <f t="shared" si="5"/>
        <v>0</v>
      </c>
      <c r="I127" s="26">
        <f>H127/B3</f>
        <v>0</v>
      </c>
      <c r="J127" s="22">
        <v>0.0</v>
      </c>
      <c r="K127" s="22">
        <v>0.0</v>
      </c>
      <c r="L127" s="22">
        <v>0.0</v>
      </c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</row>
    <row r="128">
      <c r="A128" s="12">
        <v>46229.0</v>
      </c>
      <c r="B128" s="21" t="s">
        <v>63</v>
      </c>
      <c r="C128" s="2">
        <v>0.0</v>
      </c>
      <c r="D128" s="23">
        <f t="shared" si="3"/>
        <v>0</v>
      </c>
      <c r="E128" s="24">
        <f>D128/B1</f>
        <v>0</v>
      </c>
      <c r="F128" s="23">
        <f t="shared" si="4"/>
        <v>0</v>
      </c>
      <c r="G128" s="24">
        <f>F128/B2</f>
        <v>0</v>
      </c>
      <c r="H128" s="25">
        <f t="shared" si="5"/>
        <v>0</v>
      </c>
      <c r="I128" s="26">
        <f>H128/B3</f>
        <v>0</v>
      </c>
      <c r="J128" s="22">
        <v>0.0</v>
      </c>
      <c r="K128" s="22">
        <v>0.0</v>
      </c>
      <c r="L128" s="22">
        <v>0.0</v>
      </c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</row>
    <row r="129">
      <c r="A129" s="12">
        <v>46230.0</v>
      </c>
      <c r="B129" s="6" t="s">
        <v>61</v>
      </c>
      <c r="C129" s="2">
        <v>0.0</v>
      </c>
      <c r="D129" s="16">
        <f t="shared" si="3"/>
        <v>0</v>
      </c>
      <c r="E129" s="17">
        <f>D129/B1</f>
        <v>0</v>
      </c>
      <c r="F129" s="16">
        <f t="shared" si="4"/>
        <v>0</v>
      </c>
      <c r="G129" s="17">
        <f>F129/B2</f>
        <v>0</v>
      </c>
      <c r="H129" s="15">
        <f t="shared" si="5"/>
        <v>0</v>
      </c>
      <c r="I129" s="14">
        <f>H129/B3</f>
        <v>0</v>
      </c>
      <c r="J129" s="2">
        <v>0.0</v>
      </c>
      <c r="K129" s="2">
        <v>0.0</v>
      </c>
      <c r="L129" s="2">
        <v>0.0</v>
      </c>
    </row>
    <row r="130">
      <c r="A130" s="12">
        <v>46230.0</v>
      </c>
      <c r="B130" s="6" t="s">
        <v>62</v>
      </c>
      <c r="C130" s="2">
        <v>0.0</v>
      </c>
      <c r="D130" s="16">
        <f t="shared" si="3"/>
        <v>0</v>
      </c>
      <c r="E130" s="17">
        <f>D130/B1</f>
        <v>0</v>
      </c>
      <c r="F130" s="16">
        <f t="shared" si="4"/>
        <v>0</v>
      </c>
      <c r="G130" s="17">
        <f>F130/B2</f>
        <v>0</v>
      </c>
      <c r="H130" s="15">
        <f t="shared" si="5"/>
        <v>0</v>
      </c>
      <c r="I130" s="14">
        <f>H130/B3</f>
        <v>0</v>
      </c>
      <c r="J130" s="2">
        <v>0.0</v>
      </c>
      <c r="K130" s="2">
        <v>0.0</v>
      </c>
      <c r="L130" s="2">
        <v>0.0</v>
      </c>
    </row>
    <row r="131">
      <c r="A131" s="12">
        <v>46230.0</v>
      </c>
      <c r="B131" s="6" t="s">
        <v>63</v>
      </c>
      <c r="C131" s="2">
        <v>0.0</v>
      </c>
      <c r="D131" s="16">
        <f t="shared" si="3"/>
        <v>0</v>
      </c>
      <c r="E131" s="17">
        <f>D131/B1</f>
        <v>0</v>
      </c>
      <c r="F131" s="16">
        <f t="shared" si="4"/>
        <v>0</v>
      </c>
      <c r="G131" s="17">
        <f>F131/B2</f>
        <v>0</v>
      </c>
      <c r="H131" s="15">
        <f t="shared" si="5"/>
        <v>0</v>
      </c>
      <c r="I131" s="14">
        <f>H131/B3</f>
        <v>0</v>
      </c>
      <c r="J131" s="2">
        <v>0.0</v>
      </c>
      <c r="K131" s="2">
        <v>0.0</v>
      </c>
      <c r="L131" s="2">
        <v>0.0</v>
      </c>
    </row>
    <row r="132">
      <c r="A132" s="12">
        <v>46231.0</v>
      </c>
      <c r="B132" s="6" t="s">
        <v>61</v>
      </c>
      <c r="C132" s="2">
        <v>0.0</v>
      </c>
      <c r="D132" s="16">
        <f t="shared" si="3"/>
        <v>0</v>
      </c>
      <c r="E132" s="17">
        <f>D132/B1</f>
        <v>0</v>
      </c>
      <c r="F132" s="16">
        <f t="shared" si="4"/>
        <v>0</v>
      </c>
      <c r="G132" s="17">
        <f>F132/B2</f>
        <v>0</v>
      </c>
      <c r="H132" s="15">
        <f t="shared" si="5"/>
        <v>0</v>
      </c>
      <c r="I132" s="14">
        <f>H132/B3</f>
        <v>0</v>
      </c>
      <c r="J132" s="2">
        <v>0.0</v>
      </c>
      <c r="K132" s="2">
        <v>0.0</v>
      </c>
      <c r="L132" s="2">
        <v>0.0</v>
      </c>
    </row>
    <row r="133">
      <c r="A133" s="12">
        <v>46231.0</v>
      </c>
      <c r="B133" s="6" t="s">
        <v>62</v>
      </c>
      <c r="C133" s="2">
        <v>0.0</v>
      </c>
      <c r="D133" s="16">
        <f t="shared" si="3"/>
        <v>0</v>
      </c>
      <c r="E133" s="17">
        <f>D133/B1</f>
        <v>0</v>
      </c>
      <c r="F133" s="16">
        <f t="shared" si="4"/>
        <v>0</v>
      </c>
      <c r="G133" s="17">
        <f>F133/B2</f>
        <v>0</v>
      </c>
      <c r="H133" s="15">
        <f t="shared" si="5"/>
        <v>0</v>
      </c>
      <c r="I133" s="14">
        <f>H133/B3</f>
        <v>0</v>
      </c>
      <c r="J133" s="2">
        <v>0.0</v>
      </c>
      <c r="K133" s="2">
        <v>0.0</v>
      </c>
      <c r="L133" s="2">
        <v>0.0</v>
      </c>
    </row>
    <row r="134">
      <c r="A134" s="12">
        <v>46231.0</v>
      </c>
      <c r="B134" s="6" t="s">
        <v>63</v>
      </c>
      <c r="C134" s="2">
        <v>0.0</v>
      </c>
      <c r="D134" s="16">
        <f t="shared" si="3"/>
        <v>0</v>
      </c>
      <c r="E134" s="17">
        <f>D134/B1</f>
        <v>0</v>
      </c>
      <c r="F134" s="16">
        <f t="shared" si="4"/>
        <v>0</v>
      </c>
      <c r="G134" s="17">
        <f>F134/B2</f>
        <v>0</v>
      </c>
      <c r="H134" s="15">
        <f t="shared" si="5"/>
        <v>0</v>
      </c>
      <c r="I134" s="14">
        <f>H134/B3</f>
        <v>0</v>
      </c>
      <c r="J134" s="2">
        <v>0.0</v>
      </c>
      <c r="K134" s="2">
        <v>0.0</v>
      </c>
      <c r="L134" s="2">
        <v>0.0</v>
      </c>
    </row>
    <row r="135">
      <c r="A135" s="12">
        <v>46232.0</v>
      </c>
      <c r="B135" s="6" t="s">
        <v>61</v>
      </c>
      <c r="C135" s="2">
        <v>0.0</v>
      </c>
      <c r="D135" s="16">
        <f t="shared" si="3"/>
        <v>0</v>
      </c>
      <c r="E135" s="17">
        <f>D135/B1</f>
        <v>0</v>
      </c>
      <c r="F135" s="16">
        <f t="shared" si="4"/>
        <v>0</v>
      </c>
      <c r="G135" s="17">
        <f>F135/B2</f>
        <v>0</v>
      </c>
      <c r="H135" s="15">
        <f t="shared" si="5"/>
        <v>0</v>
      </c>
      <c r="I135" s="14">
        <f>H135/B3</f>
        <v>0</v>
      </c>
      <c r="J135" s="2">
        <v>0.0</v>
      </c>
      <c r="K135" s="2">
        <v>0.0</v>
      </c>
      <c r="L135" s="2">
        <v>0.0</v>
      </c>
    </row>
    <row r="136">
      <c r="A136" s="12">
        <v>46232.0</v>
      </c>
      <c r="B136" s="6" t="s">
        <v>62</v>
      </c>
      <c r="C136" s="2">
        <v>0.0</v>
      </c>
      <c r="D136" s="16">
        <f t="shared" si="3"/>
        <v>0</v>
      </c>
      <c r="E136" s="17">
        <f>D136/B1</f>
        <v>0</v>
      </c>
      <c r="F136" s="16">
        <f t="shared" si="4"/>
        <v>0</v>
      </c>
      <c r="G136" s="17">
        <f>F136/B2</f>
        <v>0</v>
      </c>
      <c r="H136" s="15">
        <f t="shared" si="5"/>
        <v>0</v>
      </c>
      <c r="I136" s="14">
        <f>H136/B3</f>
        <v>0</v>
      </c>
      <c r="J136" s="2">
        <v>0.0</v>
      </c>
      <c r="K136" s="2">
        <v>0.0</v>
      </c>
      <c r="L136" s="2">
        <v>0.0</v>
      </c>
    </row>
    <row r="137">
      <c r="A137" s="12">
        <v>46232.0</v>
      </c>
      <c r="B137" s="6" t="s">
        <v>63</v>
      </c>
      <c r="C137" s="2">
        <v>0.0</v>
      </c>
      <c r="D137" s="16">
        <f t="shared" si="3"/>
        <v>0</v>
      </c>
      <c r="E137" s="17">
        <f>D137/B1</f>
        <v>0</v>
      </c>
      <c r="F137" s="16">
        <f t="shared" si="4"/>
        <v>0</v>
      </c>
      <c r="G137" s="17">
        <f>F137/B2</f>
        <v>0</v>
      </c>
      <c r="H137" s="15">
        <f t="shared" si="5"/>
        <v>0</v>
      </c>
      <c r="I137" s="14">
        <f>H137/B3</f>
        <v>0</v>
      </c>
      <c r="J137" s="2">
        <v>0.0</v>
      </c>
      <c r="K137" s="2">
        <v>0.0</v>
      </c>
      <c r="L137" s="2">
        <v>0.0</v>
      </c>
    </row>
    <row r="138">
      <c r="A138" s="12">
        <v>46233.0</v>
      </c>
      <c r="B138" s="6" t="s">
        <v>61</v>
      </c>
      <c r="C138" s="2">
        <v>0.0</v>
      </c>
      <c r="D138" s="16">
        <f t="shared" si="3"/>
        <v>0</v>
      </c>
      <c r="E138" s="17">
        <f>D138/B1</f>
        <v>0</v>
      </c>
      <c r="F138" s="16">
        <f t="shared" si="4"/>
        <v>0</v>
      </c>
      <c r="G138" s="17">
        <f>F138/B2</f>
        <v>0</v>
      </c>
      <c r="H138" s="15">
        <f t="shared" si="5"/>
        <v>0</v>
      </c>
      <c r="I138" s="14">
        <f>H138/B3</f>
        <v>0</v>
      </c>
      <c r="J138" s="2">
        <v>0.0</v>
      </c>
      <c r="K138" s="2">
        <v>0.0</v>
      </c>
      <c r="L138" s="2">
        <v>0.0</v>
      </c>
    </row>
    <row r="139">
      <c r="A139" s="12">
        <v>46233.0</v>
      </c>
      <c r="B139" s="6" t="s">
        <v>62</v>
      </c>
      <c r="C139" s="2">
        <v>0.0</v>
      </c>
      <c r="D139" s="16">
        <f t="shared" si="3"/>
        <v>0</v>
      </c>
      <c r="E139" s="17">
        <f>D139/B1</f>
        <v>0</v>
      </c>
      <c r="F139" s="16">
        <f t="shared" si="4"/>
        <v>0</v>
      </c>
      <c r="G139" s="17">
        <f>F139/B2</f>
        <v>0</v>
      </c>
      <c r="H139" s="15">
        <f t="shared" si="5"/>
        <v>0</v>
      </c>
      <c r="I139" s="14">
        <f>H139/B3</f>
        <v>0</v>
      </c>
      <c r="J139" s="2">
        <v>0.0</v>
      </c>
      <c r="K139" s="2">
        <v>0.0</v>
      </c>
      <c r="L139" s="2">
        <v>0.0</v>
      </c>
    </row>
    <row r="140">
      <c r="A140" s="12">
        <v>46233.0</v>
      </c>
      <c r="B140" s="6" t="s">
        <v>63</v>
      </c>
      <c r="C140" s="2">
        <v>0.0</v>
      </c>
      <c r="D140" s="16">
        <f t="shared" si="3"/>
        <v>0</v>
      </c>
      <c r="E140" s="17">
        <f>D140/B1</f>
        <v>0</v>
      </c>
      <c r="F140" s="16">
        <f t="shared" si="4"/>
        <v>0</v>
      </c>
      <c r="G140" s="17">
        <f>F140/B2</f>
        <v>0</v>
      </c>
      <c r="H140" s="15">
        <f t="shared" si="5"/>
        <v>0</v>
      </c>
      <c r="I140" s="14">
        <f>H140/B3</f>
        <v>0</v>
      </c>
      <c r="J140" s="2">
        <v>0.0</v>
      </c>
      <c r="K140" s="2">
        <v>0.0</v>
      </c>
      <c r="L140" s="2">
        <v>0.0</v>
      </c>
    </row>
    <row r="141">
      <c r="A141" s="12">
        <v>46234.0</v>
      </c>
      <c r="B141" s="21" t="s">
        <v>61</v>
      </c>
      <c r="C141" s="2">
        <v>0.0</v>
      </c>
      <c r="D141" s="23">
        <f t="shared" si="3"/>
        <v>0</v>
      </c>
      <c r="E141" s="24">
        <f>D141/B1</f>
        <v>0</v>
      </c>
      <c r="F141" s="23">
        <f t="shared" si="4"/>
        <v>0</v>
      </c>
      <c r="G141" s="24">
        <f>F141/B2</f>
        <v>0</v>
      </c>
      <c r="H141" s="25">
        <f t="shared" si="5"/>
        <v>0</v>
      </c>
      <c r="I141" s="26">
        <f>H141/B3</f>
        <v>0</v>
      </c>
      <c r="J141" s="22">
        <v>0.0</v>
      </c>
      <c r="K141" s="22">
        <v>0.0</v>
      </c>
      <c r="L141" s="22">
        <v>0.0</v>
      </c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</row>
    <row r="142">
      <c r="A142" s="12">
        <v>46234.0</v>
      </c>
      <c r="B142" s="21" t="s">
        <v>62</v>
      </c>
      <c r="C142" s="2">
        <v>0.0</v>
      </c>
      <c r="D142" s="23">
        <f t="shared" si="3"/>
        <v>0</v>
      </c>
      <c r="E142" s="24">
        <f>D142/B1</f>
        <v>0</v>
      </c>
      <c r="F142" s="23">
        <f t="shared" si="4"/>
        <v>0</v>
      </c>
      <c r="G142" s="24">
        <f>F142/B2</f>
        <v>0</v>
      </c>
      <c r="H142" s="25">
        <f t="shared" si="5"/>
        <v>0</v>
      </c>
      <c r="I142" s="26">
        <f>H142/B3</f>
        <v>0</v>
      </c>
      <c r="J142" s="22">
        <v>0.0</v>
      </c>
      <c r="K142" s="22">
        <v>0.0</v>
      </c>
      <c r="L142" s="22">
        <v>0.0</v>
      </c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</row>
    <row r="143">
      <c r="A143" s="12">
        <v>46234.0</v>
      </c>
      <c r="B143" s="21" t="s">
        <v>63</v>
      </c>
      <c r="C143" s="2">
        <v>0.0</v>
      </c>
      <c r="D143" s="23">
        <f t="shared" si="3"/>
        <v>0</v>
      </c>
      <c r="E143" s="24">
        <f>D143/B1</f>
        <v>0</v>
      </c>
      <c r="F143" s="23">
        <f t="shared" si="4"/>
        <v>0</v>
      </c>
      <c r="G143" s="24">
        <f>F143/B2</f>
        <v>0</v>
      </c>
      <c r="H143" s="25">
        <f t="shared" si="5"/>
        <v>0</v>
      </c>
      <c r="I143" s="26">
        <f>H143/B3</f>
        <v>0</v>
      </c>
      <c r="J143" s="22">
        <v>0.0</v>
      </c>
      <c r="K143" s="22">
        <v>0.0</v>
      </c>
      <c r="L143" s="22">
        <v>0.0</v>
      </c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</row>
    <row r="144">
      <c r="A144" s="12">
        <v>46235.0</v>
      </c>
      <c r="B144" s="21" t="s">
        <v>61</v>
      </c>
      <c r="C144" s="2">
        <v>0.0</v>
      </c>
      <c r="D144" s="23">
        <f t="shared" si="3"/>
        <v>0</v>
      </c>
      <c r="E144" s="24">
        <f>D144/B1</f>
        <v>0</v>
      </c>
      <c r="F144" s="23">
        <f t="shared" si="4"/>
        <v>0</v>
      </c>
      <c r="G144" s="24">
        <f>F144/B2</f>
        <v>0</v>
      </c>
      <c r="H144" s="25">
        <f t="shared" si="5"/>
        <v>0</v>
      </c>
      <c r="I144" s="26">
        <f>H144/B3</f>
        <v>0</v>
      </c>
      <c r="J144" s="22">
        <v>0.0</v>
      </c>
      <c r="K144" s="22">
        <v>0.0</v>
      </c>
      <c r="L144" s="22">
        <v>0.0</v>
      </c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</row>
    <row r="145">
      <c r="A145" s="12">
        <v>46235.0</v>
      </c>
      <c r="B145" s="21" t="s">
        <v>62</v>
      </c>
      <c r="C145" s="2">
        <v>0.0</v>
      </c>
      <c r="D145" s="23">
        <f t="shared" si="3"/>
        <v>0</v>
      </c>
      <c r="E145" s="24">
        <f>D145/B1</f>
        <v>0</v>
      </c>
      <c r="F145" s="23">
        <f t="shared" si="4"/>
        <v>0</v>
      </c>
      <c r="G145" s="24">
        <f>F145/B2</f>
        <v>0</v>
      </c>
      <c r="H145" s="25">
        <f t="shared" si="5"/>
        <v>0</v>
      </c>
      <c r="I145" s="26">
        <f>H145/B3</f>
        <v>0</v>
      </c>
      <c r="J145" s="22">
        <v>0.0</v>
      </c>
      <c r="K145" s="22">
        <v>0.0</v>
      </c>
      <c r="L145" s="22">
        <v>0.0</v>
      </c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</row>
    <row r="146">
      <c r="A146" s="12">
        <v>46235.0</v>
      </c>
      <c r="B146" s="21" t="s">
        <v>63</v>
      </c>
      <c r="C146" s="2">
        <v>0.0</v>
      </c>
      <c r="D146" s="23">
        <f t="shared" si="3"/>
        <v>0</v>
      </c>
      <c r="E146" s="24">
        <f>D146/B1</f>
        <v>0</v>
      </c>
      <c r="F146" s="23">
        <f t="shared" si="4"/>
        <v>0</v>
      </c>
      <c r="G146" s="24">
        <f>F146/B2</f>
        <v>0</v>
      </c>
      <c r="H146" s="25">
        <f t="shared" si="5"/>
        <v>0</v>
      </c>
      <c r="I146" s="26">
        <f>H146/B3</f>
        <v>0</v>
      </c>
      <c r="J146" s="22">
        <v>0.0</v>
      </c>
      <c r="K146" s="22">
        <v>0.0</v>
      </c>
      <c r="L146" s="22">
        <v>0.0</v>
      </c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</row>
    <row r="147">
      <c r="A147" s="12">
        <v>46236.0</v>
      </c>
      <c r="B147" s="21" t="s">
        <v>61</v>
      </c>
      <c r="C147" s="2">
        <v>0.0</v>
      </c>
      <c r="D147" s="23">
        <f t="shared" si="3"/>
        <v>0</v>
      </c>
      <c r="E147" s="24">
        <f>D147/B1</f>
        <v>0</v>
      </c>
      <c r="F147" s="23">
        <f t="shared" si="4"/>
        <v>0</v>
      </c>
      <c r="G147" s="24">
        <f>F147/B2</f>
        <v>0</v>
      </c>
      <c r="H147" s="25">
        <f t="shared" si="5"/>
        <v>0</v>
      </c>
      <c r="I147" s="26">
        <f>H147/B3</f>
        <v>0</v>
      </c>
      <c r="J147" s="22">
        <v>0.0</v>
      </c>
      <c r="K147" s="22">
        <v>0.0</v>
      </c>
      <c r="L147" s="22">
        <v>0.0</v>
      </c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</row>
    <row r="148">
      <c r="A148" s="12">
        <v>46236.0</v>
      </c>
      <c r="B148" s="21" t="s">
        <v>62</v>
      </c>
      <c r="C148" s="2">
        <v>0.0</v>
      </c>
      <c r="D148" s="23">
        <f t="shared" si="3"/>
        <v>0</v>
      </c>
      <c r="E148" s="24">
        <f>D148/B1</f>
        <v>0</v>
      </c>
      <c r="F148" s="23">
        <f t="shared" si="4"/>
        <v>0</v>
      </c>
      <c r="G148" s="24">
        <f>F148/B2</f>
        <v>0</v>
      </c>
      <c r="H148" s="25">
        <f t="shared" si="5"/>
        <v>0</v>
      </c>
      <c r="I148" s="26">
        <f>H148/B3</f>
        <v>0</v>
      </c>
      <c r="J148" s="22">
        <v>0.0</v>
      </c>
      <c r="K148" s="22">
        <v>0.0</v>
      </c>
      <c r="L148" s="22">
        <v>0.0</v>
      </c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</row>
    <row r="149">
      <c r="A149" s="12">
        <v>46236.0</v>
      </c>
      <c r="B149" s="21" t="s">
        <v>63</v>
      </c>
      <c r="C149" s="2">
        <v>0.0</v>
      </c>
      <c r="D149" s="23">
        <f t="shared" si="3"/>
        <v>0</v>
      </c>
      <c r="E149" s="24">
        <f>D149/B1</f>
        <v>0</v>
      </c>
      <c r="F149" s="23">
        <f t="shared" si="4"/>
        <v>0</v>
      </c>
      <c r="G149" s="24">
        <f>F149/B2</f>
        <v>0</v>
      </c>
      <c r="H149" s="25">
        <f t="shared" si="5"/>
        <v>0</v>
      </c>
      <c r="I149" s="26">
        <f>H149/B3</f>
        <v>0</v>
      </c>
      <c r="J149" s="22">
        <v>0.0</v>
      </c>
      <c r="K149" s="22">
        <v>0.0</v>
      </c>
      <c r="L149" s="22">
        <v>0.0</v>
      </c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</row>
    <row r="150">
      <c r="A150" s="12">
        <v>46237.0</v>
      </c>
      <c r="B150" s="21" t="s">
        <v>61</v>
      </c>
      <c r="C150" s="2">
        <v>0.0</v>
      </c>
      <c r="D150" s="23">
        <f t="shared" si="3"/>
        <v>0</v>
      </c>
      <c r="E150" s="24">
        <f>D150/B1</f>
        <v>0</v>
      </c>
      <c r="F150" s="23">
        <f t="shared" si="4"/>
        <v>0</v>
      </c>
      <c r="G150" s="24">
        <f>F150/B2</f>
        <v>0</v>
      </c>
      <c r="H150" s="25">
        <f t="shared" si="5"/>
        <v>0</v>
      </c>
      <c r="I150" s="26">
        <f>H150/B3</f>
        <v>0</v>
      </c>
      <c r="J150" s="22">
        <v>0.0</v>
      </c>
      <c r="K150" s="22">
        <v>0.0</v>
      </c>
      <c r="L150" s="22">
        <v>0.0</v>
      </c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</row>
    <row r="151">
      <c r="A151" s="12">
        <v>46237.0</v>
      </c>
      <c r="B151" s="21" t="s">
        <v>62</v>
      </c>
      <c r="C151" s="2">
        <v>0.0</v>
      </c>
      <c r="D151" s="23">
        <f t="shared" si="3"/>
        <v>0</v>
      </c>
      <c r="E151" s="24">
        <f>D151/B1</f>
        <v>0</v>
      </c>
      <c r="F151" s="23">
        <f t="shared" si="4"/>
        <v>0</v>
      </c>
      <c r="G151" s="24">
        <f>F151/B2</f>
        <v>0</v>
      </c>
      <c r="H151" s="25">
        <f t="shared" si="5"/>
        <v>0</v>
      </c>
      <c r="I151" s="26">
        <f>H151/B3</f>
        <v>0</v>
      </c>
      <c r="J151" s="22">
        <v>0.0</v>
      </c>
      <c r="K151" s="22">
        <v>0.0</v>
      </c>
      <c r="L151" s="22">
        <v>0.0</v>
      </c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</row>
    <row r="152">
      <c r="A152" s="12">
        <v>46237.0</v>
      </c>
      <c r="B152" s="21" t="s">
        <v>63</v>
      </c>
      <c r="C152" s="2">
        <v>0.0</v>
      </c>
      <c r="D152" s="23">
        <f t="shared" si="3"/>
        <v>0</v>
      </c>
      <c r="E152" s="24">
        <f>D152/B1</f>
        <v>0</v>
      </c>
      <c r="F152" s="23">
        <f t="shared" si="4"/>
        <v>0</v>
      </c>
      <c r="G152" s="24">
        <f>F152/B2</f>
        <v>0</v>
      </c>
      <c r="H152" s="25">
        <f t="shared" si="5"/>
        <v>0</v>
      </c>
      <c r="I152" s="26">
        <f>H152/B3</f>
        <v>0</v>
      </c>
      <c r="J152" s="22">
        <v>0.0</v>
      </c>
      <c r="K152" s="22">
        <v>0.0</v>
      </c>
      <c r="L152" s="22">
        <v>0.0</v>
      </c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</row>
    <row r="153">
      <c r="A153" s="12">
        <v>46238.0</v>
      </c>
      <c r="B153" s="21" t="s">
        <v>61</v>
      </c>
      <c r="C153" s="2">
        <v>0.0</v>
      </c>
      <c r="D153" s="23">
        <f t="shared" si="3"/>
        <v>0</v>
      </c>
      <c r="E153" s="24">
        <f>D153/B1</f>
        <v>0</v>
      </c>
      <c r="F153" s="23">
        <f t="shared" si="4"/>
        <v>0</v>
      </c>
      <c r="G153" s="24">
        <f>F153/B2</f>
        <v>0</v>
      </c>
      <c r="H153" s="25">
        <f t="shared" si="5"/>
        <v>0</v>
      </c>
      <c r="I153" s="26">
        <f>H153/B3</f>
        <v>0</v>
      </c>
      <c r="J153" s="22">
        <v>0.0</v>
      </c>
      <c r="K153" s="22">
        <v>0.0</v>
      </c>
      <c r="L153" s="22">
        <v>0.0</v>
      </c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</row>
    <row r="154">
      <c r="A154" s="12">
        <v>46238.0</v>
      </c>
      <c r="B154" s="21" t="s">
        <v>62</v>
      </c>
      <c r="C154" s="2">
        <v>0.0</v>
      </c>
      <c r="D154" s="23">
        <f t="shared" si="3"/>
        <v>0</v>
      </c>
      <c r="E154" s="24">
        <f>D154/B1</f>
        <v>0</v>
      </c>
      <c r="F154" s="23">
        <f t="shared" si="4"/>
        <v>0</v>
      </c>
      <c r="G154" s="24">
        <f>F154/B2</f>
        <v>0</v>
      </c>
      <c r="H154" s="25">
        <f t="shared" si="5"/>
        <v>0</v>
      </c>
      <c r="I154" s="26">
        <f>H154/B3</f>
        <v>0</v>
      </c>
      <c r="J154" s="22">
        <v>0.0</v>
      </c>
      <c r="K154" s="22">
        <v>0.0</v>
      </c>
      <c r="L154" s="22">
        <v>0.0</v>
      </c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</row>
    <row r="155">
      <c r="A155" s="12">
        <v>46238.0</v>
      </c>
      <c r="B155" s="21" t="s">
        <v>63</v>
      </c>
      <c r="C155" s="2">
        <v>0.0</v>
      </c>
      <c r="D155" s="23">
        <f t="shared" si="3"/>
        <v>0</v>
      </c>
      <c r="E155" s="24">
        <f>D155/B1</f>
        <v>0</v>
      </c>
      <c r="F155" s="23">
        <f t="shared" si="4"/>
        <v>0</v>
      </c>
      <c r="G155" s="24">
        <f>F155/B2</f>
        <v>0</v>
      </c>
      <c r="H155" s="25">
        <f t="shared" si="5"/>
        <v>0</v>
      </c>
      <c r="I155" s="26">
        <f>H155/B3</f>
        <v>0</v>
      </c>
      <c r="J155" s="22">
        <v>0.0</v>
      </c>
      <c r="K155" s="22">
        <v>0.0</v>
      </c>
      <c r="L155" s="22">
        <v>0.0</v>
      </c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</row>
    <row r="156">
      <c r="A156" s="12">
        <v>46239.0</v>
      </c>
      <c r="B156" s="21" t="s">
        <v>61</v>
      </c>
      <c r="C156" s="2">
        <v>0.0</v>
      </c>
      <c r="D156" s="23">
        <f t="shared" si="3"/>
        <v>0</v>
      </c>
      <c r="E156" s="24">
        <f>D156/B1</f>
        <v>0</v>
      </c>
      <c r="F156" s="23">
        <f t="shared" si="4"/>
        <v>0</v>
      </c>
      <c r="G156" s="24">
        <f>F156/B2</f>
        <v>0</v>
      </c>
      <c r="H156" s="25">
        <f t="shared" si="5"/>
        <v>0</v>
      </c>
      <c r="I156" s="26">
        <f>H156/B3</f>
        <v>0</v>
      </c>
      <c r="J156" s="22">
        <v>0.0</v>
      </c>
      <c r="K156" s="22">
        <v>0.0</v>
      </c>
      <c r="L156" s="22">
        <v>0.0</v>
      </c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</row>
    <row r="157">
      <c r="A157" s="12">
        <v>46239.0</v>
      </c>
      <c r="B157" s="21" t="s">
        <v>62</v>
      </c>
      <c r="C157" s="2">
        <v>0.0</v>
      </c>
      <c r="D157" s="23">
        <f t="shared" si="3"/>
        <v>0</v>
      </c>
      <c r="E157" s="24">
        <f>D157/B1</f>
        <v>0</v>
      </c>
      <c r="F157" s="23">
        <f t="shared" si="4"/>
        <v>0</v>
      </c>
      <c r="G157" s="24">
        <f>F157/B2</f>
        <v>0</v>
      </c>
      <c r="H157" s="25">
        <f t="shared" si="5"/>
        <v>0</v>
      </c>
      <c r="I157" s="26">
        <f>H157/B3</f>
        <v>0</v>
      </c>
      <c r="J157" s="22">
        <v>0.0</v>
      </c>
      <c r="K157" s="22">
        <v>0.0</v>
      </c>
      <c r="L157" s="22">
        <v>0.0</v>
      </c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</row>
    <row r="158">
      <c r="A158" s="12">
        <v>46239.0</v>
      </c>
      <c r="B158" s="21" t="s">
        <v>63</v>
      </c>
      <c r="C158" s="2">
        <v>0.0</v>
      </c>
      <c r="D158" s="23">
        <f t="shared" si="3"/>
        <v>0</v>
      </c>
      <c r="E158" s="24">
        <f>D158/B1</f>
        <v>0</v>
      </c>
      <c r="F158" s="23">
        <f t="shared" si="4"/>
        <v>0</v>
      </c>
      <c r="G158" s="24">
        <f>F158/B2</f>
        <v>0</v>
      </c>
      <c r="H158" s="25">
        <f t="shared" si="5"/>
        <v>0</v>
      </c>
      <c r="I158" s="26">
        <f>H158/B3</f>
        <v>0</v>
      </c>
      <c r="J158" s="22">
        <v>0.0</v>
      </c>
      <c r="K158" s="22">
        <v>0.0</v>
      </c>
      <c r="L158" s="22">
        <v>0.0</v>
      </c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</row>
    <row r="159">
      <c r="A159" s="12">
        <v>46240.0</v>
      </c>
      <c r="B159" s="21" t="s">
        <v>61</v>
      </c>
      <c r="C159" s="2">
        <v>0.0</v>
      </c>
      <c r="D159" s="23">
        <f t="shared" si="3"/>
        <v>0</v>
      </c>
      <c r="E159" s="24">
        <f>D159/B1</f>
        <v>0</v>
      </c>
      <c r="F159" s="23">
        <f t="shared" si="4"/>
        <v>0</v>
      </c>
      <c r="G159" s="24">
        <f>F159/B2</f>
        <v>0</v>
      </c>
      <c r="H159" s="25">
        <f t="shared" si="5"/>
        <v>0</v>
      </c>
      <c r="I159" s="26">
        <f>H159/B3</f>
        <v>0</v>
      </c>
      <c r="J159" s="22">
        <v>0.0</v>
      </c>
      <c r="K159" s="22">
        <v>0.0</v>
      </c>
      <c r="L159" s="22">
        <v>0.0</v>
      </c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</row>
    <row r="160">
      <c r="A160" s="12">
        <v>46240.0</v>
      </c>
      <c r="B160" s="21" t="s">
        <v>62</v>
      </c>
      <c r="C160" s="2">
        <v>0.0</v>
      </c>
      <c r="D160" s="23">
        <f t="shared" si="3"/>
        <v>0</v>
      </c>
      <c r="E160" s="24">
        <f>D160/B1</f>
        <v>0</v>
      </c>
      <c r="F160" s="23">
        <f t="shared" si="4"/>
        <v>0</v>
      </c>
      <c r="G160" s="24">
        <f>F160/B2</f>
        <v>0</v>
      </c>
      <c r="H160" s="25">
        <f t="shared" si="5"/>
        <v>0</v>
      </c>
      <c r="I160" s="26">
        <f>H160/B3</f>
        <v>0</v>
      </c>
      <c r="J160" s="22">
        <v>0.0</v>
      </c>
      <c r="K160" s="22">
        <v>0.0</v>
      </c>
      <c r="L160" s="22">
        <v>0.0</v>
      </c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</row>
    <row r="161">
      <c r="A161" s="12">
        <v>46240.0</v>
      </c>
      <c r="B161" s="21" t="s">
        <v>63</v>
      </c>
      <c r="C161" s="2">
        <v>0.0</v>
      </c>
      <c r="D161" s="23">
        <f t="shared" si="3"/>
        <v>0</v>
      </c>
      <c r="E161" s="24">
        <f>D161/B1</f>
        <v>0</v>
      </c>
      <c r="F161" s="23">
        <f t="shared" si="4"/>
        <v>0</v>
      </c>
      <c r="G161" s="24">
        <f>F161/B2</f>
        <v>0</v>
      </c>
      <c r="H161" s="25">
        <f t="shared" si="5"/>
        <v>0</v>
      </c>
      <c r="I161" s="26">
        <f>H161/B3</f>
        <v>0</v>
      </c>
      <c r="J161" s="22">
        <v>0.0</v>
      </c>
      <c r="K161" s="22">
        <v>0.0</v>
      </c>
      <c r="L161" s="22">
        <v>0.0</v>
      </c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</row>
    <row r="162">
      <c r="A162" s="12">
        <v>46241.0</v>
      </c>
      <c r="B162" s="21" t="s">
        <v>61</v>
      </c>
      <c r="C162" s="2">
        <v>0.0</v>
      </c>
      <c r="D162" s="23">
        <f t="shared" si="3"/>
        <v>0</v>
      </c>
      <c r="E162" s="24">
        <f>D162/B1</f>
        <v>0</v>
      </c>
      <c r="F162" s="23">
        <f t="shared" si="4"/>
        <v>0</v>
      </c>
      <c r="G162" s="24">
        <f>F162/B2</f>
        <v>0</v>
      </c>
      <c r="H162" s="25">
        <f t="shared" si="5"/>
        <v>0</v>
      </c>
      <c r="I162" s="26">
        <f>H162/B3</f>
        <v>0</v>
      </c>
      <c r="J162" s="22">
        <v>0.0</v>
      </c>
      <c r="K162" s="22">
        <v>0.0</v>
      </c>
      <c r="L162" s="22">
        <v>0.0</v>
      </c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</row>
    <row r="163">
      <c r="A163" s="12">
        <v>46241.0</v>
      </c>
      <c r="B163" s="21" t="s">
        <v>62</v>
      </c>
      <c r="C163" s="2">
        <v>0.0</v>
      </c>
      <c r="D163" s="23">
        <f t="shared" si="3"/>
        <v>0</v>
      </c>
      <c r="E163" s="24">
        <f>D163/B1</f>
        <v>0</v>
      </c>
      <c r="F163" s="23">
        <f t="shared" si="4"/>
        <v>0</v>
      </c>
      <c r="G163" s="24">
        <f>F163/B2</f>
        <v>0</v>
      </c>
      <c r="H163" s="25">
        <f t="shared" si="5"/>
        <v>0</v>
      </c>
      <c r="I163" s="26">
        <f>H163/B3</f>
        <v>0</v>
      </c>
      <c r="J163" s="22">
        <v>0.0</v>
      </c>
      <c r="K163" s="22">
        <v>0.0</v>
      </c>
      <c r="L163" s="22">
        <v>0.0</v>
      </c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</row>
    <row r="164">
      <c r="A164" s="12">
        <v>46241.0</v>
      </c>
      <c r="B164" s="21" t="s">
        <v>63</v>
      </c>
      <c r="C164" s="2">
        <v>0.0</v>
      </c>
      <c r="D164" s="23">
        <f t="shared" si="3"/>
        <v>0</v>
      </c>
      <c r="E164" s="24">
        <f>D164/B1</f>
        <v>0</v>
      </c>
      <c r="F164" s="23">
        <f t="shared" si="4"/>
        <v>0</v>
      </c>
      <c r="G164" s="24">
        <f>F164/B2</f>
        <v>0</v>
      </c>
      <c r="H164" s="25">
        <f t="shared" si="5"/>
        <v>0</v>
      </c>
      <c r="I164" s="26">
        <f>H164/B3</f>
        <v>0</v>
      </c>
      <c r="J164" s="22">
        <v>0.0</v>
      </c>
      <c r="K164" s="22">
        <v>0.0</v>
      </c>
      <c r="L164" s="22">
        <v>0.0</v>
      </c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</row>
    <row r="165">
      <c r="A165" s="12">
        <v>46242.0</v>
      </c>
      <c r="B165" s="21" t="s">
        <v>61</v>
      </c>
      <c r="C165" s="2">
        <v>0.0</v>
      </c>
      <c r="D165" s="23">
        <f t="shared" si="3"/>
        <v>0</v>
      </c>
      <c r="E165" s="24">
        <f>D165/B1</f>
        <v>0</v>
      </c>
      <c r="F165" s="23">
        <f t="shared" si="4"/>
        <v>0</v>
      </c>
      <c r="G165" s="24">
        <f>F165/B2</f>
        <v>0</v>
      </c>
      <c r="H165" s="25">
        <f t="shared" si="5"/>
        <v>0</v>
      </c>
      <c r="I165" s="26">
        <f>H165/B3</f>
        <v>0</v>
      </c>
      <c r="J165" s="22">
        <v>0.0</v>
      </c>
      <c r="K165" s="22">
        <v>0.0</v>
      </c>
      <c r="L165" s="22">
        <v>0.0</v>
      </c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</row>
    <row r="166">
      <c r="A166" s="12">
        <v>46242.0</v>
      </c>
      <c r="B166" s="21" t="s">
        <v>62</v>
      </c>
      <c r="C166" s="2">
        <v>0.0</v>
      </c>
      <c r="D166" s="23">
        <f t="shared" si="3"/>
        <v>0</v>
      </c>
      <c r="E166" s="24">
        <f>D166/B1</f>
        <v>0</v>
      </c>
      <c r="F166" s="23">
        <f t="shared" si="4"/>
        <v>0</v>
      </c>
      <c r="G166" s="24">
        <f>F166/B2</f>
        <v>0</v>
      </c>
      <c r="H166" s="25">
        <f t="shared" si="5"/>
        <v>0</v>
      </c>
      <c r="I166" s="26">
        <f>H166/B3</f>
        <v>0</v>
      </c>
      <c r="J166" s="22">
        <v>0.0</v>
      </c>
      <c r="K166" s="22">
        <v>0.0</v>
      </c>
      <c r="L166" s="22">
        <v>0.0</v>
      </c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</row>
    <row r="167">
      <c r="A167" s="12">
        <v>46242.0</v>
      </c>
      <c r="B167" s="21" t="s">
        <v>63</v>
      </c>
      <c r="C167" s="2">
        <v>0.0</v>
      </c>
      <c r="D167" s="23">
        <f t="shared" si="3"/>
        <v>0</v>
      </c>
      <c r="E167" s="24">
        <f>D167/B1</f>
        <v>0</v>
      </c>
      <c r="F167" s="23">
        <f t="shared" si="4"/>
        <v>0</v>
      </c>
      <c r="G167" s="24">
        <f>F167/B2</f>
        <v>0</v>
      </c>
      <c r="H167" s="25">
        <f t="shared" si="5"/>
        <v>0</v>
      </c>
      <c r="I167" s="26">
        <f>H167/B3</f>
        <v>0</v>
      </c>
      <c r="J167" s="22">
        <v>0.0</v>
      </c>
      <c r="K167" s="22">
        <v>0.0</v>
      </c>
      <c r="L167" s="22">
        <v>0.0</v>
      </c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</row>
    <row r="168">
      <c r="A168" s="12">
        <v>46243.0</v>
      </c>
      <c r="B168" s="21" t="s">
        <v>61</v>
      </c>
      <c r="C168" s="2">
        <v>0.0</v>
      </c>
      <c r="D168" s="23">
        <f t="shared" si="3"/>
        <v>0</v>
      </c>
      <c r="E168" s="24">
        <f>D168/B1</f>
        <v>0</v>
      </c>
      <c r="F168" s="23">
        <f t="shared" si="4"/>
        <v>0</v>
      </c>
      <c r="G168" s="24">
        <f>F168/B2</f>
        <v>0</v>
      </c>
      <c r="H168" s="25">
        <f t="shared" si="5"/>
        <v>0</v>
      </c>
      <c r="I168" s="26">
        <f>H168/B3</f>
        <v>0</v>
      </c>
      <c r="J168" s="22">
        <v>0.0</v>
      </c>
      <c r="K168" s="22">
        <v>0.0</v>
      </c>
      <c r="L168" s="22">
        <v>0.0</v>
      </c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</row>
    <row r="169">
      <c r="A169" s="12">
        <v>46243.0</v>
      </c>
      <c r="B169" s="21" t="s">
        <v>62</v>
      </c>
      <c r="C169" s="2">
        <v>0.0</v>
      </c>
      <c r="D169" s="23">
        <f t="shared" si="3"/>
        <v>0</v>
      </c>
      <c r="E169" s="24">
        <f>D169/B1</f>
        <v>0</v>
      </c>
      <c r="F169" s="23">
        <f t="shared" si="4"/>
        <v>0</v>
      </c>
      <c r="G169" s="24">
        <f>F169/B2</f>
        <v>0</v>
      </c>
      <c r="H169" s="25">
        <f t="shared" si="5"/>
        <v>0</v>
      </c>
      <c r="I169" s="26">
        <f>H169/B3</f>
        <v>0</v>
      </c>
      <c r="J169" s="22">
        <v>0.0</v>
      </c>
      <c r="K169" s="22">
        <v>0.0</v>
      </c>
      <c r="L169" s="22">
        <v>0.0</v>
      </c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</row>
    <row r="170">
      <c r="A170" s="12">
        <v>46243.0</v>
      </c>
      <c r="B170" s="21" t="s">
        <v>63</v>
      </c>
      <c r="C170" s="2">
        <v>0.0</v>
      </c>
      <c r="D170" s="23">
        <f t="shared" si="3"/>
        <v>0</v>
      </c>
      <c r="E170" s="24">
        <f>D170/B1</f>
        <v>0</v>
      </c>
      <c r="F170" s="23">
        <f t="shared" si="4"/>
        <v>0</v>
      </c>
      <c r="G170" s="24">
        <f>F170/B2</f>
        <v>0</v>
      </c>
      <c r="H170" s="25">
        <f t="shared" si="5"/>
        <v>0</v>
      </c>
      <c r="I170" s="26">
        <f>H170/B3</f>
        <v>0</v>
      </c>
      <c r="J170" s="22">
        <v>0.0</v>
      </c>
      <c r="K170" s="22">
        <v>0.0</v>
      </c>
      <c r="L170" s="22">
        <v>0.0</v>
      </c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</row>
    <row r="171">
      <c r="A171" s="12">
        <v>46244.0</v>
      </c>
      <c r="B171" s="21" t="s">
        <v>61</v>
      </c>
      <c r="C171" s="2">
        <v>0.0</v>
      </c>
      <c r="D171" s="23">
        <f t="shared" si="3"/>
        <v>0</v>
      </c>
      <c r="E171" s="24">
        <f>D171/B1</f>
        <v>0</v>
      </c>
      <c r="F171" s="23">
        <f t="shared" si="4"/>
        <v>0</v>
      </c>
      <c r="G171" s="24">
        <f>F171/B2</f>
        <v>0</v>
      </c>
      <c r="H171" s="25">
        <f t="shared" si="5"/>
        <v>0</v>
      </c>
      <c r="I171" s="26">
        <f>H171/B3</f>
        <v>0</v>
      </c>
      <c r="J171" s="22">
        <v>0.0</v>
      </c>
      <c r="K171" s="22">
        <v>0.0</v>
      </c>
      <c r="L171" s="22">
        <v>0.0</v>
      </c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</row>
    <row r="172">
      <c r="A172" s="12">
        <v>46244.0</v>
      </c>
      <c r="B172" s="21" t="s">
        <v>62</v>
      </c>
      <c r="C172" s="2">
        <v>0.0</v>
      </c>
      <c r="D172" s="23">
        <f t="shared" si="3"/>
        <v>0</v>
      </c>
      <c r="E172" s="24">
        <f>D172/B1</f>
        <v>0</v>
      </c>
      <c r="F172" s="23">
        <f t="shared" si="4"/>
        <v>0</v>
      </c>
      <c r="G172" s="24">
        <f>F172/B2</f>
        <v>0</v>
      </c>
      <c r="H172" s="25">
        <f t="shared" si="5"/>
        <v>0</v>
      </c>
      <c r="I172" s="26">
        <f>H172/B3</f>
        <v>0</v>
      </c>
      <c r="J172" s="22">
        <v>0.0</v>
      </c>
      <c r="K172" s="22">
        <v>0.0</v>
      </c>
      <c r="L172" s="22">
        <v>0.0</v>
      </c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</row>
    <row r="173">
      <c r="A173" s="12">
        <v>46244.0</v>
      </c>
      <c r="B173" s="21" t="s">
        <v>63</v>
      </c>
      <c r="C173" s="2">
        <v>0.0</v>
      </c>
      <c r="D173" s="23">
        <f t="shared" si="3"/>
        <v>0</v>
      </c>
      <c r="E173" s="24">
        <f>D173/B1</f>
        <v>0</v>
      </c>
      <c r="F173" s="23">
        <f t="shared" si="4"/>
        <v>0</v>
      </c>
      <c r="G173" s="24">
        <f>F173/B2</f>
        <v>0</v>
      </c>
      <c r="H173" s="25">
        <f t="shared" si="5"/>
        <v>0</v>
      </c>
      <c r="I173" s="26">
        <f>H173/B3</f>
        <v>0</v>
      </c>
      <c r="J173" s="22">
        <v>0.0</v>
      </c>
      <c r="K173" s="22">
        <v>0.0</v>
      </c>
      <c r="L173" s="22">
        <v>0.0</v>
      </c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</row>
    <row r="174">
      <c r="A174" s="12">
        <v>46245.0</v>
      </c>
      <c r="B174" s="21" t="s">
        <v>61</v>
      </c>
      <c r="C174" s="2">
        <v>0.0</v>
      </c>
      <c r="D174" s="23">
        <f t="shared" si="3"/>
        <v>0</v>
      </c>
      <c r="E174" s="24">
        <f>D174/B1</f>
        <v>0</v>
      </c>
      <c r="F174" s="23">
        <f t="shared" si="4"/>
        <v>0</v>
      </c>
      <c r="G174" s="24">
        <f>F174/B2</f>
        <v>0</v>
      </c>
      <c r="H174" s="25">
        <f t="shared" si="5"/>
        <v>0</v>
      </c>
      <c r="I174" s="26">
        <f>H174/B3</f>
        <v>0</v>
      </c>
      <c r="J174" s="22">
        <v>0.0</v>
      </c>
      <c r="K174" s="22">
        <v>0.0</v>
      </c>
      <c r="L174" s="22">
        <v>0.0</v>
      </c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</row>
    <row r="175">
      <c r="A175" s="12">
        <v>46245.0</v>
      </c>
      <c r="B175" s="21" t="s">
        <v>62</v>
      </c>
      <c r="C175" s="2">
        <v>0.0</v>
      </c>
      <c r="D175" s="23">
        <f t="shared" si="3"/>
        <v>0</v>
      </c>
      <c r="E175" s="24">
        <f>D175/B1</f>
        <v>0</v>
      </c>
      <c r="F175" s="23">
        <f t="shared" si="4"/>
        <v>0</v>
      </c>
      <c r="G175" s="24">
        <f>F175/B2</f>
        <v>0</v>
      </c>
      <c r="H175" s="25">
        <f t="shared" si="5"/>
        <v>0</v>
      </c>
      <c r="I175" s="26">
        <f>H175/B3</f>
        <v>0</v>
      </c>
      <c r="J175" s="22">
        <v>0.0</v>
      </c>
      <c r="K175" s="22">
        <v>0.0</v>
      </c>
      <c r="L175" s="22">
        <v>0.0</v>
      </c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</row>
    <row r="176">
      <c r="A176" s="12">
        <v>46245.0</v>
      </c>
      <c r="B176" s="21" t="s">
        <v>63</v>
      </c>
      <c r="C176" s="2">
        <v>0.0</v>
      </c>
      <c r="D176" s="23">
        <f t="shared" si="3"/>
        <v>0</v>
      </c>
      <c r="E176" s="24">
        <f>D176/B1</f>
        <v>0</v>
      </c>
      <c r="F176" s="23">
        <f t="shared" si="4"/>
        <v>0</v>
      </c>
      <c r="G176" s="24">
        <f>F176/B2</f>
        <v>0</v>
      </c>
      <c r="H176" s="25">
        <f t="shared" si="5"/>
        <v>0</v>
      </c>
      <c r="I176" s="26">
        <f>H176/B3</f>
        <v>0</v>
      </c>
      <c r="J176" s="22">
        <v>0.0</v>
      </c>
      <c r="K176" s="22">
        <v>0.0</v>
      </c>
      <c r="L176" s="22">
        <v>0.0</v>
      </c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</row>
    <row r="177">
      <c r="A177" s="12">
        <v>46246.0</v>
      </c>
      <c r="B177" s="21" t="s">
        <v>61</v>
      </c>
      <c r="C177" s="2">
        <v>0.0</v>
      </c>
      <c r="D177" s="23">
        <f t="shared" si="3"/>
        <v>0</v>
      </c>
      <c r="E177" s="24">
        <f>D177/B1</f>
        <v>0</v>
      </c>
      <c r="F177" s="23">
        <f t="shared" si="4"/>
        <v>0</v>
      </c>
      <c r="G177" s="24">
        <f>F177/B2</f>
        <v>0</v>
      </c>
      <c r="H177" s="25">
        <f t="shared" si="5"/>
        <v>0</v>
      </c>
      <c r="I177" s="26">
        <f>H177/B3</f>
        <v>0</v>
      </c>
      <c r="J177" s="22">
        <v>0.0</v>
      </c>
      <c r="K177" s="22">
        <v>0.0</v>
      </c>
      <c r="L177" s="22">
        <v>0.0</v>
      </c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</row>
    <row r="178">
      <c r="A178" s="12">
        <v>46246.0</v>
      </c>
      <c r="B178" s="21" t="s">
        <v>62</v>
      </c>
      <c r="C178" s="2">
        <v>0.0</v>
      </c>
      <c r="D178" s="23">
        <f t="shared" si="3"/>
        <v>0</v>
      </c>
      <c r="E178" s="24">
        <f>D178/B1</f>
        <v>0</v>
      </c>
      <c r="F178" s="23">
        <f t="shared" si="4"/>
        <v>0</v>
      </c>
      <c r="G178" s="24">
        <f>F178/B2</f>
        <v>0</v>
      </c>
      <c r="H178" s="25">
        <f t="shared" si="5"/>
        <v>0</v>
      </c>
      <c r="I178" s="26">
        <f>H178/B3</f>
        <v>0</v>
      </c>
      <c r="J178" s="22">
        <v>0.0</v>
      </c>
      <c r="K178" s="22">
        <v>0.0</v>
      </c>
      <c r="L178" s="22">
        <v>0.0</v>
      </c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</row>
    <row r="179">
      <c r="A179" s="12">
        <v>46246.0</v>
      </c>
      <c r="B179" s="21" t="s">
        <v>63</v>
      </c>
      <c r="C179" s="2">
        <v>0.0</v>
      </c>
      <c r="D179" s="23">
        <f t="shared" si="3"/>
        <v>0</v>
      </c>
      <c r="E179" s="24">
        <f>D179/B1</f>
        <v>0</v>
      </c>
      <c r="F179" s="23">
        <f t="shared" si="4"/>
        <v>0</v>
      </c>
      <c r="G179" s="24">
        <f>F179/B2</f>
        <v>0</v>
      </c>
      <c r="H179" s="25">
        <f t="shared" si="5"/>
        <v>0</v>
      </c>
      <c r="I179" s="26">
        <f>H179/B3</f>
        <v>0</v>
      </c>
      <c r="J179" s="22">
        <v>0.0</v>
      </c>
      <c r="K179" s="22">
        <v>0.0</v>
      </c>
      <c r="L179" s="22">
        <v>0.0</v>
      </c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</row>
    <row r="180">
      <c r="A180" s="12">
        <v>46247.0</v>
      </c>
      <c r="B180" s="21" t="s">
        <v>61</v>
      </c>
      <c r="C180" s="2">
        <v>0.0</v>
      </c>
      <c r="D180" s="23">
        <f t="shared" si="3"/>
        <v>0</v>
      </c>
      <c r="E180" s="24">
        <f>D180/B1</f>
        <v>0</v>
      </c>
      <c r="F180" s="23">
        <f t="shared" si="4"/>
        <v>0</v>
      </c>
      <c r="G180" s="24">
        <f>F180/B2</f>
        <v>0</v>
      </c>
      <c r="H180" s="25">
        <f t="shared" si="5"/>
        <v>0</v>
      </c>
      <c r="I180" s="26">
        <f>H180/B3</f>
        <v>0</v>
      </c>
      <c r="J180" s="22">
        <v>0.0</v>
      </c>
      <c r="K180" s="22">
        <v>0.0</v>
      </c>
      <c r="L180" s="22">
        <v>0.0</v>
      </c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</row>
    <row r="181">
      <c r="A181" s="12">
        <v>46247.0</v>
      </c>
      <c r="B181" s="21" t="s">
        <v>62</v>
      </c>
      <c r="C181" s="2">
        <v>0.0</v>
      </c>
      <c r="D181" s="23">
        <f t="shared" si="3"/>
        <v>0</v>
      </c>
      <c r="E181" s="24">
        <f>D181/B1</f>
        <v>0</v>
      </c>
      <c r="F181" s="23">
        <f t="shared" si="4"/>
        <v>0</v>
      </c>
      <c r="G181" s="24">
        <f>F181/B2</f>
        <v>0</v>
      </c>
      <c r="H181" s="25">
        <f t="shared" si="5"/>
        <v>0</v>
      </c>
      <c r="I181" s="26">
        <f>H181/B3</f>
        <v>0</v>
      </c>
      <c r="J181" s="22">
        <v>0.0</v>
      </c>
      <c r="K181" s="22">
        <v>0.0</v>
      </c>
      <c r="L181" s="22">
        <v>0.0</v>
      </c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</row>
    <row r="182">
      <c r="A182" s="12">
        <v>46247.0</v>
      </c>
      <c r="B182" s="21" t="s">
        <v>63</v>
      </c>
      <c r="C182" s="2">
        <v>0.0</v>
      </c>
      <c r="D182" s="23">
        <f t="shared" si="3"/>
        <v>0</v>
      </c>
      <c r="E182" s="24">
        <f>D182/B1</f>
        <v>0</v>
      </c>
      <c r="F182" s="23">
        <f t="shared" si="4"/>
        <v>0</v>
      </c>
      <c r="G182" s="24">
        <f>F182/B2</f>
        <v>0</v>
      </c>
      <c r="H182" s="25">
        <f t="shared" si="5"/>
        <v>0</v>
      </c>
      <c r="I182" s="26">
        <f>H182/B3</f>
        <v>0</v>
      </c>
      <c r="J182" s="22">
        <v>0.0</v>
      </c>
      <c r="K182" s="22">
        <v>0.0</v>
      </c>
      <c r="L182" s="22">
        <v>0.0</v>
      </c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</row>
    <row r="183">
      <c r="A183" s="12">
        <v>46248.0</v>
      </c>
      <c r="B183" s="21" t="s">
        <v>61</v>
      </c>
      <c r="C183" s="2">
        <v>0.0</v>
      </c>
      <c r="D183" s="23">
        <f t="shared" si="3"/>
        <v>0</v>
      </c>
      <c r="E183" s="24">
        <f>D183/B1</f>
        <v>0</v>
      </c>
      <c r="F183" s="23">
        <f t="shared" si="4"/>
        <v>0</v>
      </c>
      <c r="G183" s="24">
        <f>F183/B2</f>
        <v>0</v>
      </c>
      <c r="H183" s="25">
        <f t="shared" si="5"/>
        <v>0</v>
      </c>
      <c r="I183" s="26">
        <f>H183/B3</f>
        <v>0</v>
      </c>
      <c r="J183" s="22">
        <v>0.0</v>
      </c>
      <c r="K183" s="22">
        <v>0.0</v>
      </c>
      <c r="L183" s="22">
        <v>0.0</v>
      </c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</row>
    <row r="184">
      <c r="A184" s="12">
        <v>46248.0</v>
      </c>
      <c r="B184" s="21" t="s">
        <v>62</v>
      </c>
      <c r="C184" s="2">
        <v>0.0</v>
      </c>
      <c r="D184" s="23">
        <f t="shared" si="3"/>
        <v>0</v>
      </c>
      <c r="E184" s="24">
        <f>D184/B1</f>
        <v>0</v>
      </c>
      <c r="F184" s="23">
        <f t="shared" si="4"/>
        <v>0</v>
      </c>
      <c r="G184" s="24">
        <f>F184/B2</f>
        <v>0</v>
      </c>
      <c r="H184" s="25">
        <f t="shared" si="5"/>
        <v>0</v>
      </c>
      <c r="I184" s="26">
        <f>H184/B3</f>
        <v>0</v>
      </c>
      <c r="J184" s="22">
        <v>0.0</v>
      </c>
      <c r="K184" s="22">
        <v>0.0</v>
      </c>
      <c r="L184" s="22">
        <v>0.0</v>
      </c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</row>
    <row r="185">
      <c r="A185" s="12">
        <v>46248.0</v>
      </c>
      <c r="B185" s="21" t="s">
        <v>63</v>
      </c>
      <c r="C185" s="2">
        <v>0.0</v>
      </c>
      <c r="D185" s="23">
        <f t="shared" si="3"/>
        <v>0</v>
      </c>
      <c r="E185" s="24">
        <f>D185/B1</f>
        <v>0</v>
      </c>
      <c r="F185" s="23">
        <f t="shared" si="4"/>
        <v>0</v>
      </c>
      <c r="G185" s="24">
        <f>F185/B2</f>
        <v>0</v>
      </c>
      <c r="H185" s="25">
        <f t="shared" si="5"/>
        <v>0</v>
      </c>
      <c r="I185" s="26">
        <f>H185/B3</f>
        <v>0</v>
      </c>
      <c r="J185" s="22">
        <v>0.0</v>
      </c>
      <c r="K185" s="22">
        <v>0.0</v>
      </c>
      <c r="L185" s="22">
        <v>0.0</v>
      </c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</row>
    <row r="186">
      <c r="A186" s="12">
        <v>46249.0</v>
      </c>
      <c r="B186" s="21" t="s">
        <v>61</v>
      </c>
      <c r="C186" s="2">
        <v>0.0</v>
      </c>
      <c r="D186" s="23">
        <f t="shared" si="3"/>
        <v>0</v>
      </c>
      <c r="E186" s="24">
        <f>D186/B1</f>
        <v>0</v>
      </c>
      <c r="F186" s="23">
        <f t="shared" si="4"/>
        <v>0</v>
      </c>
      <c r="G186" s="24">
        <f>F186/B2</f>
        <v>0</v>
      </c>
      <c r="H186" s="25">
        <f t="shared" si="5"/>
        <v>0</v>
      </c>
      <c r="I186" s="26">
        <f>H186/B3</f>
        <v>0</v>
      </c>
      <c r="J186" s="22">
        <v>0.0</v>
      </c>
      <c r="K186" s="22">
        <v>0.0</v>
      </c>
      <c r="L186" s="22">
        <v>0.0</v>
      </c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</row>
    <row r="187">
      <c r="A187" s="12">
        <v>46249.0</v>
      </c>
      <c r="B187" s="21" t="s">
        <v>62</v>
      </c>
      <c r="C187" s="2">
        <v>0.0</v>
      </c>
      <c r="D187" s="23">
        <f t="shared" si="3"/>
        <v>0</v>
      </c>
      <c r="E187" s="24">
        <f>D187/B1</f>
        <v>0</v>
      </c>
      <c r="F187" s="23">
        <f t="shared" si="4"/>
        <v>0</v>
      </c>
      <c r="G187" s="24">
        <f>F187/B2</f>
        <v>0</v>
      </c>
      <c r="H187" s="25">
        <f t="shared" si="5"/>
        <v>0</v>
      </c>
      <c r="I187" s="26">
        <f>H187/B3</f>
        <v>0</v>
      </c>
      <c r="J187" s="22">
        <v>0.0</v>
      </c>
      <c r="K187" s="22">
        <v>0.0</v>
      </c>
      <c r="L187" s="22">
        <v>0.0</v>
      </c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</row>
    <row r="188">
      <c r="A188" s="12">
        <v>46249.0</v>
      </c>
      <c r="B188" s="21" t="s">
        <v>63</v>
      </c>
      <c r="C188" s="2">
        <v>0.0</v>
      </c>
      <c r="D188" s="23">
        <f t="shared" si="3"/>
        <v>0</v>
      </c>
      <c r="E188" s="24">
        <f>D188/B1</f>
        <v>0</v>
      </c>
      <c r="F188" s="23">
        <f t="shared" si="4"/>
        <v>0</v>
      </c>
      <c r="G188" s="24">
        <f>F188/B2</f>
        <v>0</v>
      </c>
      <c r="H188" s="25">
        <f t="shared" si="5"/>
        <v>0</v>
      </c>
      <c r="I188" s="26">
        <f>H188/B3</f>
        <v>0</v>
      </c>
      <c r="J188" s="22">
        <v>0.0</v>
      </c>
      <c r="K188" s="22">
        <v>0.0</v>
      </c>
      <c r="L188" s="22">
        <v>0.0</v>
      </c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</row>
  </sheetData>
  <dataValidations>
    <dataValidation type="list" allowBlank="1" showErrorMessage="1" sqref="B6:B188">
      <formula1>"WW,FLA,MAC1+"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61.75"/>
    <col customWidth="1" min="2" max="2" width="22.63"/>
    <col customWidth="1" min="3" max="3" width="10.25"/>
    <col customWidth="1" min="4" max="4" width="17.0"/>
    <col customWidth="1" min="5" max="5" width="15.0"/>
    <col customWidth="1" min="6" max="6" width="17.0"/>
    <col customWidth="1" min="7" max="7" width="16.13"/>
    <col customWidth="1" min="8" max="9" width="16.38"/>
    <col customWidth="1" min="10" max="10" width="12.63"/>
    <col customWidth="1" min="11" max="11" width="14.88"/>
    <col customWidth="1" min="12" max="12" width="13.0"/>
  </cols>
  <sheetData>
    <row r="1">
      <c r="A1" s="1" t="s">
        <v>139</v>
      </c>
      <c r="B1" s="2">
        <v>20.0</v>
      </c>
      <c r="C1" s="2">
        <f>D278</f>
        <v>5.67</v>
      </c>
      <c r="D1" s="5">
        <f t="shared" ref="D1:D4" si="1">C1/B1</f>
        <v>0.2835</v>
      </c>
      <c r="G1" s="1" t="s">
        <v>1</v>
      </c>
      <c r="H1" s="3">
        <f>IFERROR(__xludf.DUMMYFUNCTION("COUNTUNIQUE(A6:A278)"),91.0)</f>
        <v>91</v>
      </c>
      <c r="I1" s="3"/>
      <c r="J1" s="6"/>
      <c r="K1" s="3"/>
      <c r="L1" s="3"/>
      <c r="M1" s="7"/>
      <c r="N1" s="7"/>
    </row>
    <row r="2">
      <c r="A2" s="1" t="s">
        <v>140</v>
      </c>
      <c r="B2" s="2">
        <v>20.0</v>
      </c>
      <c r="C2" s="4">
        <f>F278</f>
        <v>2.4</v>
      </c>
      <c r="D2" s="5">
        <f t="shared" si="1"/>
        <v>0.12</v>
      </c>
      <c r="G2" s="1" t="s">
        <v>5</v>
      </c>
      <c r="H2" s="3">
        <f>(B1+B2+B3)/F4</f>
        <v>105.1415367</v>
      </c>
      <c r="I2" s="3"/>
      <c r="J2" s="3"/>
      <c r="K2" s="3"/>
      <c r="L2" s="3"/>
      <c r="M2" s="7"/>
      <c r="N2" s="7"/>
    </row>
    <row r="3">
      <c r="A3" s="1" t="s">
        <v>104</v>
      </c>
      <c r="B3" s="2">
        <v>20.0</v>
      </c>
      <c r="C3" s="4">
        <f>H278</f>
        <v>0</v>
      </c>
      <c r="D3" s="8">
        <f t="shared" si="1"/>
        <v>0</v>
      </c>
      <c r="E3" s="3"/>
      <c r="F3" s="6"/>
      <c r="G3" s="3"/>
      <c r="H3" s="3"/>
      <c r="I3" s="3"/>
      <c r="J3" s="3"/>
      <c r="K3" s="3"/>
      <c r="L3" s="3"/>
      <c r="M3" s="7"/>
      <c r="N3" s="7"/>
    </row>
    <row r="4">
      <c r="B4" s="9">
        <f t="shared" ref="B4:C4" si="2">SUM(B1:B3)</f>
        <v>60</v>
      </c>
      <c r="C4" s="9">
        <f t="shared" si="2"/>
        <v>8.07</v>
      </c>
      <c r="D4" s="5">
        <f t="shared" si="1"/>
        <v>0.1345</v>
      </c>
      <c r="E4" s="1" t="s">
        <v>7</v>
      </c>
      <c r="F4" s="3">
        <f>SUM(C6:C278)/H1</f>
        <v>0.5706593407</v>
      </c>
      <c r="G4" s="6" t="s">
        <v>141</v>
      </c>
      <c r="H4" s="4">
        <f>MEDIAN(C6:C251)</f>
        <v>0</v>
      </c>
      <c r="I4" s="3"/>
      <c r="J4" s="3"/>
      <c r="K4" s="3"/>
      <c r="L4" s="3"/>
      <c r="M4" s="7"/>
      <c r="N4" s="7"/>
    </row>
    <row r="5">
      <c r="A5" s="10" t="s">
        <v>8</v>
      </c>
      <c r="B5" s="10" t="s">
        <v>9</v>
      </c>
      <c r="C5" s="10" t="s">
        <v>10</v>
      </c>
      <c r="D5" s="10" t="s">
        <v>131</v>
      </c>
      <c r="E5" s="10" t="s">
        <v>131</v>
      </c>
      <c r="F5" s="10" t="s">
        <v>132</v>
      </c>
      <c r="G5" s="10" t="s">
        <v>132</v>
      </c>
      <c r="H5" s="10" t="s">
        <v>78</v>
      </c>
      <c r="I5" s="10" t="s">
        <v>78</v>
      </c>
      <c r="J5" s="10" t="s">
        <v>133</v>
      </c>
      <c r="K5" s="10" t="s">
        <v>134</v>
      </c>
      <c r="L5" s="10" t="s">
        <v>80</v>
      </c>
      <c r="M5" s="7"/>
      <c r="N5" s="7"/>
    </row>
    <row r="6">
      <c r="A6" s="12">
        <v>46212.0</v>
      </c>
      <c r="B6" s="6" t="s">
        <v>61</v>
      </c>
      <c r="C6" s="2">
        <v>0.0</v>
      </c>
      <c r="D6" s="4">
        <f>IF(B6="WW",B1-C6,B1)</f>
        <v>20</v>
      </c>
      <c r="E6" s="13">
        <f>D6/B1</f>
        <v>1</v>
      </c>
      <c r="F6" s="2">
        <f>IF(B6="FLA",B2-C6,B2)</f>
        <v>20</v>
      </c>
      <c r="G6" s="14">
        <f>F6/B2</f>
        <v>1</v>
      </c>
      <c r="H6" s="15">
        <f>IF(B6="MAC1+",B3-C6,B3)</f>
        <v>20</v>
      </c>
      <c r="I6" s="14">
        <f>H6/B3</f>
        <v>1</v>
      </c>
      <c r="J6" s="2">
        <v>0.0</v>
      </c>
      <c r="K6" s="2">
        <v>0.0</v>
      </c>
      <c r="L6" s="2">
        <v>0.0</v>
      </c>
      <c r="M6" s="7"/>
      <c r="N6" s="7"/>
    </row>
    <row r="7">
      <c r="A7" s="12">
        <v>46212.0</v>
      </c>
      <c r="B7" s="6" t="s">
        <v>62</v>
      </c>
      <c r="C7" s="2">
        <v>0.0</v>
      </c>
      <c r="D7" s="16">
        <f t="shared" ref="D7:D278" si="3">IF(B7="WW",D6-C7,D6)</f>
        <v>20</v>
      </c>
      <c r="E7" s="17">
        <f>D7/B1</f>
        <v>1</v>
      </c>
      <c r="F7" s="16">
        <f t="shared" ref="F7:F278" si="4">IF(B7="FLA",F6-C7,F6)</f>
        <v>20</v>
      </c>
      <c r="G7" s="17">
        <f>F7/B2</f>
        <v>1</v>
      </c>
      <c r="H7" s="15">
        <f t="shared" ref="H7:H278" si="5">IF(B7="MAC1+",H6-C7,H6)</f>
        <v>20</v>
      </c>
      <c r="I7" s="14">
        <f>H7/B3</f>
        <v>1</v>
      </c>
      <c r="J7" s="2">
        <v>0.0</v>
      </c>
      <c r="K7" s="2">
        <v>0.0</v>
      </c>
      <c r="L7" s="2">
        <v>0.0</v>
      </c>
      <c r="M7" s="7"/>
      <c r="N7" s="7"/>
    </row>
    <row r="8">
      <c r="A8" s="12">
        <v>46212.0</v>
      </c>
      <c r="B8" s="6" t="s">
        <v>63</v>
      </c>
      <c r="C8" s="2">
        <v>0.0</v>
      </c>
      <c r="D8" s="16">
        <f t="shared" si="3"/>
        <v>20</v>
      </c>
      <c r="E8" s="17">
        <f>D8/B1</f>
        <v>1</v>
      </c>
      <c r="F8" s="16">
        <f t="shared" si="4"/>
        <v>20</v>
      </c>
      <c r="G8" s="17">
        <f>F8/B2</f>
        <v>1</v>
      </c>
      <c r="H8" s="15">
        <f t="shared" si="5"/>
        <v>20</v>
      </c>
      <c r="I8" s="14">
        <f>H8/B3</f>
        <v>1</v>
      </c>
      <c r="J8" s="2">
        <v>0.0</v>
      </c>
      <c r="K8" s="2">
        <v>0.0</v>
      </c>
      <c r="L8" s="2">
        <v>0.0</v>
      </c>
      <c r="M8" s="7"/>
      <c r="N8" s="7"/>
    </row>
    <row r="9">
      <c r="A9" s="12">
        <v>46213.0</v>
      </c>
      <c r="B9" s="6" t="s">
        <v>61</v>
      </c>
      <c r="C9" s="2">
        <v>0.0</v>
      </c>
      <c r="D9" s="16">
        <f t="shared" si="3"/>
        <v>20</v>
      </c>
      <c r="E9" s="17">
        <f>D9/B1</f>
        <v>1</v>
      </c>
      <c r="F9" s="16">
        <f t="shared" si="4"/>
        <v>20</v>
      </c>
      <c r="G9" s="17">
        <f>F9/B2</f>
        <v>1</v>
      </c>
      <c r="H9" s="15">
        <f t="shared" si="5"/>
        <v>20</v>
      </c>
      <c r="I9" s="14">
        <f>H9/B3</f>
        <v>1</v>
      </c>
      <c r="J9" s="2">
        <v>0.0</v>
      </c>
      <c r="K9" s="2">
        <v>0.0</v>
      </c>
      <c r="L9" s="2">
        <v>0.0</v>
      </c>
      <c r="M9" s="7"/>
      <c r="N9" s="7"/>
    </row>
    <row r="10">
      <c r="A10" s="12">
        <v>46213.0</v>
      </c>
      <c r="B10" s="6" t="s">
        <v>62</v>
      </c>
      <c r="C10" s="2">
        <v>0.0</v>
      </c>
      <c r="D10" s="16">
        <f t="shared" si="3"/>
        <v>20</v>
      </c>
      <c r="E10" s="17">
        <f>D10/B1</f>
        <v>1</v>
      </c>
      <c r="F10" s="16">
        <f t="shared" si="4"/>
        <v>20</v>
      </c>
      <c r="G10" s="17">
        <f>F10/B2</f>
        <v>1</v>
      </c>
      <c r="H10" s="15">
        <f t="shared" si="5"/>
        <v>20</v>
      </c>
      <c r="I10" s="14">
        <f>H10/B3</f>
        <v>1</v>
      </c>
      <c r="J10" s="2">
        <v>0.0</v>
      </c>
      <c r="K10" s="2">
        <v>0.0</v>
      </c>
      <c r="L10" s="2">
        <v>0.0</v>
      </c>
      <c r="M10" s="7"/>
      <c r="N10" s="7"/>
    </row>
    <row r="11">
      <c r="A11" s="12">
        <v>46213.0</v>
      </c>
      <c r="B11" s="6" t="s">
        <v>63</v>
      </c>
      <c r="C11" s="2">
        <v>0.0</v>
      </c>
      <c r="D11" s="16">
        <f t="shared" si="3"/>
        <v>20</v>
      </c>
      <c r="E11" s="17">
        <f>D11/B1</f>
        <v>1</v>
      </c>
      <c r="F11" s="16">
        <f t="shared" si="4"/>
        <v>20</v>
      </c>
      <c r="G11" s="17">
        <f>F11/B2</f>
        <v>1</v>
      </c>
      <c r="H11" s="15">
        <f t="shared" si="5"/>
        <v>20</v>
      </c>
      <c r="I11" s="14">
        <f>H11/B3</f>
        <v>1</v>
      </c>
      <c r="J11" s="2">
        <v>0.0</v>
      </c>
      <c r="K11" s="2">
        <v>0.0</v>
      </c>
      <c r="L11" s="2">
        <v>0.0</v>
      </c>
      <c r="M11" s="7"/>
      <c r="N11" s="7"/>
    </row>
    <row r="12">
      <c r="A12" s="12">
        <v>46214.0</v>
      </c>
      <c r="B12" s="6" t="s">
        <v>61</v>
      </c>
      <c r="C12" s="2">
        <v>0.0</v>
      </c>
      <c r="D12" s="16">
        <f t="shared" si="3"/>
        <v>20</v>
      </c>
      <c r="E12" s="17">
        <f>D12/B1</f>
        <v>1</v>
      </c>
      <c r="F12" s="16">
        <f t="shared" si="4"/>
        <v>20</v>
      </c>
      <c r="G12" s="17">
        <f>F12/B2</f>
        <v>1</v>
      </c>
      <c r="H12" s="15">
        <f t="shared" si="5"/>
        <v>20</v>
      </c>
      <c r="I12" s="14">
        <f>H12/B3</f>
        <v>1</v>
      </c>
      <c r="J12" s="2">
        <v>0.0</v>
      </c>
      <c r="K12" s="2">
        <v>0.0</v>
      </c>
      <c r="L12" s="2">
        <v>0.0</v>
      </c>
      <c r="M12" s="7"/>
      <c r="N12" s="7"/>
    </row>
    <row r="13">
      <c r="A13" s="12">
        <v>46214.0</v>
      </c>
      <c r="B13" s="6" t="s">
        <v>62</v>
      </c>
      <c r="C13" s="2">
        <v>0.0</v>
      </c>
      <c r="D13" s="16">
        <f t="shared" si="3"/>
        <v>20</v>
      </c>
      <c r="E13" s="17">
        <f>D13/B1</f>
        <v>1</v>
      </c>
      <c r="F13" s="16">
        <f t="shared" si="4"/>
        <v>20</v>
      </c>
      <c r="G13" s="17">
        <f>F13/B2</f>
        <v>1</v>
      </c>
      <c r="H13" s="15">
        <f t="shared" si="5"/>
        <v>20</v>
      </c>
      <c r="I13" s="14">
        <f>H13/B3</f>
        <v>1</v>
      </c>
      <c r="J13" s="2">
        <v>0.0</v>
      </c>
      <c r="K13" s="2">
        <v>0.0</v>
      </c>
      <c r="L13" s="2">
        <v>0.0</v>
      </c>
      <c r="M13" s="7"/>
      <c r="N13" s="7"/>
    </row>
    <row r="14">
      <c r="A14" s="12">
        <v>46214.0</v>
      </c>
      <c r="B14" s="6" t="s">
        <v>63</v>
      </c>
      <c r="C14" s="2">
        <v>0.0</v>
      </c>
      <c r="D14" s="16">
        <f t="shared" si="3"/>
        <v>20</v>
      </c>
      <c r="E14" s="17">
        <f>D14/B1</f>
        <v>1</v>
      </c>
      <c r="F14" s="16">
        <f t="shared" si="4"/>
        <v>20</v>
      </c>
      <c r="G14" s="17">
        <f>F14/B2</f>
        <v>1</v>
      </c>
      <c r="H14" s="15">
        <f t="shared" si="5"/>
        <v>20</v>
      </c>
      <c r="I14" s="14">
        <f>H14/B3</f>
        <v>1</v>
      </c>
      <c r="J14" s="2">
        <v>0.0</v>
      </c>
      <c r="K14" s="2">
        <v>0.0</v>
      </c>
      <c r="L14" s="2">
        <v>0.0</v>
      </c>
      <c r="M14" s="7"/>
      <c r="N14" s="7"/>
    </row>
    <row r="15">
      <c r="A15" s="12">
        <v>46215.0</v>
      </c>
      <c r="B15" s="6" t="s">
        <v>61</v>
      </c>
      <c r="C15" s="2">
        <v>0.0</v>
      </c>
      <c r="D15" s="16">
        <f t="shared" si="3"/>
        <v>20</v>
      </c>
      <c r="E15" s="17">
        <f>D15/B1</f>
        <v>1</v>
      </c>
      <c r="F15" s="16">
        <f t="shared" si="4"/>
        <v>20</v>
      </c>
      <c r="G15" s="17">
        <f>F15/B2</f>
        <v>1</v>
      </c>
      <c r="H15" s="15">
        <f t="shared" si="5"/>
        <v>20</v>
      </c>
      <c r="I15" s="14">
        <f>H15/B3</f>
        <v>1</v>
      </c>
      <c r="J15" s="2">
        <v>0.0</v>
      </c>
      <c r="K15" s="2">
        <v>0.0</v>
      </c>
      <c r="L15" s="2">
        <v>0.0</v>
      </c>
      <c r="M15" s="7"/>
      <c r="N15" s="7"/>
    </row>
    <row r="16">
      <c r="A16" s="12">
        <v>46215.0</v>
      </c>
      <c r="B16" s="6" t="s">
        <v>62</v>
      </c>
      <c r="C16" s="2">
        <v>0.0</v>
      </c>
      <c r="D16" s="16">
        <f t="shared" si="3"/>
        <v>20</v>
      </c>
      <c r="E16" s="17">
        <f>D16/B1</f>
        <v>1</v>
      </c>
      <c r="F16" s="16">
        <f t="shared" si="4"/>
        <v>20</v>
      </c>
      <c r="G16" s="17">
        <f>F16/B2</f>
        <v>1</v>
      </c>
      <c r="H16" s="15">
        <f t="shared" si="5"/>
        <v>20</v>
      </c>
      <c r="I16" s="14">
        <f>H16/B3</f>
        <v>1</v>
      </c>
      <c r="J16" s="2">
        <v>0.0</v>
      </c>
      <c r="K16" s="2">
        <v>0.0</v>
      </c>
      <c r="L16" s="2">
        <v>0.0</v>
      </c>
      <c r="M16" s="7"/>
      <c r="N16" s="7"/>
    </row>
    <row r="17">
      <c r="A17" s="12">
        <v>46215.0</v>
      </c>
      <c r="B17" s="6" t="s">
        <v>63</v>
      </c>
      <c r="C17" s="2">
        <v>0.0</v>
      </c>
      <c r="D17" s="16">
        <f t="shared" si="3"/>
        <v>20</v>
      </c>
      <c r="E17" s="17">
        <f>D17/B1</f>
        <v>1</v>
      </c>
      <c r="F17" s="16">
        <f t="shared" si="4"/>
        <v>20</v>
      </c>
      <c r="G17" s="17">
        <f>F17/B2</f>
        <v>1</v>
      </c>
      <c r="H17" s="15">
        <f t="shared" si="5"/>
        <v>20</v>
      </c>
      <c r="I17" s="14">
        <f>H17/B3</f>
        <v>1</v>
      </c>
      <c r="J17" s="2">
        <v>0.0</v>
      </c>
      <c r="K17" s="2">
        <v>0.0</v>
      </c>
      <c r="L17" s="2">
        <v>0.0</v>
      </c>
      <c r="M17" s="7"/>
      <c r="N17" s="7"/>
    </row>
    <row r="18">
      <c r="A18" s="12">
        <v>46216.0</v>
      </c>
      <c r="B18" s="6" t="s">
        <v>61</v>
      </c>
      <c r="C18" s="2">
        <v>0.0</v>
      </c>
      <c r="D18" s="16">
        <f t="shared" si="3"/>
        <v>20</v>
      </c>
      <c r="E18" s="17">
        <f>D18/B1</f>
        <v>1</v>
      </c>
      <c r="F18" s="16">
        <f t="shared" si="4"/>
        <v>20</v>
      </c>
      <c r="G18" s="17">
        <f>F18/B2</f>
        <v>1</v>
      </c>
      <c r="H18" s="15">
        <f t="shared" si="5"/>
        <v>20</v>
      </c>
      <c r="I18" s="14">
        <f>H18/B3</f>
        <v>1</v>
      </c>
      <c r="J18" s="2">
        <v>0.0</v>
      </c>
      <c r="K18" s="2">
        <v>0.0</v>
      </c>
      <c r="L18" s="2">
        <v>0.0</v>
      </c>
      <c r="M18" s="7"/>
      <c r="N18" s="7"/>
    </row>
    <row r="19">
      <c r="A19" s="12">
        <v>46216.0</v>
      </c>
      <c r="B19" s="6" t="s">
        <v>62</v>
      </c>
      <c r="C19" s="2">
        <v>0.0</v>
      </c>
      <c r="D19" s="16">
        <f t="shared" si="3"/>
        <v>20</v>
      </c>
      <c r="E19" s="17">
        <f>D19/B1</f>
        <v>1</v>
      </c>
      <c r="F19" s="16">
        <f t="shared" si="4"/>
        <v>20</v>
      </c>
      <c r="G19" s="17">
        <f>F19/B2</f>
        <v>1</v>
      </c>
      <c r="H19" s="15">
        <f t="shared" si="5"/>
        <v>20</v>
      </c>
      <c r="I19" s="14">
        <f>H19/B3</f>
        <v>1</v>
      </c>
      <c r="J19" s="2">
        <v>0.0</v>
      </c>
      <c r="K19" s="2">
        <v>0.0</v>
      </c>
      <c r="L19" s="2">
        <v>0.0</v>
      </c>
      <c r="M19" s="7"/>
      <c r="N19" s="7"/>
    </row>
    <row r="20">
      <c r="A20" s="12">
        <v>46216.0</v>
      </c>
      <c r="B20" s="6" t="s">
        <v>63</v>
      </c>
      <c r="C20" s="2">
        <v>0.0</v>
      </c>
      <c r="D20" s="16">
        <f t="shared" si="3"/>
        <v>20</v>
      </c>
      <c r="E20" s="17">
        <f>D20/B1</f>
        <v>1</v>
      </c>
      <c r="F20" s="16">
        <f t="shared" si="4"/>
        <v>20</v>
      </c>
      <c r="G20" s="17">
        <f>F20/B2</f>
        <v>1</v>
      </c>
      <c r="H20" s="15">
        <f t="shared" si="5"/>
        <v>20</v>
      </c>
      <c r="I20" s="14">
        <f>H20/B3</f>
        <v>1</v>
      </c>
      <c r="J20" s="2">
        <v>0.0</v>
      </c>
      <c r="K20" s="2">
        <v>0.0</v>
      </c>
      <c r="L20" s="2">
        <v>0.0</v>
      </c>
      <c r="M20" s="7"/>
      <c r="N20" s="7"/>
    </row>
    <row r="21">
      <c r="A21" s="12">
        <v>46217.0</v>
      </c>
      <c r="B21" s="6" t="s">
        <v>61</v>
      </c>
      <c r="C21" s="2">
        <v>0.0</v>
      </c>
      <c r="D21" s="16">
        <f t="shared" si="3"/>
        <v>20</v>
      </c>
      <c r="E21" s="17">
        <f>D21/B1</f>
        <v>1</v>
      </c>
      <c r="F21" s="16">
        <f t="shared" si="4"/>
        <v>20</v>
      </c>
      <c r="G21" s="17">
        <f>F21/B2</f>
        <v>1</v>
      </c>
      <c r="H21" s="15">
        <f t="shared" si="5"/>
        <v>20</v>
      </c>
      <c r="I21" s="14">
        <f>H21/B3</f>
        <v>1</v>
      </c>
      <c r="J21" s="2">
        <v>0.0</v>
      </c>
      <c r="K21" s="2">
        <v>0.0</v>
      </c>
      <c r="L21" s="2">
        <v>0.0</v>
      </c>
      <c r="M21" s="7"/>
      <c r="N21" s="7"/>
    </row>
    <row r="22">
      <c r="A22" s="12">
        <v>46217.0</v>
      </c>
      <c r="B22" s="6" t="s">
        <v>62</v>
      </c>
      <c r="C22" s="2">
        <v>0.0</v>
      </c>
      <c r="D22" s="16">
        <f t="shared" si="3"/>
        <v>20</v>
      </c>
      <c r="E22" s="17">
        <f>D22/B1</f>
        <v>1</v>
      </c>
      <c r="F22" s="16">
        <f t="shared" si="4"/>
        <v>20</v>
      </c>
      <c r="G22" s="17">
        <f>F22/B2</f>
        <v>1</v>
      </c>
      <c r="H22" s="15">
        <f t="shared" si="5"/>
        <v>20</v>
      </c>
      <c r="I22" s="14">
        <f>H22/B3</f>
        <v>1</v>
      </c>
      <c r="J22" s="2">
        <v>0.0</v>
      </c>
      <c r="K22" s="2">
        <v>0.0</v>
      </c>
      <c r="L22" s="2">
        <v>0.0</v>
      </c>
      <c r="M22" s="7"/>
      <c r="N22" s="7"/>
    </row>
    <row r="23">
      <c r="A23" s="12">
        <v>46217.0</v>
      </c>
      <c r="B23" s="6" t="s">
        <v>63</v>
      </c>
      <c r="C23" s="2">
        <v>0.0</v>
      </c>
      <c r="D23" s="16">
        <f t="shared" si="3"/>
        <v>20</v>
      </c>
      <c r="E23" s="17">
        <f>D23/B1</f>
        <v>1</v>
      </c>
      <c r="F23" s="16">
        <f t="shared" si="4"/>
        <v>20</v>
      </c>
      <c r="G23" s="17">
        <f>F23/B2</f>
        <v>1</v>
      </c>
      <c r="H23" s="15">
        <f t="shared" si="5"/>
        <v>20</v>
      </c>
      <c r="I23" s="14">
        <f>H23/B3</f>
        <v>1</v>
      </c>
      <c r="J23" s="2">
        <v>0.0</v>
      </c>
      <c r="K23" s="2">
        <v>0.0</v>
      </c>
      <c r="L23" s="2">
        <v>0.0</v>
      </c>
      <c r="M23" s="7"/>
      <c r="N23" s="7"/>
    </row>
    <row r="24">
      <c r="A24" s="12">
        <v>46218.0</v>
      </c>
      <c r="B24" s="6" t="s">
        <v>61</v>
      </c>
      <c r="C24" s="2">
        <v>0.0</v>
      </c>
      <c r="D24" s="16">
        <f t="shared" si="3"/>
        <v>20</v>
      </c>
      <c r="E24" s="17">
        <f>D24/B1</f>
        <v>1</v>
      </c>
      <c r="F24" s="16">
        <f t="shared" si="4"/>
        <v>20</v>
      </c>
      <c r="G24" s="17">
        <f>F24/B2</f>
        <v>1</v>
      </c>
      <c r="H24" s="15">
        <f t="shared" si="5"/>
        <v>20</v>
      </c>
      <c r="I24" s="14">
        <f>H24/B3</f>
        <v>1</v>
      </c>
      <c r="J24" s="2">
        <v>0.0</v>
      </c>
      <c r="K24" s="2">
        <v>0.0</v>
      </c>
      <c r="L24" s="2">
        <v>0.0</v>
      </c>
      <c r="M24" s="7"/>
      <c r="N24" s="7"/>
    </row>
    <row r="25">
      <c r="A25" s="12">
        <v>46218.0</v>
      </c>
      <c r="B25" s="6" t="s">
        <v>62</v>
      </c>
      <c r="C25" s="2">
        <v>0.0</v>
      </c>
      <c r="D25" s="16">
        <f t="shared" si="3"/>
        <v>20</v>
      </c>
      <c r="E25" s="17">
        <f>D25/B1</f>
        <v>1</v>
      </c>
      <c r="F25" s="16">
        <f t="shared" si="4"/>
        <v>20</v>
      </c>
      <c r="G25" s="17">
        <f>F25/B2</f>
        <v>1</v>
      </c>
      <c r="H25" s="15">
        <f t="shared" si="5"/>
        <v>20</v>
      </c>
      <c r="I25" s="14">
        <f>H25/B3</f>
        <v>1</v>
      </c>
      <c r="J25" s="2">
        <v>0.0</v>
      </c>
      <c r="K25" s="2">
        <v>0.0</v>
      </c>
      <c r="L25" s="2">
        <v>0.0</v>
      </c>
      <c r="M25" s="7"/>
      <c r="N25" s="7"/>
    </row>
    <row r="26">
      <c r="A26" s="12">
        <v>46218.0</v>
      </c>
      <c r="B26" s="6" t="s">
        <v>63</v>
      </c>
      <c r="C26" s="2">
        <v>0.0</v>
      </c>
      <c r="D26" s="16">
        <f t="shared" si="3"/>
        <v>20</v>
      </c>
      <c r="E26" s="17">
        <f>D26/B1</f>
        <v>1</v>
      </c>
      <c r="F26" s="16">
        <f t="shared" si="4"/>
        <v>20</v>
      </c>
      <c r="G26" s="17">
        <f>F26/B2</f>
        <v>1</v>
      </c>
      <c r="H26" s="15">
        <f t="shared" si="5"/>
        <v>20</v>
      </c>
      <c r="I26" s="14">
        <f>H26/B3</f>
        <v>1</v>
      </c>
      <c r="J26" s="2">
        <v>0.0</v>
      </c>
      <c r="K26" s="2">
        <v>0.0</v>
      </c>
      <c r="L26" s="2">
        <v>0.0</v>
      </c>
      <c r="M26" s="7"/>
      <c r="N26" s="7"/>
    </row>
    <row r="27">
      <c r="A27" s="12">
        <v>46219.0</v>
      </c>
      <c r="B27" s="6" t="s">
        <v>61</v>
      </c>
      <c r="C27" s="2">
        <v>0.0</v>
      </c>
      <c r="D27" s="16">
        <f t="shared" si="3"/>
        <v>20</v>
      </c>
      <c r="E27" s="17">
        <f>D27/B1</f>
        <v>1</v>
      </c>
      <c r="F27" s="16">
        <f t="shared" si="4"/>
        <v>20</v>
      </c>
      <c r="G27" s="17">
        <f>F27/B2</f>
        <v>1</v>
      </c>
      <c r="H27" s="15">
        <f t="shared" si="5"/>
        <v>20</v>
      </c>
      <c r="I27" s="14">
        <f>H27/B3</f>
        <v>1</v>
      </c>
      <c r="J27" s="2">
        <v>0.0</v>
      </c>
      <c r="K27" s="2">
        <v>0.0</v>
      </c>
      <c r="L27" s="2">
        <v>0.0</v>
      </c>
      <c r="M27" s="7"/>
      <c r="N27" s="7"/>
    </row>
    <row r="28">
      <c r="A28" s="12">
        <v>46219.0</v>
      </c>
      <c r="B28" s="6" t="s">
        <v>62</v>
      </c>
      <c r="C28" s="2">
        <v>0.0</v>
      </c>
      <c r="D28" s="16">
        <f t="shared" si="3"/>
        <v>20</v>
      </c>
      <c r="E28" s="17">
        <f>D28/B1</f>
        <v>1</v>
      </c>
      <c r="F28" s="16">
        <f t="shared" si="4"/>
        <v>20</v>
      </c>
      <c r="G28" s="17">
        <f>F28/B2</f>
        <v>1</v>
      </c>
      <c r="H28" s="15">
        <f t="shared" si="5"/>
        <v>20</v>
      </c>
      <c r="I28" s="14">
        <f>H28/B3</f>
        <v>1</v>
      </c>
      <c r="J28" s="2">
        <v>0.0</v>
      </c>
      <c r="K28" s="2">
        <v>0.0</v>
      </c>
      <c r="L28" s="2">
        <v>0.0</v>
      </c>
      <c r="M28" s="7"/>
      <c r="N28" s="7"/>
    </row>
    <row r="29">
      <c r="A29" s="12">
        <v>46219.0</v>
      </c>
      <c r="B29" s="6" t="s">
        <v>63</v>
      </c>
      <c r="C29" s="2">
        <v>0.0</v>
      </c>
      <c r="D29" s="16">
        <f t="shared" si="3"/>
        <v>20</v>
      </c>
      <c r="E29" s="17">
        <f>D29/B1</f>
        <v>1</v>
      </c>
      <c r="F29" s="16">
        <f t="shared" si="4"/>
        <v>20</v>
      </c>
      <c r="G29" s="17">
        <f>F29/B2</f>
        <v>1</v>
      </c>
      <c r="H29" s="15">
        <f t="shared" si="5"/>
        <v>20</v>
      </c>
      <c r="I29" s="14">
        <f>H29/B3</f>
        <v>1</v>
      </c>
      <c r="J29" s="2">
        <v>0.0</v>
      </c>
      <c r="K29" s="2">
        <v>0.0</v>
      </c>
      <c r="L29" s="2">
        <v>0.0</v>
      </c>
      <c r="M29" s="7"/>
      <c r="N29" s="7"/>
    </row>
    <row r="30">
      <c r="A30" s="12">
        <v>46220.0</v>
      </c>
      <c r="B30" s="6" t="s">
        <v>61</v>
      </c>
      <c r="C30" s="2">
        <v>0.0</v>
      </c>
      <c r="D30" s="16">
        <f t="shared" si="3"/>
        <v>20</v>
      </c>
      <c r="E30" s="17">
        <f>D30/B1</f>
        <v>1</v>
      </c>
      <c r="F30" s="16">
        <f t="shared" si="4"/>
        <v>20</v>
      </c>
      <c r="G30" s="17">
        <f>F30/B2</f>
        <v>1</v>
      </c>
      <c r="H30" s="15">
        <f t="shared" si="5"/>
        <v>20</v>
      </c>
      <c r="I30" s="14">
        <f>H30/B3</f>
        <v>1</v>
      </c>
      <c r="J30" s="2">
        <v>0.0</v>
      </c>
      <c r="K30" s="2">
        <v>0.0</v>
      </c>
      <c r="L30" s="2">
        <v>0.0</v>
      </c>
      <c r="M30" s="7"/>
      <c r="N30" s="7"/>
    </row>
    <row r="31">
      <c r="A31" s="12">
        <v>46220.0</v>
      </c>
      <c r="B31" s="6" t="s">
        <v>62</v>
      </c>
      <c r="C31" s="2">
        <v>0.0</v>
      </c>
      <c r="D31" s="16">
        <f t="shared" si="3"/>
        <v>20</v>
      </c>
      <c r="E31" s="17">
        <f>D31/B1</f>
        <v>1</v>
      </c>
      <c r="F31" s="16">
        <f t="shared" si="4"/>
        <v>20</v>
      </c>
      <c r="G31" s="17">
        <f>F31/B2</f>
        <v>1</v>
      </c>
      <c r="H31" s="15">
        <f t="shared" si="5"/>
        <v>20</v>
      </c>
      <c r="I31" s="14">
        <f>H31/B3</f>
        <v>1</v>
      </c>
      <c r="J31" s="2">
        <v>0.0</v>
      </c>
      <c r="K31" s="2">
        <v>0.0</v>
      </c>
      <c r="L31" s="2">
        <v>0.0</v>
      </c>
      <c r="M31" s="7"/>
      <c r="N31" s="7"/>
    </row>
    <row r="32">
      <c r="A32" s="12">
        <v>46220.0</v>
      </c>
      <c r="B32" s="6" t="s">
        <v>63</v>
      </c>
      <c r="C32" s="2">
        <v>0.0</v>
      </c>
      <c r="D32" s="16">
        <f t="shared" si="3"/>
        <v>20</v>
      </c>
      <c r="E32" s="17">
        <f>D32/B1</f>
        <v>1</v>
      </c>
      <c r="F32" s="16">
        <f t="shared" si="4"/>
        <v>20</v>
      </c>
      <c r="G32" s="17">
        <f>F32/B2</f>
        <v>1</v>
      </c>
      <c r="H32" s="15">
        <f t="shared" si="5"/>
        <v>20</v>
      </c>
      <c r="I32" s="14">
        <f>H32/B3</f>
        <v>1</v>
      </c>
      <c r="J32" s="2">
        <v>0.0</v>
      </c>
      <c r="K32" s="2">
        <v>0.0</v>
      </c>
      <c r="L32" s="2">
        <v>0.0</v>
      </c>
      <c r="M32" s="7"/>
      <c r="N32" s="7"/>
    </row>
    <row r="33">
      <c r="A33" s="12">
        <v>46221.0</v>
      </c>
      <c r="B33" s="6" t="s">
        <v>61</v>
      </c>
      <c r="C33" s="2">
        <v>0.0</v>
      </c>
      <c r="D33" s="16">
        <f t="shared" si="3"/>
        <v>20</v>
      </c>
      <c r="E33" s="17">
        <f>D33/B1</f>
        <v>1</v>
      </c>
      <c r="F33" s="16">
        <f t="shared" si="4"/>
        <v>20</v>
      </c>
      <c r="G33" s="17">
        <f>F33/B2</f>
        <v>1</v>
      </c>
      <c r="H33" s="15">
        <f t="shared" si="5"/>
        <v>20</v>
      </c>
      <c r="I33" s="14">
        <f>H33/B3</f>
        <v>1</v>
      </c>
      <c r="J33" s="2">
        <v>0.0</v>
      </c>
      <c r="K33" s="2">
        <v>0.0</v>
      </c>
      <c r="L33" s="2">
        <v>0.0</v>
      </c>
      <c r="M33" s="7"/>
      <c r="N33" s="7"/>
    </row>
    <row r="34">
      <c r="A34" s="12">
        <v>46221.0</v>
      </c>
      <c r="B34" s="6" t="s">
        <v>62</v>
      </c>
      <c r="C34" s="2">
        <v>0.0</v>
      </c>
      <c r="D34" s="16">
        <f t="shared" si="3"/>
        <v>20</v>
      </c>
      <c r="E34" s="17">
        <f>D34/B1</f>
        <v>1</v>
      </c>
      <c r="F34" s="16">
        <f t="shared" si="4"/>
        <v>20</v>
      </c>
      <c r="G34" s="17">
        <f>F34/B2</f>
        <v>1</v>
      </c>
      <c r="H34" s="15">
        <f t="shared" si="5"/>
        <v>20</v>
      </c>
      <c r="I34" s="14">
        <f>H34/B3</f>
        <v>1</v>
      </c>
      <c r="J34" s="2">
        <v>0.0</v>
      </c>
      <c r="K34" s="2">
        <v>0.0</v>
      </c>
      <c r="L34" s="2">
        <v>0.0</v>
      </c>
      <c r="M34" s="7"/>
      <c r="N34" s="7"/>
    </row>
    <row r="35">
      <c r="A35" s="12">
        <v>46221.0</v>
      </c>
      <c r="B35" s="6" t="s">
        <v>63</v>
      </c>
      <c r="C35" s="2">
        <v>0.0</v>
      </c>
      <c r="D35" s="16">
        <f t="shared" si="3"/>
        <v>20</v>
      </c>
      <c r="E35" s="17">
        <f>D35/B1</f>
        <v>1</v>
      </c>
      <c r="F35" s="16">
        <f t="shared" si="4"/>
        <v>20</v>
      </c>
      <c r="G35" s="17">
        <f>F35/B2</f>
        <v>1</v>
      </c>
      <c r="H35" s="15">
        <f t="shared" si="5"/>
        <v>20</v>
      </c>
      <c r="I35" s="14">
        <f>H35/B3</f>
        <v>1</v>
      </c>
      <c r="J35" s="2">
        <v>0.0</v>
      </c>
      <c r="K35" s="2">
        <v>0.0</v>
      </c>
      <c r="L35" s="2">
        <v>0.0</v>
      </c>
      <c r="M35" s="7"/>
      <c r="N35" s="7"/>
    </row>
    <row r="36">
      <c r="A36" s="12">
        <v>46222.0</v>
      </c>
      <c r="B36" s="6" t="s">
        <v>61</v>
      </c>
      <c r="C36" s="2">
        <v>0.0</v>
      </c>
      <c r="D36" s="16">
        <f t="shared" si="3"/>
        <v>20</v>
      </c>
      <c r="E36" s="17">
        <f>D36/B1</f>
        <v>1</v>
      </c>
      <c r="F36" s="16">
        <f t="shared" si="4"/>
        <v>20</v>
      </c>
      <c r="G36" s="17">
        <f>F36/B2</f>
        <v>1</v>
      </c>
      <c r="H36" s="15">
        <f t="shared" si="5"/>
        <v>20</v>
      </c>
      <c r="I36" s="14">
        <f>H36/B3</f>
        <v>1</v>
      </c>
      <c r="J36" s="2">
        <v>0.0</v>
      </c>
      <c r="K36" s="2">
        <v>0.0</v>
      </c>
      <c r="L36" s="2">
        <v>0.0</v>
      </c>
      <c r="M36" s="7"/>
      <c r="N36" s="7"/>
    </row>
    <row r="37">
      <c r="A37" s="12">
        <v>46222.0</v>
      </c>
      <c r="B37" s="6" t="s">
        <v>62</v>
      </c>
      <c r="C37" s="2">
        <v>0.0</v>
      </c>
      <c r="D37" s="16">
        <f t="shared" si="3"/>
        <v>20</v>
      </c>
      <c r="E37" s="17">
        <f>D37/B1</f>
        <v>1</v>
      </c>
      <c r="F37" s="16">
        <f t="shared" si="4"/>
        <v>20</v>
      </c>
      <c r="G37" s="17">
        <f>F37/B2</f>
        <v>1</v>
      </c>
      <c r="H37" s="15">
        <f t="shared" si="5"/>
        <v>20</v>
      </c>
      <c r="I37" s="14">
        <f>H37/B3</f>
        <v>1</v>
      </c>
      <c r="J37" s="2">
        <v>0.0</v>
      </c>
      <c r="K37" s="2">
        <v>0.0</v>
      </c>
      <c r="L37" s="2">
        <v>0.0</v>
      </c>
      <c r="M37" s="7"/>
      <c r="N37" s="7"/>
    </row>
    <row r="38">
      <c r="A38" s="12">
        <v>46222.0</v>
      </c>
      <c r="B38" s="6" t="s">
        <v>63</v>
      </c>
      <c r="C38" s="2">
        <v>0.0</v>
      </c>
      <c r="D38" s="16">
        <f t="shared" si="3"/>
        <v>20</v>
      </c>
      <c r="E38" s="17">
        <f>D38/B1</f>
        <v>1</v>
      </c>
      <c r="F38" s="16">
        <f t="shared" si="4"/>
        <v>20</v>
      </c>
      <c r="G38" s="17">
        <f>F38/B2</f>
        <v>1</v>
      </c>
      <c r="H38" s="15">
        <f t="shared" si="5"/>
        <v>20</v>
      </c>
      <c r="I38" s="14">
        <f>H38/B3</f>
        <v>1</v>
      </c>
      <c r="J38" s="2">
        <v>0.0</v>
      </c>
      <c r="K38" s="2">
        <v>0.0</v>
      </c>
      <c r="L38" s="2">
        <v>0.0</v>
      </c>
      <c r="M38" s="7"/>
      <c r="N38" s="7"/>
    </row>
    <row r="39">
      <c r="A39" s="12">
        <v>46223.0</v>
      </c>
      <c r="B39" s="6" t="s">
        <v>61</v>
      </c>
      <c r="C39" s="2">
        <v>0.0</v>
      </c>
      <c r="D39" s="16">
        <f t="shared" si="3"/>
        <v>20</v>
      </c>
      <c r="E39" s="17">
        <f>D39/B1</f>
        <v>1</v>
      </c>
      <c r="F39" s="16">
        <f t="shared" si="4"/>
        <v>20</v>
      </c>
      <c r="G39" s="17">
        <f>F39/B2</f>
        <v>1</v>
      </c>
      <c r="H39" s="15">
        <f t="shared" si="5"/>
        <v>20</v>
      </c>
      <c r="I39" s="14">
        <f>H39/B3</f>
        <v>1</v>
      </c>
      <c r="J39" s="2">
        <v>0.0</v>
      </c>
      <c r="K39" s="2">
        <v>0.0</v>
      </c>
      <c r="L39" s="2">
        <v>0.0</v>
      </c>
      <c r="M39" s="7"/>
      <c r="N39" s="7"/>
    </row>
    <row r="40">
      <c r="A40" s="12">
        <v>46223.0</v>
      </c>
      <c r="B40" s="6" t="s">
        <v>62</v>
      </c>
      <c r="C40" s="2">
        <v>0.0</v>
      </c>
      <c r="D40" s="16">
        <f t="shared" si="3"/>
        <v>20</v>
      </c>
      <c r="E40" s="17">
        <f>D40/B1</f>
        <v>1</v>
      </c>
      <c r="F40" s="16">
        <f t="shared" si="4"/>
        <v>20</v>
      </c>
      <c r="G40" s="17">
        <f>F40/B2</f>
        <v>1</v>
      </c>
      <c r="H40" s="15">
        <f t="shared" si="5"/>
        <v>20</v>
      </c>
      <c r="I40" s="14">
        <f>H40/B3</f>
        <v>1</v>
      </c>
      <c r="J40" s="2">
        <v>0.0</v>
      </c>
      <c r="K40" s="2">
        <v>0.0</v>
      </c>
      <c r="L40" s="2">
        <v>0.0</v>
      </c>
      <c r="M40" s="7"/>
      <c r="N40" s="7"/>
    </row>
    <row r="41">
      <c r="A41" s="12">
        <v>46223.0</v>
      </c>
      <c r="B41" s="6" t="s">
        <v>63</v>
      </c>
      <c r="C41" s="2">
        <v>0.0</v>
      </c>
      <c r="D41" s="16">
        <f t="shared" si="3"/>
        <v>20</v>
      </c>
      <c r="E41" s="17">
        <f>D41/B1</f>
        <v>1</v>
      </c>
      <c r="F41" s="16">
        <f t="shared" si="4"/>
        <v>20</v>
      </c>
      <c r="G41" s="17">
        <f>F41/B2</f>
        <v>1</v>
      </c>
      <c r="H41" s="15">
        <f t="shared" si="5"/>
        <v>20</v>
      </c>
      <c r="I41" s="14">
        <f>H41/B3</f>
        <v>1</v>
      </c>
      <c r="J41" s="2">
        <v>0.0</v>
      </c>
      <c r="K41" s="2">
        <v>0.0</v>
      </c>
      <c r="L41" s="2">
        <v>0.0</v>
      </c>
      <c r="M41" s="7"/>
      <c r="N41" s="7"/>
    </row>
    <row r="42">
      <c r="A42" s="12">
        <v>46224.0</v>
      </c>
      <c r="B42" s="6" t="s">
        <v>61</v>
      </c>
      <c r="C42" s="2">
        <v>0.0</v>
      </c>
      <c r="D42" s="16">
        <f t="shared" si="3"/>
        <v>20</v>
      </c>
      <c r="E42" s="17">
        <f>D42/B1</f>
        <v>1</v>
      </c>
      <c r="F42" s="16">
        <f t="shared" si="4"/>
        <v>20</v>
      </c>
      <c r="G42" s="17">
        <f>F42/B2</f>
        <v>1</v>
      </c>
      <c r="H42" s="15">
        <f t="shared" si="5"/>
        <v>20</v>
      </c>
      <c r="I42" s="14">
        <f>H42/B3</f>
        <v>1</v>
      </c>
      <c r="J42" s="2">
        <v>0.0</v>
      </c>
      <c r="K42" s="2">
        <v>0.0</v>
      </c>
      <c r="L42" s="2">
        <v>0.0</v>
      </c>
      <c r="M42" s="7"/>
      <c r="N42" s="7"/>
    </row>
    <row r="43">
      <c r="A43" s="12">
        <v>46224.0</v>
      </c>
      <c r="B43" s="6" t="s">
        <v>62</v>
      </c>
      <c r="C43" s="2">
        <v>0.0</v>
      </c>
      <c r="D43" s="16">
        <f t="shared" si="3"/>
        <v>20</v>
      </c>
      <c r="E43" s="17">
        <f>D43/B1</f>
        <v>1</v>
      </c>
      <c r="F43" s="16">
        <f t="shared" si="4"/>
        <v>20</v>
      </c>
      <c r="G43" s="17">
        <f>F43/B2</f>
        <v>1</v>
      </c>
      <c r="H43" s="15">
        <f t="shared" si="5"/>
        <v>20</v>
      </c>
      <c r="I43" s="14">
        <f>H43/B3</f>
        <v>1</v>
      </c>
      <c r="J43" s="2">
        <v>0.0</v>
      </c>
      <c r="K43" s="2">
        <v>0.0</v>
      </c>
      <c r="L43" s="2">
        <v>0.0</v>
      </c>
      <c r="M43" s="7"/>
      <c r="N43" s="7"/>
    </row>
    <row r="44">
      <c r="A44" s="12">
        <v>46224.0</v>
      </c>
      <c r="B44" s="6" t="s">
        <v>63</v>
      </c>
      <c r="C44" s="2">
        <v>0.0</v>
      </c>
      <c r="D44" s="16">
        <f t="shared" si="3"/>
        <v>20</v>
      </c>
      <c r="E44" s="17">
        <f>D44/B1</f>
        <v>1</v>
      </c>
      <c r="F44" s="16">
        <f t="shared" si="4"/>
        <v>20</v>
      </c>
      <c r="G44" s="17">
        <f>F44/B2</f>
        <v>1</v>
      </c>
      <c r="H44" s="15">
        <f t="shared" si="5"/>
        <v>20</v>
      </c>
      <c r="I44" s="14">
        <f>H44/B3</f>
        <v>1</v>
      </c>
      <c r="J44" s="2">
        <v>0.0</v>
      </c>
      <c r="K44" s="2">
        <v>0.0</v>
      </c>
      <c r="L44" s="2">
        <v>0.0</v>
      </c>
      <c r="M44" s="7"/>
      <c r="N44" s="7"/>
    </row>
    <row r="45">
      <c r="A45" s="12">
        <v>46225.0</v>
      </c>
      <c r="B45" s="6" t="s">
        <v>61</v>
      </c>
      <c r="C45" s="2">
        <v>0.0</v>
      </c>
      <c r="D45" s="16">
        <f t="shared" si="3"/>
        <v>20</v>
      </c>
      <c r="E45" s="17">
        <f>D45/B1</f>
        <v>1</v>
      </c>
      <c r="F45" s="16">
        <f t="shared" si="4"/>
        <v>20</v>
      </c>
      <c r="G45" s="17">
        <f>F45/B2</f>
        <v>1</v>
      </c>
      <c r="H45" s="15">
        <f t="shared" si="5"/>
        <v>20</v>
      </c>
      <c r="I45" s="14">
        <f>H45/B3</f>
        <v>1</v>
      </c>
      <c r="J45" s="2">
        <v>0.0</v>
      </c>
      <c r="K45" s="2">
        <v>0.0</v>
      </c>
      <c r="L45" s="2">
        <v>0.0</v>
      </c>
      <c r="M45" s="7"/>
      <c r="N45" s="7"/>
    </row>
    <row r="46">
      <c r="A46" s="12">
        <v>46225.0</v>
      </c>
      <c r="B46" s="6" t="s">
        <v>62</v>
      </c>
      <c r="C46" s="2">
        <v>0.0</v>
      </c>
      <c r="D46" s="16">
        <f t="shared" si="3"/>
        <v>20</v>
      </c>
      <c r="E46" s="17">
        <f>D46/B1</f>
        <v>1</v>
      </c>
      <c r="F46" s="16">
        <f t="shared" si="4"/>
        <v>20</v>
      </c>
      <c r="G46" s="17">
        <f>F46/B2</f>
        <v>1</v>
      </c>
      <c r="H46" s="15">
        <f t="shared" si="5"/>
        <v>20</v>
      </c>
      <c r="I46" s="14">
        <f>H46/B3</f>
        <v>1</v>
      </c>
      <c r="J46" s="2">
        <v>0.0</v>
      </c>
      <c r="K46" s="2">
        <v>0.0</v>
      </c>
      <c r="L46" s="2">
        <v>0.0</v>
      </c>
      <c r="M46" s="7"/>
      <c r="N46" s="7"/>
    </row>
    <row r="47">
      <c r="A47" s="12">
        <v>46225.0</v>
      </c>
      <c r="B47" s="6" t="s">
        <v>63</v>
      </c>
      <c r="C47" s="2">
        <v>0.0</v>
      </c>
      <c r="D47" s="16">
        <f t="shared" si="3"/>
        <v>20</v>
      </c>
      <c r="E47" s="17">
        <f>D47/B1</f>
        <v>1</v>
      </c>
      <c r="F47" s="16">
        <f t="shared" si="4"/>
        <v>20</v>
      </c>
      <c r="G47" s="17">
        <f>F47/B2</f>
        <v>1</v>
      </c>
      <c r="H47" s="15">
        <f t="shared" si="5"/>
        <v>20</v>
      </c>
      <c r="I47" s="14">
        <f>H47/B3</f>
        <v>1</v>
      </c>
      <c r="J47" s="2">
        <v>0.0</v>
      </c>
      <c r="K47" s="2">
        <v>0.0</v>
      </c>
      <c r="L47" s="2">
        <v>0.0</v>
      </c>
      <c r="M47" s="7"/>
      <c r="N47" s="7"/>
    </row>
    <row r="48">
      <c r="A48" s="12">
        <v>46226.0</v>
      </c>
      <c r="B48" s="6" t="s">
        <v>61</v>
      </c>
      <c r="C48" s="2">
        <v>0.0</v>
      </c>
      <c r="D48" s="16">
        <f t="shared" si="3"/>
        <v>20</v>
      </c>
      <c r="E48" s="17">
        <f>D48/B1</f>
        <v>1</v>
      </c>
      <c r="F48" s="16">
        <f t="shared" si="4"/>
        <v>20</v>
      </c>
      <c r="G48" s="17">
        <f>F48/B2</f>
        <v>1</v>
      </c>
      <c r="H48" s="15">
        <f t="shared" si="5"/>
        <v>20</v>
      </c>
      <c r="I48" s="14">
        <f>H48/B3</f>
        <v>1</v>
      </c>
      <c r="J48" s="2">
        <v>0.0</v>
      </c>
      <c r="K48" s="2">
        <v>0.0</v>
      </c>
      <c r="L48" s="2">
        <v>0.0</v>
      </c>
      <c r="M48" s="7"/>
      <c r="N48" s="7"/>
    </row>
    <row r="49">
      <c r="A49" s="12">
        <v>46226.0</v>
      </c>
      <c r="B49" s="6" t="s">
        <v>62</v>
      </c>
      <c r="C49" s="2">
        <v>0.0</v>
      </c>
      <c r="D49" s="16">
        <f t="shared" si="3"/>
        <v>20</v>
      </c>
      <c r="E49" s="17">
        <f>D49/B1</f>
        <v>1</v>
      </c>
      <c r="F49" s="16">
        <f t="shared" si="4"/>
        <v>20</v>
      </c>
      <c r="G49" s="17">
        <f>F49/B2</f>
        <v>1</v>
      </c>
      <c r="H49" s="15">
        <f t="shared" si="5"/>
        <v>20</v>
      </c>
      <c r="I49" s="14">
        <f>H49/B3</f>
        <v>1</v>
      </c>
      <c r="J49" s="2">
        <v>0.0</v>
      </c>
      <c r="K49" s="2">
        <v>0.0</v>
      </c>
      <c r="L49" s="2">
        <v>0.0</v>
      </c>
      <c r="M49" s="7"/>
      <c r="N49" s="7"/>
    </row>
    <row r="50">
      <c r="A50" s="12">
        <v>46226.0</v>
      </c>
      <c r="B50" s="6" t="s">
        <v>63</v>
      </c>
      <c r="C50" s="2">
        <v>0.0</v>
      </c>
      <c r="D50" s="16">
        <f t="shared" si="3"/>
        <v>20</v>
      </c>
      <c r="E50" s="17">
        <f>D50/B1</f>
        <v>1</v>
      </c>
      <c r="F50" s="16">
        <f t="shared" si="4"/>
        <v>20</v>
      </c>
      <c r="G50" s="17">
        <f>F50/B2</f>
        <v>1</v>
      </c>
      <c r="H50" s="15">
        <f t="shared" si="5"/>
        <v>20</v>
      </c>
      <c r="I50" s="14">
        <f>H50/B3</f>
        <v>1</v>
      </c>
      <c r="J50" s="2">
        <v>0.0</v>
      </c>
      <c r="K50" s="2">
        <v>0.0</v>
      </c>
      <c r="L50" s="2">
        <v>0.0</v>
      </c>
      <c r="M50" s="7"/>
      <c r="N50" s="7"/>
    </row>
    <row r="51">
      <c r="A51" s="12">
        <v>46227.0</v>
      </c>
      <c r="B51" s="6" t="s">
        <v>61</v>
      </c>
      <c r="C51" s="2">
        <v>0.0</v>
      </c>
      <c r="D51" s="16">
        <f t="shared" si="3"/>
        <v>20</v>
      </c>
      <c r="E51" s="17">
        <f>D51/B1</f>
        <v>1</v>
      </c>
      <c r="F51" s="16">
        <f t="shared" si="4"/>
        <v>20</v>
      </c>
      <c r="G51" s="17">
        <f>F51/B2</f>
        <v>1</v>
      </c>
      <c r="H51" s="15">
        <f t="shared" si="5"/>
        <v>20</v>
      </c>
      <c r="I51" s="14">
        <f>H51/B3</f>
        <v>1</v>
      </c>
      <c r="J51" s="2">
        <v>0.0</v>
      </c>
      <c r="K51" s="2">
        <v>0.0</v>
      </c>
      <c r="L51" s="2">
        <v>0.0</v>
      </c>
      <c r="M51" s="7"/>
      <c r="N51" s="7"/>
    </row>
    <row r="52">
      <c r="A52" s="12">
        <v>46227.0</v>
      </c>
      <c r="B52" s="6" t="s">
        <v>62</v>
      </c>
      <c r="C52" s="2">
        <v>0.0</v>
      </c>
      <c r="D52" s="16">
        <f t="shared" si="3"/>
        <v>20</v>
      </c>
      <c r="E52" s="17">
        <f>D52/B1</f>
        <v>1</v>
      </c>
      <c r="F52" s="16">
        <f t="shared" si="4"/>
        <v>20</v>
      </c>
      <c r="G52" s="17">
        <f>F52/B2</f>
        <v>1</v>
      </c>
      <c r="H52" s="15">
        <f t="shared" si="5"/>
        <v>20</v>
      </c>
      <c r="I52" s="14">
        <f>H52/B3</f>
        <v>1</v>
      </c>
      <c r="J52" s="2">
        <v>0.0</v>
      </c>
      <c r="K52" s="2">
        <v>0.0</v>
      </c>
      <c r="L52" s="2">
        <v>0.0</v>
      </c>
      <c r="M52" s="7"/>
      <c r="N52" s="7"/>
    </row>
    <row r="53">
      <c r="A53" s="12">
        <v>46227.0</v>
      </c>
      <c r="B53" s="6" t="s">
        <v>63</v>
      </c>
      <c r="C53" s="2">
        <v>0.0</v>
      </c>
      <c r="D53" s="16">
        <f t="shared" si="3"/>
        <v>20</v>
      </c>
      <c r="E53" s="17">
        <f>D53/B1</f>
        <v>1</v>
      </c>
      <c r="F53" s="16">
        <f t="shared" si="4"/>
        <v>20</v>
      </c>
      <c r="G53" s="17">
        <f>F53/B2</f>
        <v>1</v>
      </c>
      <c r="H53" s="15">
        <f t="shared" si="5"/>
        <v>20</v>
      </c>
      <c r="I53" s="14">
        <f>H53/B3</f>
        <v>1</v>
      </c>
      <c r="J53" s="2">
        <v>0.0</v>
      </c>
      <c r="K53" s="2">
        <v>0.0</v>
      </c>
      <c r="L53" s="2">
        <v>0.0</v>
      </c>
      <c r="M53" s="7"/>
      <c r="N53" s="7"/>
    </row>
    <row r="54">
      <c r="A54" s="12">
        <v>46228.0</v>
      </c>
      <c r="B54" s="6" t="s">
        <v>61</v>
      </c>
      <c r="C54" s="2">
        <v>0.98</v>
      </c>
      <c r="D54" s="16">
        <f t="shared" si="3"/>
        <v>19.02</v>
      </c>
      <c r="E54" s="17">
        <f>D54/B1</f>
        <v>0.951</v>
      </c>
      <c r="F54" s="16">
        <f t="shared" si="4"/>
        <v>20</v>
      </c>
      <c r="G54" s="17">
        <f>F54/B2</f>
        <v>1</v>
      </c>
      <c r="H54" s="15">
        <f t="shared" si="5"/>
        <v>20</v>
      </c>
      <c r="I54" s="14">
        <f>H54/B3</f>
        <v>1</v>
      </c>
      <c r="J54" s="2">
        <v>0.0</v>
      </c>
      <c r="K54" s="2">
        <v>0.0</v>
      </c>
      <c r="L54" s="2">
        <v>0.0</v>
      </c>
      <c r="M54" s="7"/>
      <c r="N54" s="7"/>
    </row>
    <row r="55">
      <c r="A55" s="12">
        <v>46228.0</v>
      </c>
      <c r="B55" s="6" t="s">
        <v>62</v>
      </c>
      <c r="C55" s="2">
        <v>0.0</v>
      </c>
      <c r="D55" s="16">
        <f t="shared" si="3"/>
        <v>19.02</v>
      </c>
      <c r="E55" s="17">
        <f>D55/B1</f>
        <v>0.951</v>
      </c>
      <c r="F55" s="16">
        <f t="shared" si="4"/>
        <v>20</v>
      </c>
      <c r="G55" s="17">
        <f>F55/B2</f>
        <v>1</v>
      </c>
      <c r="H55" s="15">
        <f t="shared" si="5"/>
        <v>20</v>
      </c>
      <c r="I55" s="14">
        <f>H55/B3</f>
        <v>1</v>
      </c>
      <c r="J55" s="2">
        <v>0.0</v>
      </c>
      <c r="K55" s="2">
        <v>0.0</v>
      </c>
      <c r="L55" s="2">
        <v>0.0</v>
      </c>
      <c r="M55" s="7"/>
      <c r="N55" s="7"/>
    </row>
    <row r="56">
      <c r="A56" s="12">
        <v>46228.0</v>
      </c>
      <c r="B56" s="6" t="s">
        <v>63</v>
      </c>
      <c r="C56" s="2">
        <v>0.82</v>
      </c>
      <c r="D56" s="16">
        <f t="shared" si="3"/>
        <v>19.02</v>
      </c>
      <c r="E56" s="17">
        <f>D56/B1</f>
        <v>0.951</v>
      </c>
      <c r="F56" s="16">
        <f t="shared" si="4"/>
        <v>20</v>
      </c>
      <c r="G56" s="17">
        <f>F56/B2</f>
        <v>1</v>
      </c>
      <c r="H56" s="15">
        <f t="shared" si="5"/>
        <v>19.18</v>
      </c>
      <c r="I56" s="14">
        <f>H56/B3</f>
        <v>0.959</v>
      </c>
      <c r="J56" s="2">
        <v>0.0</v>
      </c>
      <c r="K56" s="2">
        <v>0.0</v>
      </c>
      <c r="L56" s="2">
        <v>0.0</v>
      </c>
      <c r="M56" s="7"/>
      <c r="N56" s="7"/>
    </row>
    <row r="57">
      <c r="A57" s="12">
        <v>46229.0</v>
      </c>
      <c r="B57" s="6" t="s">
        <v>61</v>
      </c>
      <c r="C57" s="2">
        <v>0.0</v>
      </c>
      <c r="D57" s="16">
        <f t="shared" si="3"/>
        <v>19.02</v>
      </c>
      <c r="E57" s="17">
        <f>D57/B1</f>
        <v>0.951</v>
      </c>
      <c r="F57" s="16">
        <f t="shared" si="4"/>
        <v>20</v>
      </c>
      <c r="G57" s="17">
        <f>F57/B2</f>
        <v>1</v>
      </c>
      <c r="H57" s="15">
        <f t="shared" si="5"/>
        <v>19.18</v>
      </c>
      <c r="I57" s="14">
        <f>H57/B3</f>
        <v>0.959</v>
      </c>
      <c r="J57" s="2">
        <v>0.0</v>
      </c>
      <c r="K57" s="2">
        <v>0.0</v>
      </c>
      <c r="L57" s="2">
        <v>0.0</v>
      </c>
      <c r="M57" s="7"/>
      <c r="N57" s="7"/>
    </row>
    <row r="58">
      <c r="A58" s="12">
        <v>46229.0</v>
      </c>
      <c r="B58" s="6" t="s">
        <v>62</v>
      </c>
      <c r="C58" s="2">
        <v>1.35</v>
      </c>
      <c r="D58" s="16">
        <f t="shared" si="3"/>
        <v>19.02</v>
      </c>
      <c r="E58" s="17">
        <f>D58/B1</f>
        <v>0.951</v>
      </c>
      <c r="F58" s="16">
        <f t="shared" si="4"/>
        <v>18.65</v>
      </c>
      <c r="G58" s="17">
        <f>F58/B2</f>
        <v>0.9325</v>
      </c>
      <c r="H58" s="15">
        <f t="shared" si="5"/>
        <v>19.18</v>
      </c>
      <c r="I58" s="14">
        <f>H58/B3</f>
        <v>0.959</v>
      </c>
      <c r="J58" s="2">
        <v>0.0</v>
      </c>
      <c r="K58" s="2">
        <v>0.0</v>
      </c>
      <c r="L58" s="2">
        <v>0.0</v>
      </c>
      <c r="M58" s="7"/>
      <c r="N58" s="7"/>
    </row>
    <row r="59">
      <c r="A59" s="12">
        <v>46229.0</v>
      </c>
      <c r="B59" s="6" t="s">
        <v>63</v>
      </c>
      <c r="C59" s="2">
        <v>1.08</v>
      </c>
      <c r="D59" s="16">
        <f t="shared" si="3"/>
        <v>19.02</v>
      </c>
      <c r="E59" s="17">
        <f>D59/B1</f>
        <v>0.951</v>
      </c>
      <c r="F59" s="16">
        <f t="shared" si="4"/>
        <v>18.65</v>
      </c>
      <c r="G59" s="17">
        <f>F59/B2</f>
        <v>0.9325</v>
      </c>
      <c r="H59" s="15">
        <f t="shared" si="5"/>
        <v>18.1</v>
      </c>
      <c r="I59" s="14">
        <f>H59/B3</f>
        <v>0.905</v>
      </c>
      <c r="J59" s="2">
        <v>0.0</v>
      </c>
      <c r="K59" s="2">
        <v>0.0</v>
      </c>
      <c r="L59" s="2">
        <v>0.0</v>
      </c>
    </row>
    <row r="60">
      <c r="A60" s="12">
        <v>46230.0</v>
      </c>
      <c r="B60" s="6" t="s">
        <v>61</v>
      </c>
      <c r="C60" s="2">
        <v>0.0</v>
      </c>
      <c r="D60" s="16">
        <f t="shared" si="3"/>
        <v>19.02</v>
      </c>
      <c r="E60" s="17">
        <f>D60/B1</f>
        <v>0.951</v>
      </c>
      <c r="F60" s="16">
        <f t="shared" si="4"/>
        <v>18.65</v>
      </c>
      <c r="G60" s="17">
        <f>F60/B2</f>
        <v>0.9325</v>
      </c>
      <c r="H60" s="15">
        <f t="shared" si="5"/>
        <v>18.1</v>
      </c>
      <c r="I60" s="14">
        <f>H60/B3</f>
        <v>0.905</v>
      </c>
      <c r="J60" s="2">
        <v>0.0</v>
      </c>
      <c r="K60" s="2">
        <v>0.0</v>
      </c>
      <c r="L60" s="2">
        <v>0.0</v>
      </c>
    </row>
    <row r="61">
      <c r="A61" s="12">
        <v>46230.0</v>
      </c>
      <c r="B61" s="6" t="s">
        <v>62</v>
      </c>
      <c r="C61" s="2">
        <v>0.0</v>
      </c>
      <c r="D61" s="16">
        <f t="shared" si="3"/>
        <v>19.02</v>
      </c>
      <c r="E61" s="17">
        <f>D61/B1</f>
        <v>0.951</v>
      </c>
      <c r="F61" s="16">
        <f t="shared" si="4"/>
        <v>18.65</v>
      </c>
      <c r="G61" s="17">
        <f>F61/B2</f>
        <v>0.9325</v>
      </c>
      <c r="H61" s="15">
        <f t="shared" si="5"/>
        <v>18.1</v>
      </c>
      <c r="I61" s="14">
        <f>H61/B3</f>
        <v>0.905</v>
      </c>
      <c r="J61" s="2">
        <v>0.0</v>
      </c>
      <c r="K61" s="2">
        <v>0.0</v>
      </c>
      <c r="L61" s="2">
        <v>0.0</v>
      </c>
    </row>
    <row r="62">
      <c r="A62" s="12">
        <v>46230.0</v>
      </c>
      <c r="B62" s="6" t="s">
        <v>63</v>
      </c>
      <c r="C62" s="2">
        <v>0.87</v>
      </c>
      <c r="D62" s="16">
        <f t="shared" si="3"/>
        <v>19.02</v>
      </c>
      <c r="E62" s="17">
        <f>D62/B1</f>
        <v>0.951</v>
      </c>
      <c r="F62" s="16">
        <f t="shared" si="4"/>
        <v>18.65</v>
      </c>
      <c r="G62" s="17">
        <f>F62/B2</f>
        <v>0.9325</v>
      </c>
      <c r="H62" s="15">
        <f t="shared" si="5"/>
        <v>17.23</v>
      </c>
      <c r="I62" s="14">
        <f>H62/B3</f>
        <v>0.8615</v>
      </c>
      <c r="J62" s="2">
        <v>0.0</v>
      </c>
      <c r="K62" s="2">
        <v>0.0</v>
      </c>
      <c r="L62" s="2">
        <v>0.0</v>
      </c>
    </row>
    <row r="63">
      <c r="A63" s="12">
        <v>46231.0</v>
      </c>
      <c r="B63" s="6" t="s">
        <v>61</v>
      </c>
      <c r="C63" s="2">
        <v>0.0</v>
      </c>
      <c r="D63" s="16">
        <f t="shared" si="3"/>
        <v>19.02</v>
      </c>
      <c r="E63" s="17">
        <f>D63/B1</f>
        <v>0.951</v>
      </c>
      <c r="F63" s="16">
        <f t="shared" si="4"/>
        <v>18.65</v>
      </c>
      <c r="G63" s="17">
        <f>F63/B2</f>
        <v>0.9325</v>
      </c>
      <c r="H63" s="15">
        <f t="shared" si="5"/>
        <v>17.23</v>
      </c>
      <c r="I63" s="14">
        <f>H63/B3</f>
        <v>0.8615</v>
      </c>
      <c r="J63" s="2">
        <v>0.0</v>
      </c>
      <c r="K63" s="2">
        <v>0.0</v>
      </c>
      <c r="L63" s="2">
        <v>0.0</v>
      </c>
    </row>
    <row r="64">
      <c r="A64" s="12">
        <v>46231.0</v>
      </c>
      <c r="B64" s="6" t="s">
        <v>62</v>
      </c>
      <c r="C64" s="2">
        <v>0.0</v>
      </c>
      <c r="D64" s="16">
        <f t="shared" si="3"/>
        <v>19.02</v>
      </c>
      <c r="E64" s="17">
        <f>D64/B1</f>
        <v>0.951</v>
      </c>
      <c r="F64" s="16">
        <f t="shared" si="4"/>
        <v>18.65</v>
      </c>
      <c r="G64" s="17">
        <f>F64/B2</f>
        <v>0.9325</v>
      </c>
      <c r="H64" s="15">
        <f t="shared" si="5"/>
        <v>17.23</v>
      </c>
      <c r="I64" s="14">
        <f>H64/B3</f>
        <v>0.8615</v>
      </c>
      <c r="J64" s="2">
        <v>0.0</v>
      </c>
      <c r="K64" s="2">
        <v>0.0</v>
      </c>
      <c r="L64" s="2">
        <v>0.0</v>
      </c>
    </row>
    <row r="65">
      <c r="A65" s="12">
        <v>46231.0</v>
      </c>
      <c r="B65" s="6" t="s">
        <v>63</v>
      </c>
      <c r="C65" s="2">
        <v>0.0</v>
      </c>
      <c r="D65" s="16">
        <f t="shared" si="3"/>
        <v>19.02</v>
      </c>
      <c r="E65" s="17">
        <f>D65/B1</f>
        <v>0.951</v>
      </c>
      <c r="F65" s="16">
        <f t="shared" si="4"/>
        <v>18.65</v>
      </c>
      <c r="G65" s="17">
        <f>F65/B2</f>
        <v>0.9325</v>
      </c>
      <c r="H65" s="15">
        <f t="shared" si="5"/>
        <v>17.23</v>
      </c>
      <c r="I65" s="14">
        <f>H65/B3</f>
        <v>0.8615</v>
      </c>
      <c r="J65" s="2">
        <v>0.0</v>
      </c>
      <c r="K65" s="2">
        <v>0.0</v>
      </c>
      <c r="L65" s="2">
        <v>0.0</v>
      </c>
    </row>
    <row r="66">
      <c r="A66" s="12">
        <v>46232.0</v>
      </c>
      <c r="B66" s="6" t="s">
        <v>61</v>
      </c>
      <c r="C66" s="2">
        <v>0.0</v>
      </c>
      <c r="D66" s="16">
        <f t="shared" si="3"/>
        <v>19.02</v>
      </c>
      <c r="E66" s="17">
        <f>D66/B1</f>
        <v>0.951</v>
      </c>
      <c r="F66" s="16">
        <f t="shared" si="4"/>
        <v>18.65</v>
      </c>
      <c r="G66" s="17">
        <f>F66/B2</f>
        <v>0.9325</v>
      </c>
      <c r="H66" s="15">
        <f t="shared" si="5"/>
        <v>17.23</v>
      </c>
      <c r="I66" s="14">
        <f>H66/B3</f>
        <v>0.8615</v>
      </c>
      <c r="J66" s="2">
        <v>0.0</v>
      </c>
      <c r="K66" s="2">
        <v>0.0</v>
      </c>
      <c r="L66" s="2">
        <v>0.0</v>
      </c>
    </row>
    <row r="67">
      <c r="A67" s="12">
        <v>46232.0</v>
      </c>
      <c r="B67" s="6" t="s">
        <v>62</v>
      </c>
      <c r="C67" s="2">
        <v>0.0</v>
      </c>
      <c r="D67" s="16">
        <f t="shared" si="3"/>
        <v>19.02</v>
      </c>
      <c r="E67" s="17">
        <f>D67/B1</f>
        <v>0.951</v>
      </c>
      <c r="F67" s="16">
        <f t="shared" si="4"/>
        <v>18.65</v>
      </c>
      <c r="G67" s="17">
        <f>F67/B2</f>
        <v>0.9325</v>
      </c>
      <c r="H67" s="15">
        <f t="shared" si="5"/>
        <v>17.23</v>
      </c>
      <c r="I67" s="14">
        <f>H67/B3</f>
        <v>0.8615</v>
      </c>
      <c r="J67" s="2">
        <v>0.0</v>
      </c>
      <c r="K67" s="2">
        <v>0.0</v>
      </c>
      <c r="L67" s="2">
        <v>0.0</v>
      </c>
    </row>
    <row r="68">
      <c r="A68" s="12">
        <v>46232.0</v>
      </c>
      <c r="B68" s="6" t="s">
        <v>63</v>
      </c>
      <c r="C68" s="2">
        <v>0.0</v>
      </c>
      <c r="D68" s="16">
        <f t="shared" si="3"/>
        <v>19.02</v>
      </c>
      <c r="E68" s="17">
        <f>D68/B1</f>
        <v>0.951</v>
      </c>
      <c r="F68" s="16">
        <f t="shared" si="4"/>
        <v>18.65</v>
      </c>
      <c r="G68" s="17">
        <f>F68/B2</f>
        <v>0.9325</v>
      </c>
      <c r="H68" s="15">
        <f t="shared" si="5"/>
        <v>17.23</v>
      </c>
      <c r="I68" s="14">
        <f>H68/B3</f>
        <v>0.8615</v>
      </c>
      <c r="J68" s="2">
        <v>0.0</v>
      </c>
      <c r="K68" s="2">
        <v>0.0</v>
      </c>
      <c r="L68" s="2">
        <v>0.0</v>
      </c>
    </row>
    <row r="69">
      <c r="A69" s="12">
        <v>46233.0</v>
      </c>
      <c r="B69" s="6" t="s">
        <v>61</v>
      </c>
      <c r="C69" s="2">
        <v>0.0</v>
      </c>
      <c r="D69" s="16">
        <f t="shared" si="3"/>
        <v>19.02</v>
      </c>
      <c r="E69" s="17">
        <f>D69/B1</f>
        <v>0.951</v>
      </c>
      <c r="F69" s="16">
        <f t="shared" si="4"/>
        <v>18.65</v>
      </c>
      <c r="G69" s="17">
        <f>F69/B2</f>
        <v>0.9325</v>
      </c>
      <c r="H69" s="15">
        <f t="shared" si="5"/>
        <v>17.23</v>
      </c>
      <c r="I69" s="14">
        <f>H69/B3</f>
        <v>0.8615</v>
      </c>
      <c r="J69" s="2">
        <v>0.0</v>
      </c>
      <c r="K69" s="2">
        <v>0.0</v>
      </c>
      <c r="L69" s="2">
        <v>0.0</v>
      </c>
    </row>
    <row r="70">
      <c r="A70" s="12">
        <v>46233.0</v>
      </c>
      <c r="B70" s="6" t="s">
        <v>62</v>
      </c>
      <c r="C70" s="2">
        <v>0.0</v>
      </c>
      <c r="D70" s="16">
        <f t="shared" si="3"/>
        <v>19.02</v>
      </c>
      <c r="E70" s="17">
        <f>D70/B1</f>
        <v>0.951</v>
      </c>
      <c r="F70" s="16">
        <f t="shared" si="4"/>
        <v>18.65</v>
      </c>
      <c r="G70" s="17">
        <f>F70/B2</f>
        <v>0.9325</v>
      </c>
      <c r="H70" s="15">
        <f t="shared" si="5"/>
        <v>17.23</v>
      </c>
      <c r="I70" s="14">
        <f>H70/B3</f>
        <v>0.8615</v>
      </c>
      <c r="J70" s="2">
        <v>0.0</v>
      </c>
      <c r="K70" s="2">
        <v>0.0</v>
      </c>
      <c r="L70" s="2">
        <v>0.0</v>
      </c>
    </row>
    <row r="71">
      <c r="A71" s="12">
        <v>46233.0</v>
      </c>
      <c r="B71" s="6" t="s">
        <v>63</v>
      </c>
      <c r="C71" s="2">
        <v>0.0</v>
      </c>
      <c r="D71" s="16">
        <f t="shared" si="3"/>
        <v>19.02</v>
      </c>
      <c r="E71" s="17">
        <f>D71/B1</f>
        <v>0.951</v>
      </c>
      <c r="F71" s="16">
        <f t="shared" si="4"/>
        <v>18.65</v>
      </c>
      <c r="G71" s="17">
        <f>F71/B2</f>
        <v>0.9325</v>
      </c>
      <c r="H71" s="15">
        <f t="shared" si="5"/>
        <v>17.23</v>
      </c>
      <c r="I71" s="14">
        <f>H71/B3</f>
        <v>0.8615</v>
      </c>
      <c r="J71" s="2">
        <v>0.0</v>
      </c>
      <c r="K71" s="2">
        <v>0.0</v>
      </c>
      <c r="L71" s="2">
        <v>0.0</v>
      </c>
    </row>
    <row r="72">
      <c r="A72" s="12">
        <v>46234.0</v>
      </c>
      <c r="B72" s="6" t="s">
        <v>61</v>
      </c>
      <c r="C72" s="2">
        <v>0.98</v>
      </c>
      <c r="D72" s="16">
        <f t="shared" si="3"/>
        <v>18.04</v>
      </c>
      <c r="E72" s="17">
        <f>D72/B1</f>
        <v>0.902</v>
      </c>
      <c r="F72" s="16">
        <f t="shared" si="4"/>
        <v>18.65</v>
      </c>
      <c r="G72" s="17">
        <f>F72/B2</f>
        <v>0.9325</v>
      </c>
      <c r="H72" s="15">
        <f t="shared" si="5"/>
        <v>17.23</v>
      </c>
      <c r="I72" s="14">
        <f>H72/B3</f>
        <v>0.8615</v>
      </c>
      <c r="J72" s="2">
        <v>0.0</v>
      </c>
      <c r="K72" s="2">
        <v>0.0</v>
      </c>
      <c r="L72" s="2">
        <v>0.0</v>
      </c>
    </row>
    <row r="73">
      <c r="A73" s="12">
        <v>46234.0</v>
      </c>
      <c r="B73" s="6" t="s">
        <v>62</v>
      </c>
      <c r="C73" s="2">
        <v>1.56</v>
      </c>
      <c r="D73" s="16">
        <f t="shared" si="3"/>
        <v>18.04</v>
      </c>
      <c r="E73" s="17">
        <f>D73/B1</f>
        <v>0.902</v>
      </c>
      <c r="F73" s="16">
        <f t="shared" si="4"/>
        <v>17.09</v>
      </c>
      <c r="G73" s="17">
        <f>F73/B2</f>
        <v>0.8545</v>
      </c>
      <c r="H73" s="15">
        <f t="shared" si="5"/>
        <v>17.23</v>
      </c>
      <c r="I73" s="14">
        <f>H73/B3</f>
        <v>0.8615</v>
      </c>
      <c r="J73" s="2">
        <v>0.0</v>
      </c>
      <c r="K73" s="2">
        <v>0.0</v>
      </c>
      <c r="L73" s="2">
        <v>0.0</v>
      </c>
    </row>
    <row r="74">
      <c r="A74" s="12">
        <v>46234.0</v>
      </c>
      <c r="B74" s="6" t="s">
        <v>63</v>
      </c>
      <c r="C74" s="2">
        <v>0.0</v>
      </c>
      <c r="D74" s="16">
        <f t="shared" si="3"/>
        <v>18.04</v>
      </c>
      <c r="E74" s="17">
        <f>D74/B1</f>
        <v>0.902</v>
      </c>
      <c r="F74" s="16">
        <f t="shared" si="4"/>
        <v>17.09</v>
      </c>
      <c r="G74" s="17">
        <f>F74/B2</f>
        <v>0.8545</v>
      </c>
      <c r="H74" s="15">
        <f t="shared" si="5"/>
        <v>17.23</v>
      </c>
      <c r="I74" s="14">
        <f>H74/B3</f>
        <v>0.8615</v>
      </c>
      <c r="J74" s="2">
        <v>0.0</v>
      </c>
      <c r="K74" s="2">
        <v>0.0</v>
      </c>
      <c r="L74" s="2">
        <v>0.0</v>
      </c>
    </row>
    <row r="75">
      <c r="A75" s="12">
        <v>46235.0</v>
      </c>
      <c r="B75" s="6" t="s">
        <v>61</v>
      </c>
      <c r="C75" s="2">
        <v>1.14</v>
      </c>
      <c r="D75" s="16">
        <f t="shared" si="3"/>
        <v>16.9</v>
      </c>
      <c r="E75" s="17">
        <f>D75/B1</f>
        <v>0.845</v>
      </c>
      <c r="F75" s="16">
        <f t="shared" si="4"/>
        <v>17.09</v>
      </c>
      <c r="G75" s="17">
        <f>F75/B2</f>
        <v>0.8545</v>
      </c>
      <c r="H75" s="15">
        <f t="shared" si="5"/>
        <v>17.23</v>
      </c>
      <c r="I75" s="14">
        <f>H75/B3</f>
        <v>0.8615</v>
      </c>
      <c r="J75" s="2">
        <v>0.0</v>
      </c>
      <c r="K75" s="2">
        <v>0.0</v>
      </c>
      <c r="L75" s="2">
        <v>0.0</v>
      </c>
    </row>
    <row r="76">
      <c r="A76" s="12">
        <v>46235.0</v>
      </c>
      <c r="B76" s="6" t="s">
        <v>62</v>
      </c>
      <c r="C76" s="2">
        <v>0.0</v>
      </c>
      <c r="D76" s="16">
        <f t="shared" si="3"/>
        <v>16.9</v>
      </c>
      <c r="E76" s="17">
        <f>D76/B1</f>
        <v>0.845</v>
      </c>
      <c r="F76" s="16">
        <f t="shared" si="4"/>
        <v>17.09</v>
      </c>
      <c r="G76" s="17">
        <f>F76/B2</f>
        <v>0.8545</v>
      </c>
      <c r="H76" s="15">
        <f t="shared" si="5"/>
        <v>17.23</v>
      </c>
      <c r="I76" s="14">
        <f>H76/B3</f>
        <v>0.8615</v>
      </c>
      <c r="J76" s="2">
        <v>0.0</v>
      </c>
      <c r="K76" s="2">
        <v>0.0</v>
      </c>
      <c r="L76" s="2">
        <v>0.0</v>
      </c>
    </row>
    <row r="77">
      <c r="A77" s="12">
        <v>46235.0</v>
      </c>
      <c r="B77" s="6" t="s">
        <v>63</v>
      </c>
      <c r="C77" s="2">
        <v>1.19</v>
      </c>
      <c r="D77" s="16">
        <f t="shared" si="3"/>
        <v>16.9</v>
      </c>
      <c r="E77" s="17">
        <f>D77/B1</f>
        <v>0.845</v>
      </c>
      <c r="F77" s="16">
        <f t="shared" si="4"/>
        <v>17.09</v>
      </c>
      <c r="G77" s="17">
        <f>F77/B2</f>
        <v>0.8545</v>
      </c>
      <c r="H77" s="15">
        <f t="shared" si="5"/>
        <v>16.04</v>
      </c>
      <c r="I77" s="14">
        <f>H77/B3</f>
        <v>0.802</v>
      </c>
      <c r="J77" s="2">
        <v>0.0</v>
      </c>
      <c r="K77" s="2">
        <v>0.0</v>
      </c>
      <c r="L77" s="2">
        <v>0.0</v>
      </c>
    </row>
    <row r="78">
      <c r="A78" s="12">
        <v>46236.0</v>
      </c>
      <c r="B78" s="6" t="s">
        <v>61</v>
      </c>
      <c r="C78" s="2">
        <v>0.0</v>
      </c>
      <c r="D78" s="16">
        <f t="shared" si="3"/>
        <v>16.9</v>
      </c>
      <c r="E78" s="17">
        <f>D78/B1</f>
        <v>0.845</v>
      </c>
      <c r="F78" s="16">
        <f t="shared" si="4"/>
        <v>17.09</v>
      </c>
      <c r="G78" s="17">
        <f>F78/B2</f>
        <v>0.8545</v>
      </c>
      <c r="H78" s="15">
        <f t="shared" si="5"/>
        <v>16.04</v>
      </c>
      <c r="I78" s="14">
        <f>H78/B3</f>
        <v>0.802</v>
      </c>
      <c r="J78" s="2">
        <v>0.0</v>
      </c>
      <c r="K78" s="2">
        <v>0.0</v>
      </c>
      <c r="L78" s="2">
        <v>0.0</v>
      </c>
    </row>
    <row r="79">
      <c r="A79" s="12">
        <v>46236.0</v>
      </c>
      <c r="B79" s="6" t="s">
        <v>62</v>
      </c>
      <c r="C79" s="2">
        <v>0.0</v>
      </c>
      <c r="D79" s="16">
        <f t="shared" si="3"/>
        <v>16.9</v>
      </c>
      <c r="E79" s="17">
        <f>D79/B1</f>
        <v>0.845</v>
      </c>
      <c r="F79" s="16">
        <f t="shared" si="4"/>
        <v>17.09</v>
      </c>
      <c r="G79" s="17">
        <f>F79/B2</f>
        <v>0.8545</v>
      </c>
      <c r="H79" s="15">
        <f t="shared" si="5"/>
        <v>16.04</v>
      </c>
      <c r="I79" s="14">
        <f>H79/B3</f>
        <v>0.802</v>
      </c>
      <c r="J79" s="2">
        <v>0.0</v>
      </c>
      <c r="K79" s="2">
        <v>0.0</v>
      </c>
      <c r="L79" s="2">
        <v>0.0</v>
      </c>
    </row>
    <row r="80">
      <c r="A80" s="12">
        <v>46236.0</v>
      </c>
      <c r="B80" s="6" t="s">
        <v>63</v>
      </c>
      <c r="C80" s="2">
        <v>1.13</v>
      </c>
      <c r="D80" s="16">
        <f t="shared" si="3"/>
        <v>16.9</v>
      </c>
      <c r="E80" s="17">
        <f>D80/B1</f>
        <v>0.845</v>
      </c>
      <c r="F80" s="16">
        <f t="shared" si="4"/>
        <v>17.09</v>
      </c>
      <c r="G80" s="17">
        <f>F80/B2</f>
        <v>0.8545</v>
      </c>
      <c r="H80" s="15">
        <f t="shared" si="5"/>
        <v>14.91</v>
      </c>
      <c r="I80" s="14">
        <f>H80/B3</f>
        <v>0.7455</v>
      </c>
      <c r="J80" s="2">
        <v>0.0</v>
      </c>
      <c r="K80" s="2">
        <v>0.0</v>
      </c>
      <c r="L80" s="2">
        <v>0.0</v>
      </c>
    </row>
    <row r="81">
      <c r="A81" s="12">
        <v>46237.0</v>
      </c>
      <c r="B81" s="6" t="s">
        <v>61</v>
      </c>
      <c r="C81" s="2">
        <v>0.0</v>
      </c>
      <c r="D81" s="16">
        <f t="shared" si="3"/>
        <v>16.9</v>
      </c>
      <c r="E81" s="17">
        <f>D81/B1</f>
        <v>0.845</v>
      </c>
      <c r="F81" s="16">
        <f t="shared" si="4"/>
        <v>17.09</v>
      </c>
      <c r="G81" s="17">
        <f>F81/B2</f>
        <v>0.8545</v>
      </c>
      <c r="H81" s="15">
        <f t="shared" si="5"/>
        <v>14.91</v>
      </c>
      <c r="I81" s="14">
        <f>H81/B3</f>
        <v>0.7455</v>
      </c>
      <c r="J81" s="2">
        <v>0.0</v>
      </c>
      <c r="K81" s="2">
        <v>0.0</v>
      </c>
      <c r="L81" s="2">
        <v>0.0</v>
      </c>
    </row>
    <row r="82">
      <c r="A82" s="12">
        <v>46237.0</v>
      </c>
      <c r="B82" s="6" t="s">
        <v>62</v>
      </c>
      <c r="C82" s="2">
        <v>0.0</v>
      </c>
      <c r="D82" s="16">
        <f t="shared" si="3"/>
        <v>16.9</v>
      </c>
      <c r="E82" s="17">
        <f>D82/B1</f>
        <v>0.845</v>
      </c>
      <c r="F82" s="16">
        <f t="shared" si="4"/>
        <v>17.09</v>
      </c>
      <c r="G82" s="17">
        <f>F82/B2</f>
        <v>0.8545</v>
      </c>
      <c r="H82" s="15">
        <f t="shared" si="5"/>
        <v>14.91</v>
      </c>
      <c r="I82" s="14">
        <f>H82/B3</f>
        <v>0.7455</v>
      </c>
      <c r="J82" s="2">
        <v>0.0</v>
      </c>
      <c r="K82" s="2">
        <v>0.0</v>
      </c>
      <c r="L82" s="2">
        <v>0.0</v>
      </c>
    </row>
    <row r="83">
      <c r="A83" s="12">
        <v>46237.0</v>
      </c>
      <c r="B83" s="6" t="s">
        <v>63</v>
      </c>
      <c r="C83" s="2">
        <v>0.0</v>
      </c>
      <c r="D83" s="16">
        <f t="shared" si="3"/>
        <v>16.9</v>
      </c>
      <c r="E83" s="17">
        <f>D83/B1</f>
        <v>0.845</v>
      </c>
      <c r="F83" s="16">
        <f t="shared" si="4"/>
        <v>17.09</v>
      </c>
      <c r="G83" s="17">
        <f>F83/B2</f>
        <v>0.8545</v>
      </c>
      <c r="H83" s="15">
        <f t="shared" si="5"/>
        <v>14.91</v>
      </c>
      <c r="I83" s="14">
        <f>H83/B3</f>
        <v>0.7455</v>
      </c>
      <c r="J83" s="2">
        <v>0.0</v>
      </c>
      <c r="K83" s="2">
        <v>0.0</v>
      </c>
      <c r="L83" s="2">
        <v>0.0</v>
      </c>
    </row>
    <row r="84">
      <c r="A84" s="12">
        <v>46238.0</v>
      </c>
      <c r="B84" s="6" t="s">
        <v>61</v>
      </c>
      <c r="C84" s="2">
        <v>0.0</v>
      </c>
      <c r="D84" s="16">
        <f t="shared" si="3"/>
        <v>16.9</v>
      </c>
      <c r="E84" s="17">
        <f>D84/B1</f>
        <v>0.845</v>
      </c>
      <c r="F84" s="16">
        <f t="shared" si="4"/>
        <v>17.09</v>
      </c>
      <c r="G84" s="17">
        <f>F84/B2</f>
        <v>0.8545</v>
      </c>
      <c r="H84" s="15">
        <f t="shared" si="5"/>
        <v>14.91</v>
      </c>
      <c r="I84" s="14">
        <f>H84/B3</f>
        <v>0.7455</v>
      </c>
      <c r="J84" s="2">
        <v>0.0</v>
      </c>
      <c r="K84" s="2">
        <v>0.0</v>
      </c>
      <c r="L84" s="2">
        <v>0.0</v>
      </c>
    </row>
    <row r="85">
      <c r="A85" s="12">
        <v>46238.0</v>
      </c>
      <c r="B85" s="6" t="s">
        <v>62</v>
      </c>
      <c r="C85" s="2">
        <v>0.0</v>
      </c>
      <c r="D85" s="16">
        <f t="shared" si="3"/>
        <v>16.9</v>
      </c>
      <c r="E85" s="17">
        <f>D85/B1</f>
        <v>0.845</v>
      </c>
      <c r="F85" s="16">
        <f t="shared" si="4"/>
        <v>17.09</v>
      </c>
      <c r="G85" s="17">
        <f>F85/B2</f>
        <v>0.8545</v>
      </c>
      <c r="H85" s="15">
        <f t="shared" si="5"/>
        <v>14.91</v>
      </c>
      <c r="I85" s="14">
        <f>H85/B3</f>
        <v>0.7455</v>
      </c>
      <c r="J85" s="2">
        <v>0.0</v>
      </c>
      <c r="K85" s="2">
        <v>0.0</v>
      </c>
      <c r="L85" s="2">
        <v>0.0</v>
      </c>
    </row>
    <row r="86">
      <c r="A86" s="12">
        <v>46238.0</v>
      </c>
      <c r="B86" s="6" t="s">
        <v>63</v>
      </c>
      <c r="C86" s="2">
        <v>0.0</v>
      </c>
      <c r="D86" s="16">
        <f t="shared" si="3"/>
        <v>16.9</v>
      </c>
      <c r="E86" s="17">
        <f>D86/B1</f>
        <v>0.845</v>
      </c>
      <c r="F86" s="16">
        <f t="shared" si="4"/>
        <v>17.09</v>
      </c>
      <c r="G86" s="17">
        <f>F86/B2</f>
        <v>0.8545</v>
      </c>
      <c r="H86" s="15">
        <f t="shared" si="5"/>
        <v>14.91</v>
      </c>
      <c r="I86" s="14">
        <f>H86/B3</f>
        <v>0.7455</v>
      </c>
      <c r="J86" s="2">
        <v>0.0</v>
      </c>
      <c r="K86" s="2">
        <v>0.0</v>
      </c>
      <c r="L86" s="2">
        <v>0.0</v>
      </c>
    </row>
    <row r="87">
      <c r="A87" s="12">
        <v>46239.0</v>
      </c>
      <c r="B87" s="6" t="s">
        <v>61</v>
      </c>
      <c r="C87" s="2">
        <v>0.0</v>
      </c>
      <c r="D87" s="16">
        <f t="shared" si="3"/>
        <v>16.9</v>
      </c>
      <c r="E87" s="17">
        <f>D87/B1</f>
        <v>0.845</v>
      </c>
      <c r="F87" s="16">
        <f t="shared" si="4"/>
        <v>17.09</v>
      </c>
      <c r="G87" s="17">
        <f>F87/B2</f>
        <v>0.8545</v>
      </c>
      <c r="H87" s="15">
        <f t="shared" si="5"/>
        <v>14.91</v>
      </c>
      <c r="I87" s="14">
        <f>H87/B3</f>
        <v>0.7455</v>
      </c>
      <c r="J87" s="2">
        <v>0.0</v>
      </c>
      <c r="K87" s="2">
        <v>0.0</v>
      </c>
      <c r="L87" s="2">
        <v>0.0</v>
      </c>
    </row>
    <row r="88">
      <c r="A88" s="12">
        <v>46239.0</v>
      </c>
      <c r="B88" s="6" t="s">
        <v>62</v>
      </c>
      <c r="C88" s="2">
        <v>0.0</v>
      </c>
      <c r="D88" s="16">
        <f t="shared" si="3"/>
        <v>16.9</v>
      </c>
      <c r="E88" s="17">
        <f>D88/B1</f>
        <v>0.845</v>
      </c>
      <c r="F88" s="16">
        <f t="shared" si="4"/>
        <v>17.09</v>
      </c>
      <c r="G88" s="17">
        <f>F88/B2</f>
        <v>0.8545</v>
      </c>
      <c r="H88" s="15">
        <f t="shared" si="5"/>
        <v>14.91</v>
      </c>
      <c r="I88" s="14">
        <f>H88/B3</f>
        <v>0.7455</v>
      </c>
      <c r="J88" s="2">
        <v>0.0</v>
      </c>
      <c r="K88" s="2">
        <v>0.0</v>
      </c>
      <c r="L88" s="2">
        <v>0.0</v>
      </c>
    </row>
    <row r="89">
      <c r="A89" s="12">
        <v>46239.0</v>
      </c>
      <c r="B89" s="6" t="s">
        <v>63</v>
      </c>
      <c r="C89" s="2">
        <v>0.0</v>
      </c>
      <c r="D89" s="16">
        <f t="shared" si="3"/>
        <v>16.9</v>
      </c>
      <c r="E89" s="17">
        <f>D89/B1</f>
        <v>0.845</v>
      </c>
      <c r="F89" s="16">
        <f t="shared" si="4"/>
        <v>17.09</v>
      </c>
      <c r="G89" s="17">
        <f>F89/B2</f>
        <v>0.8545</v>
      </c>
      <c r="H89" s="15">
        <f t="shared" si="5"/>
        <v>14.91</v>
      </c>
      <c r="I89" s="14">
        <f>H89/B3</f>
        <v>0.7455</v>
      </c>
      <c r="J89" s="2">
        <v>0.0</v>
      </c>
      <c r="K89" s="2">
        <v>0.0</v>
      </c>
      <c r="L89" s="2">
        <v>0.0</v>
      </c>
    </row>
    <row r="90">
      <c r="A90" s="12">
        <v>46240.0</v>
      </c>
      <c r="B90" s="6" t="s">
        <v>61</v>
      </c>
      <c r="C90" s="2">
        <v>0.0</v>
      </c>
      <c r="D90" s="16">
        <f t="shared" si="3"/>
        <v>16.9</v>
      </c>
      <c r="E90" s="17">
        <f>D90/B1</f>
        <v>0.845</v>
      </c>
      <c r="F90" s="16">
        <f t="shared" si="4"/>
        <v>17.09</v>
      </c>
      <c r="G90" s="17">
        <f>F90/B2</f>
        <v>0.8545</v>
      </c>
      <c r="H90" s="15">
        <f t="shared" si="5"/>
        <v>14.91</v>
      </c>
      <c r="I90" s="14">
        <f>H90/B3</f>
        <v>0.7455</v>
      </c>
      <c r="J90" s="2">
        <v>0.0</v>
      </c>
      <c r="K90" s="2">
        <v>0.0</v>
      </c>
      <c r="L90" s="2">
        <v>0.0</v>
      </c>
    </row>
    <row r="91">
      <c r="A91" s="12">
        <v>46240.0</v>
      </c>
      <c r="B91" s="6" t="s">
        <v>62</v>
      </c>
      <c r="C91" s="2">
        <v>0.0</v>
      </c>
      <c r="D91" s="16">
        <f t="shared" si="3"/>
        <v>16.9</v>
      </c>
      <c r="E91" s="17">
        <f>D91/B1</f>
        <v>0.845</v>
      </c>
      <c r="F91" s="16">
        <f t="shared" si="4"/>
        <v>17.09</v>
      </c>
      <c r="G91" s="17">
        <f>F91/B2</f>
        <v>0.8545</v>
      </c>
      <c r="H91" s="15">
        <f t="shared" si="5"/>
        <v>14.91</v>
      </c>
      <c r="I91" s="14">
        <f>H91/B3</f>
        <v>0.7455</v>
      </c>
      <c r="J91" s="2">
        <v>0.0</v>
      </c>
      <c r="K91" s="2">
        <v>0.0</v>
      </c>
      <c r="L91" s="2">
        <v>0.0</v>
      </c>
    </row>
    <row r="92">
      <c r="A92" s="12">
        <v>46240.0</v>
      </c>
      <c r="B92" s="6" t="s">
        <v>63</v>
      </c>
      <c r="C92" s="2">
        <v>0.0</v>
      </c>
      <c r="D92" s="16">
        <f t="shared" si="3"/>
        <v>16.9</v>
      </c>
      <c r="E92" s="17">
        <f>D92/B1</f>
        <v>0.845</v>
      </c>
      <c r="F92" s="16">
        <f t="shared" si="4"/>
        <v>17.09</v>
      </c>
      <c r="G92" s="17">
        <f>F92/B2</f>
        <v>0.8545</v>
      </c>
      <c r="H92" s="15">
        <f t="shared" si="5"/>
        <v>14.91</v>
      </c>
      <c r="I92" s="14">
        <f>H92/B3</f>
        <v>0.7455</v>
      </c>
      <c r="J92" s="2">
        <v>0.0</v>
      </c>
      <c r="K92" s="2">
        <v>0.0</v>
      </c>
      <c r="L92" s="2">
        <v>0.0</v>
      </c>
    </row>
    <row r="93">
      <c r="A93" s="12">
        <v>46241.0</v>
      </c>
      <c r="B93" s="6" t="s">
        <v>61</v>
      </c>
      <c r="C93" s="2">
        <v>1.22</v>
      </c>
      <c r="D93" s="16">
        <f t="shared" si="3"/>
        <v>15.68</v>
      </c>
      <c r="E93" s="17">
        <f>D93/B1</f>
        <v>0.784</v>
      </c>
      <c r="F93" s="16">
        <f t="shared" si="4"/>
        <v>17.09</v>
      </c>
      <c r="G93" s="17">
        <f>F93/B2</f>
        <v>0.8545</v>
      </c>
      <c r="H93" s="15">
        <f t="shared" si="5"/>
        <v>14.91</v>
      </c>
      <c r="I93" s="14">
        <f>H93/B3</f>
        <v>0.7455</v>
      </c>
      <c r="J93" s="2">
        <v>0.0</v>
      </c>
      <c r="K93" s="2">
        <v>0.0</v>
      </c>
      <c r="L93" s="2">
        <v>0.0</v>
      </c>
    </row>
    <row r="94">
      <c r="A94" s="12">
        <v>46241.0</v>
      </c>
      <c r="B94" s="6" t="s">
        <v>62</v>
      </c>
      <c r="C94" s="2">
        <v>1.03</v>
      </c>
      <c r="D94" s="16">
        <f t="shared" si="3"/>
        <v>15.68</v>
      </c>
      <c r="E94" s="17">
        <f>D94/B1</f>
        <v>0.784</v>
      </c>
      <c r="F94" s="16">
        <f t="shared" si="4"/>
        <v>16.06</v>
      </c>
      <c r="G94" s="17">
        <f>F94/B2</f>
        <v>0.803</v>
      </c>
      <c r="H94" s="15">
        <f t="shared" si="5"/>
        <v>14.91</v>
      </c>
      <c r="I94" s="14">
        <f>H94/B3</f>
        <v>0.7455</v>
      </c>
      <c r="J94" s="2">
        <v>0.0</v>
      </c>
      <c r="K94" s="2">
        <v>0.0</v>
      </c>
      <c r="L94" s="2">
        <v>0.0</v>
      </c>
    </row>
    <row r="95">
      <c r="A95" s="12">
        <v>46241.0</v>
      </c>
      <c r="B95" s="6" t="s">
        <v>63</v>
      </c>
      <c r="C95" s="2">
        <v>1.91</v>
      </c>
      <c r="D95" s="16">
        <f t="shared" si="3"/>
        <v>15.68</v>
      </c>
      <c r="E95" s="17">
        <f>D95/B1</f>
        <v>0.784</v>
      </c>
      <c r="F95" s="16">
        <f t="shared" si="4"/>
        <v>16.06</v>
      </c>
      <c r="G95" s="17">
        <f>F95/B2</f>
        <v>0.803</v>
      </c>
      <c r="H95" s="15">
        <f t="shared" si="5"/>
        <v>13</v>
      </c>
      <c r="I95" s="14">
        <f>H95/B3</f>
        <v>0.65</v>
      </c>
      <c r="J95" s="2">
        <v>0.0</v>
      </c>
      <c r="K95" s="2">
        <v>0.0</v>
      </c>
      <c r="L95" s="2">
        <v>0.0</v>
      </c>
    </row>
    <row r="96">
      <c r="A96" s="12">
        <v>46242.0</v>
      </c>
      <c r="B96" s="6" t="s">
        <v>61</v>
      </c>
      <c r="C96" s="2">
        <v>0.0</v>
      </c>
      <c r="D96" s="16">
        <f t="shared" si="3"/>
        <v>15.68</v>
      </c>
      <c r="E96" s="17">
        <f>D96/B1</f>
        <v>0.784</v>
      </c>
      <c r="F96" s="16">
        <f t="shared" si="4"/>
        <v>16.06</v>
      </c>
      <c r="G96" s="17">
        <f>F96/B2</f>
        <v>0.803</v>
      </c>
      <c r="H96" s="15">
        <f t="shared" si="5"/>
        <v>13</v>
      </c>
      <c r="I96" s="14">
        <f>H96/B3</f>
        <v>0.65</v>
      </c>
      <c r="J96" s="2">
        <v>0.0</v>
      </c>
      <c r="K96" s="2">
        <v>0.0</v>
      </c>
      <c r="L96" s="2">
        <v>0.0</v>
      </c>
    </row>
    <row r="97">
      <c r="A97" s="12">
        <v>46242.0</v>
      </c>
      <c r="B97" s="6" t="s">
        <v>62</v>
      </c>
      <c r="C97" s="2">
        <v>0.0</v>
      </c>
      <c r="D97" s="16">
        <f t="shared" si="3"/>
        <v>15.68</v>
      </c>
      <c r="E97" s="17">
        <f>D97/B1</f>
        <v>0.784</v>
      </c>
      <c r="F97" s="16">
        <f t="shared" si="4"/>
        <v>16.06</v>
      </c>
      <c r="G97" s="17">
        <f>F97/B2</f>
        <v>0.803</v>
      </c>
      <c r="H97" s="15">
        <f t="shared" si="5"/>
        <v>13</v>
      </c>
      <c r="I97" s="14">
        <f>H97/B3</f>
        <v>0.65</v>
      </c>
      <c r="J97" s="2">
        <v>0.0</v>
      </c>
      <c r="K97" s="2">
        <v>0.0</v>
      </c>
      <c r="L97" s="2">
        <v>0.0</v>
      </c>
    </row>
    <row r="98">
      <c r="A98" s="12">
        <v>46242.0</v>
      </c>
      <c r="B98" s="6" t="s">
        <v>63</v>
      </c>
      <c r="C98" s="2">
        <v>0.0</v>
      </c>
      <c r="D98" s="16">
        <f t="shared" si="3"/>
        <v>15.68</v>
      </c>
      <c r="E98" s="17">
        <f>D98/B1</f>
        <v>0.784</v>
      </c>
      <c r="F98" s="16">
        <f t="shared" si="4"/>
        <v>16.06</v>
      </c>
      <c r="G98" s="17">
        <f>F98/B2</f>
        <v>0.803</v>
      </c>
      <c r="H98" s="15">
        <f t="shared" si="5"/>
        <v>13</v>
      </c>
      <c r="I98" s="14">
        <f>H98/B3</f>
        <v>0.65</v>
      </c>
      <c r="J98" s="2">
        <v>0.0</v>
      </c>
      <c r="K98" s="2">
        <v>0.0</v>
      </c>
      <c r="L98" s="2">
        <v>0.0</v>
      </c>
    </row>
    <row r="99">
      <c r="A99" s="12">
        <v>46243.0</v>
      </c>
      <c r="B99" s="6" t="s">
        <v>61</v>
      </c>
      <c r="C99" s="2">
        <v>0.0</v>
      </c>
      <c r="D99" s="16">
        <f t="shared" si="3"/>
        <v>15.68</v>
      </c>
      <c r="E99" s="17">
        <f>D99/B1</f>
        <v>0.784</v>
      </c>
      <c r="F99" s="16">
        <f t="shared" si="4"/>
        <v>16.06</v>
      </c>
      <c r="G99" s="17">
        <f>F99/B2</f>
        <v>0.803</v>
      </c>
      <c r="H99" s="15">
        <f t="shared" si="5"/>
        <v>13</v>
      </c>
      <c r="I99" s="14">
        <f>H99/B3</f>
        <v>0.65</v>
      </c>
      <c r="J99" s="2">
        <v>0.0</v>
      </c>
      <c r="K99" s="2">
        <v>0.0</v>
      </c>
      <c r="L99" s="2">
        <v>0.0</v>
      </c>
    </row>
    <row r="100">
      <c r="A100" s="12">
        <v>46243.0</v>
      </c>
      <c r="B100" s="6" t="s">
        <v>62</v>
      </c>
      <c r="C100" s="2">
        <v>0.0</v>
      </c>
      <c r="D100" s="16">
        <f t="shared" si="3"/>
        <v>15.68</v>
      </c>
      <c r="E100" s="17">
        <f>D100/B1</f>
        <v>0.784</v>
      </c>
      <c r="F100" s="16">
        <f t="shared" si="4"/>
        <v>16.06</v>
      </c>
      <c r="G100" s="17">
        <f>F100/B2</f>
        <v>0.803</v>
      </c>
      <c r="H100" s="15">
        <f t="shared" si="5"/>
        <v>13</v>
      </c>
      <c r="I100" s="14">
        <f>H100/B3</f>
        <v>0.65</v>
      </c>
      <c r="J100" s="2">
        <v>0.0</v>
      </c>
      <c r="K100" s="2">
        <v>0.0</v>
      </c>
      <c r="L100" s="2">
        <v>0.0</v>
      </c>
    </row>
    <row r="101">
      <c r="A101" s="12">
        <v>46243.0</v>
      </c>
      <c r="B101" s="6" t="s">
        <v>63</v>
      </c>
      <c r="C101" s="2">
        <v>0.0</v>
      </c>
      <c r="D101" s="16">
        <f t="shared" si="3"/>
        <v>15.68</v>
      </c>
      <c r="E101" s="17">
        <f>D101/B1</f>
        <v>0.784</v>
      </c>
      <c r="F101" s="16">
        <f t="shared" si="4"/>
        <v>16.06</v>
      </c>
      <c r="G101" s="17">
        <f>F101/B2</f>
        <v>0.803</v>
      </c>
      <c r="H101" s="15">
        <f t="shared" si="5"/>
        <v>13</v>
      </c>
      <c r="I101" s="14">
        <f>H101/B3</f>
        <v>0.65</v>
      </c>
      <c r="J101" s="2">
        <v>0.0</v>
      </c>
      <c r="K101" s="2">
        <v>0.0</v>
      </c>
      <c r="L101" s="2">
        <v>0.0</v>
      </c>
    </row>
    <row r="102">
      <c r="A102" s="12">
        <v>46244.0</v>
      </c>
      <c r="B102" s="21" t="s">
        <v>61</v>
      </c>
      <c r="C102" s="2">
        <v>0.0</v>
      </c>
      <c r="D102" s="23">
        <f t="shared" si="3"/>
        <v>15.68</v>
      </c>
      <c r="E102" s="24">
        <f>D102/B1</f>
        <v>0.784</v>
      </c>
      <c r="F102" s="23">
        <f t="shared" si="4"/>
        <v>16.06</v>
      </c>
      <c r="G102" s="24">
        <f>F102/B2</f>
        <v>0.803</v>
      </c>
      <c r="H102" s="25">
        <f t="shared" si="5"/>
        <v>13</v>
      </c>
      <c r="I102" s="26">
        <f>H102/B3</f>
        <v>0.65</v>
      </c>
      <c r="J102" s="22">
        <v>0.0</v>
      </c>
      <c r="K102" s="22">
        <v>0.0</v>
      </c>
      <c r="L102" s="22">
        <v>0.0</v>
      </c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</row>
    <row r="103">
      <c r="A103" s="12">
        <v>46244.0</v>
      </c>
      <c r="B103" s="21" t="s">
        <v>62</v>
      </c>
      <c r="C103" s="2">
        <v>0.0</v>
      </c>
      <c r="D103" s="23">
        <f t="shared" si="3"/>
        <v>15.68</v>
      </c>
      <c r="E103" s="24">
        <f>D103/B1</f>
        <v>0.784</v>
      </c>
      <c r="F103" s="23">
        <f t="shared" si="4"/>
        <v>16.06</v>
      </c>
      <c r="G103" s="24">
        <f>F103/B2</f>
        <v>0.803</v>
      </c>
      <c r="H103" s="25">
        <f t="shared" si="5"/>
        <v>13</v>
      </c>
      <c r="I103" s="26">
        <f>H103/B3</f>
        <v>0.65</v>
      </c>
      <c r="J103" s="22">
        <v>0.0</v>
      </c>
      <c r="K103" s="22">
        <v>0.0</v>
      </c>
      <c r="L103" s="22">
        <v>0.0</v>
      </c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</row>
    <row r="104">
      <c r="A104" s="12">
        <v>46244.0</v>
      </c>
      <c r="B104" s="21" t="s">
        <v>63</v>
      </c>
      <c r="C104" s="2">
        <v>1.06</v>
      </c>
      <c r="D104" s="23">
        <f t="shared" si="3"/>
        <v>15.68</v>
      </c>
      <c r="E104" s="24">
        <f>D104/B1</f>
        <v>0.784</v>
      </c>
      <c r="F104" s="23">
        <f t="shared" si="4"/>
        <v>16.06</v>
      </c>
      <c r="G104" s="24">
        <f>F104/B2</f>
        <v>0.803</v>
      </c>
      <c r="H104" s="25">
        <f t="shared" si="5"/>
        <v>11.94</v>
      </c>
      <c r="I104" s="26">
        <f>H104/B3</f>
        <v>0.597</v>
      </c>
      <c r="J104" s="22">
        <v>0.0</v>
      </c>
      <c r="K104" s="22">
        <v>0.0</v>
      </c>
      <c r="L104" s="22">
        <v>0.0</v>
      </c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</row>
    <row r="105">
      <c r="A105" s="12">
        <v>46245.0</v>
      </c>
      <c r="B105" s="21" t="s">
        <v>61</v>
      </c>
      <c r="C105" s="2">
        <v>0.0</v>
      </c>
      <c r="D105" s="23">
        <f t="shared" si="3"/>
        <v>15.68</v>
      </c>
      <c r="E105" s="24">
        <f>D105/B1</f>
        <v>0.784</v>
      </c>
      <c r="F105" s="23">
        <f t="shared" si="4"/>
        <v>16.06</v>
      </c>
      <c r="G105" s="24">
        <f>F105/B2</f>
        <v>0.803</v>
      </c>
      <c r="H105" s="25">
        <f t="shared" si="5"/>
        <v>11.94</v>
      </c>
      <c r="I105" s="26">
        <f>H105/B3</f>
        <v>0.597</v>
      </c>
      <c r="J105" s="22">
        <v>0.0</v>
      </c>
      <c r="K105" s="22">
        <v>0.0</v>
      </c>
      <c r="L105" s="22">
        <v>0.0</v>
      </c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</row>
    <row r="106">
      <c r="A106" s="12">
        <v>46245.0</v>
      </c>
      <c r="B106" s="21" t="s">
        <v>62</v>
      </c>
      <c r="C106" s="2">
        <v>0.0</v>
      </c>
      <c r="D106" s="23">
        <f t="shared" si="3"/>
        <v>15.68</v>
      </c>
      <c r="E106" s="24">
        <f>D106/B1</f>
        <v>0.784</v>
      </c>
      <c r="F106" s="23">
        <f t="shared" si="4"/>
        <v>16.06</v>
      </c>
      <c r="G106" s="24">
        <f>F106/B2</f>
        <v>0.803</v>
      </c>
      <c r="H106" s="25">
        <f t="shared" si="5"/>
        <v>11.94</v>
      </c>
      <c r="I106" s="26">
        <f>H106/B3</f>
        <v>0.597</v>
      </c>
      <c r="J106" s="22">
        <v>0.0</v>
      </c>
      <c r="K106" s="22">
        <v>0.0</v>
      </c>
      <c r="L106" s="22">
        <v>0.0</v>
      </c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</row>
    <row r="107">
      <c r="A107" s="12">
        <v>46245.0</v>
      </c>
      <c r="B107" s="21" t="s">
        <v>63</v>
      </c>
      <c r="C107" s="2">
        <v>0.0</v>
      </c>
      <c r="D107" s="23">
        <f t="shared" si="3"/>
        <v>15.68</v>
      </c>
      <c r="E107" s="24">
        <f>D107/B1</f>
        <v>0.784</v>
      </c>
      <c r="F107" s="23">
        <f t="shared" si="4"/>
        <v>16.06</v>
      </c>
      <c r="G107" s="24">
        <f>F107/B2</f>
        <v>0.803</v>
      </c>
      <c r="H107" s="25">
        <f t="shared" si="5"/>
        <v>11.94</v>
      </c>
      <c r="I107" s="26">
        <f>H107/B3</f>
        <v>0.597</v>
      </c>
      <c r="J107" s="22">
        <v>0.0</v>
      </c>
      <c r="K107" s="22">
        <v>0.0</v>
      </c>
      <c r="L107" s="22">
        <v>0.0</v>
      </c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</row>
    <row r="108">
      <c r="A108" s="12">
        <v>46246.0</v>
      </c>
      <c r="B108" s="21" t="s">
        <v>61</v>
      </c>
      <c r="C108" s="2">
        <v>0.0</v>
      </c>
      <c r="D108" s="23">
        <f t="shared" si="3"/>
        <v>15.68</v>
      </c>
      <c r="E108" s="24">
        <f>D108/B1</f>
        <v>0.784</v>
      </c>
      <c r="F108" s="23">
        <f t="shared" si="4"/>
        <v>16.06</v>
      </c>
      <c r="G108" s="24">
        <f>F108/B2</f>
        <v>0.803</v>
      </c>
      <c r="H108" s="25">
        <f t="shared" si="5"/>
        <v>11.94</v>
      </c>
      <c r="I108" s="26">
        <f>H108/B3</f>
        <v>0.597</v>
      </c>
      <c r="J108" s="22">
        <v>0.0</v>
      </c>
      <c r="K108" s="22">
        <v>0.0</v>
      </c>
      <c r="L108" s="22">
        <v>0.0</v>
      </c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</row>
    <row r="109">
      <c r="A109" s="12">
        <v>46246.0</v>
      </c>
      <c r="B109" s="21" t="s">
        <v>62</v>
      </c>
      <c r="C109" s="2">
        <v>0.0</v>
      </c>
      <c r="D109" s="23">
        <f t="shared" si="3"/>
        <v>15.68</v>
      </c>
      <c r="E109" s="24">
        <f>D109/B1</f>
        <v>0.784</v>
      </c>
      <c r="F109" s="23">
        <f t="shared" si="4"/>
        <v>16.06</v>
      </c>
      <c r="G109" s="24">
        <f>F109/B2</f>
        <v>0.803</v>
      </c>
      <c r="H109" s="25">
        <f t="shared" si="5"/>
        <v>11.94</v>
      </c>
      <c r="I109" s="26">
        <f>H109/B3</f>
        <v>0.597</v>
      </c>
      <c r="J109" s="22">
        <v>0.0</v>
      </c>
      <c r="K109" s="22">
        <v>0.0</v>
      </c>
      <c r="L109" s="22">
        <v>0.0</v>
      </c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</row>
    <row r="110">
      <c r="A110" s="12">
        <v>46246.0</v>
      </c>
      <c r="B110" s="21" t="s">
        <v>63</v>
      </c>
      <c r="C110" s="2">
        <v>0.0</v>
      </c>
      <c r="D110" s="23">
        <f t="shared" si="3"/>
        <v>15.68</v>
      </c>
      <c r="E110" s="24">
        <f>D110/B1</f>
        <v>0.784</v>
      </c>
      <c r="F110" s="23">
        <f t="shared" si="4"/>
        <v>16.06</v>
      </c>
      <c r="G110" s="24">
        <f>F110/B2</f>
        <v>0.803</v>
      </c>
      <c r="H110" s="25">
        <f t="shared" si="5"/>
        <v>11.94</v>
      </c>
      <c r="I110" s="26">
        <f>H110/B3</f>
        <v>0.597</v>
      </c>
      <c r="J110" s="22">
        <v>0.0</v>
      </c>
      <c r="K110" s="22">
        <v>0.0</v>
      </c>
      <c r="L110" s="22">
        <v>0.0</v>
      </c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</row>
    <row r="111">
      <c r="A111" s="12">
        <v>46247.0</v>
      </c>
      <c r="B111" s="21" t="s">
        <v>61</v>
      </c>
      <c r="C111" s="2">
        <v>0.0</v>
      </c>
      <c r="D111" s="23">
        <f t="shared" si="3"/>
        <v>15.68</v>
      </c>
      <c r="E111" s="24">
        <f>D111/B1</f>
        <v>0.784</v>
      </c>
      <c r="F111" s="23">
        <f t="shared" si="4"/>
        <v>16.06</v>
      </c>
      <c r="G111" s="24">
        <f>F111/B2</f>
        <v>0.803</v>
      </c>
      <c r="H111" s="25">
        <f t="shared" si="5"/>
        <v>11.94</v>
      </c>
      <c r="I111" s="26">
        <f>H111/B3</f>
        <v>0.597</v>
      </c>
      <c r="J111" s="22">
        <v>0.0</v>
      </c>
      <c r="K111" s="22">
        <v>0.0</v>
      </c>
      <c r="L111" s="22">
        <v>0.0</v>
      </c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</row>
    <row r="112">
      <c r="A112" s="12">
        <v>46247.0</v>
      </c>
      <c r="B112" s="21" t="s">
        <v>62</v>
      </c>
      <c r="C112" s="2">
        <v>0.0</v>
      </c>
      <c r="D112" s="23">
        <f t="shared" si="3"/>
        <v>15.68</v>
      </c>
      <c r="E112" s="24">
        <f>D112/B1</f>
        <v>0.784</v>
      </c>
      <c r="F112" s="23">
        <f t="shared" si="4"/>
        <v>16.06</v>
      </c>
      <c r="G112" s="24">
        <f>F112/B2</f>
        <v>0.803</v>
      </c>
      <c r="H112" s="25">
        <f t="shared" si="5"/>
        <v>11.94</v>
      </c>
      <c r="I112" s="26">
        <f>H112/B3</f>
        <v>0.597</v>
      </c>
      <c r="J112" s="22">
        <v>0.0</v>
      </c>
      <c r="K112" s="22">
        <v>0.0</v>
      </c>
      <c r="L112" s="22">
        <v>0.0</v>
      </c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</row>
    <row r="113">
      <c r="A113" s="12">
        <v>46247.0</v>
      </c>
      <c r="B113" s="21" t="s">
        <v>63</v>
      </c>
      <c r="C113" s="2">
        <v>0.0</v>
      </c>
      <c r="D113" s="23">
        <f t="shared" si="3"/>
        <v>15.68</v>
      </c>
      <c r="E113" s="24">
        <f>D113/B1</f>
        <v>0.784</v>
      </c>
      <c r="F113" s="23">
        <f t="shared" si="4"/>
        <v>16.06</v>
      </c>
      <c r="G113" s="24">
        <f>F113/B2</f>
        <v>0.803</v>
      </c>
      <c r="H113" s="25">
        <f t="shared" si="5"/>
        <v>11.94</v>
      </c>
      <c r="I113" s="26">
        <f>H113/B3</f>
        <v>0.597</v>
      </c>
      <c r="J113" s="22">
        <v>0.0</v>
      </c>
      <c r="K113" s="22">
        <v>0.0</v>
      </c>
      <c r="L113" s="22">
        <v>0.0</v>
      </c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</row>
    <row r="114">
      <c r="A114" s="12">
        <v>46248.0</v>
      </c>
      <c r="B114" s="21" t="s">
        <v>61</v>
      </c>
      <c r="C114" s="2">
        <v>1.54</v>
      </c>
      <c r="D114" s="23">
        <f t="shared" si="3"/>
        <v>14.14</v>
      </c>
      <c r="E114" s="24">
        <f>D114/B1</f>
        <v>0.707</v>
      </c>
      <c r="F114" s="23">
        <f t="shared" si="4"/>
        <v>16.06</v>
      </c>
      <c r="G114" s="24">
        <f>F114/B2</f>
        <v>0.803</v>
      </c>
      <c r="H114" s="25">
        <f t="shared" si="5"/>
        <v>11.94</v>
      </c>
      <c r="I114" s="26">
        <f>H114/B3</f>
        <v>0.597</v>
      </c>
      <c r="J114" s="22">
        <v>0.0</v>
      </c>
      <c r="K114" s="22">
        <v>0.0</v>
      </c>
      <c r="L114" s="22">
        <v>0.0</v>
      </c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</row>
    <row r="115">
      <c r="A115" s="12">
        <v>46248.0</v>
      </c>
      <c r="B115" s="21" t="s">
        <v>62</v>
      </c>
      <c r="C115" s="2">
        <v>1.79</v>
      </c>
      <c r="D115" s="23">
        <f t="shared" si="3"/>
        <v>14.14</v>
      </c>
      <c r="E115" s="24">
        <f>D115/B1</f>
        <v>0.707</v>
      </c>
      <c r="F115" s="23">
        <f t="shared" si="4"/>
        <v>14.27</v>
      </c>
      <c r="G115" s="24">
        <f>F115/B2</f>
        <v>0.7135</v>
      </c>
      <c r="H115" s="25">
        <f t="shared" si="5"/>
        <v>11.94</v>
      </c>
      <c r="I115" s="26">
        <f>H115/B3</f>
        <v>0.597</v>
      </c>
      <c r="J115" s="22">
        <v>0.0</v>
      </c>
      <c r="K115" s="22">
        <v>0.0</v>
      </c>
      <c r="L115" s="22">
        <v>0.0</v>
      </c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</row>
    <row r="116">
      <c r="A116" s="12">
        <v>46248.0</v>
      </c>
      <c r="B116" s="21" t="s">
        <v>63</v>
      </c>
      <c r="C116" s="2">
        <v>0.0</v>
      </c>
      <c r="D116" s="23">
        <f t="shared" si="3"/>
        <v>14.14</v>
      </c>
      <c r="E116" s="24">
        <f>D116/B1</f>
        <v>0.707</v>
      </c>
      <c r="F116" s="23">
        <f t="shared" si="4"/>
        <v>14.27</v>
      </c>
      <c r="G116" s="24">
        <f>F116/B2</f>
        <v>0.7135</v>
      </c>
      <c r="H116" s="25">
        <f t="shared" si="5"/>
        <v>11.94</v>
      </c>
      <c r="I116" s="26">
        <f>H116/B3</f>
        <v>0.597</v>
      </c>
      <c r="J116" s="22">
        <v>0.0</v>
      </c>
      <c r="K116" s="22">
        <v>0.0</v>
      </c>
      <c r="L116" s="22">
        <v>0.0</v>
      </c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</row>
    <row r="117">
      <c r="A117" s="12">
        <v>46249.0</v>
      </c>
      <c r="B117" s="21" t="s">
        <v>61</v>
      </c>
      <c r="C117" s="2">
        <v>0.0</v>
      </c>
      <c r="D117" s="23">
        <f t="shared" si="3"/>
        <v>14.14</v>
      </c>
      <c r="E117" s="24">
        <f>D117/B1</f>
        <v>0.707</v>
      </c>
      <c r="F117" s="23">
        <f t="shared" si="4"/>
        <v>14.27</v>
      </c>
      <c r="G117" s="24">
        <f>F117/B2</f>
        <v>0.7135</v>
      </c>
      <c r="H117" s="25">
        <f t="shared" si="5"/>
        <v>11.94</v>
      </c>
      <c r="I117" s="26">
        <f>H117/B3</f>
        <v>0.597</v>
      </c>
      <c r="J117" s="22">
        <v>0.0</v>
      </c>
      <c r="K117" s="22">
        <v>0.0</v>
      </c>
      <c r="L117" s="22">
        <v>0.0</v>
      </c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</row>
    <row r="118">
      <c r="A118" s="12">
        <v>46249.0</v>
      </c>
      <c r="B118" s="21" t="s">
        <v>62</v>
      </c>
      <c r="C118" s="2">
        <v>0.0</v>
      </c>
      <c r="D118" s="23">
        <f t="shared" si="3"/>
        <v>14.14</v>
      </c>
      <c r="E118" s="24">
        <f>D118/B1</f>
        <v>0.707</v>
      </c>
      <c r="F118" s="23">
        <f t="shared" si="4"/>
        <v>14.27</v>
      </c>
      <c r="G118" s="24">
        <f>F118/B2</f>
        <v>0.7135</v>
      </c>
      <c r="H118" s="25">
        <f t="shared" si="5"/>
        <v>11.94</v>
      </c>
      <c r="I118" s="26">
        <f>H118/B3</f>
        <v>0.597</v>
      </c>
      <c r="J118" s="22">
        <v>0.0</v>
      </c>
      <c r="K118" s="22">
        <v>0.0</v>
      </c>
      <c r="L118" s="22">
        <v>0.0</v>
      </c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</row>
    <row r="119">
      <c r="A119" s="12">
        <v>46249.0</v>
      </c>
      <c r="B119" s="21" t="s">
        <v>63</v>
      </c>
      <c r="C119" s="2">
        <v>1.16</v>
      </c>
      <c r="D119" s="23">
        <f t="shared" si="3"/>
        <v>14.14</v>
      </c>
      <c r="E119" s="24">
        <f>D119/B1</f>
        <v>0.707</v>
      </c>
      <c r="F119" s="23">
        <f t="shared" si="4"/>
        <v>14.27</v>
      </c>
      <c r="G119" s="24">
        <f>F119/B2</f>
        <v>0.7135</v>
      </c>
      <c r="H119" s="25">
        <f t="shared" si="5"/>
        <v>10.78</v>
      </c>
      <c r="I119" s="26">
        <f>H119/B3</f>
        <v>0.539</v>
      </c>
      <c r="J119" s="22">
        <v>0.0</v>
      </c>
      <c r="K119" s="22">
        <v>0.0</v>
      </c>
      <c r="L119" s="22">
        <v>0.0</v>
      </c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</row>
    <row r="120">
      <c r="A120" s="12">
        <v>46250.0</v>
      </c>
      <c r="B120" s="21" t="s">
        <v>61</v>
      </c>
      <c r="C120" s="2">
        <v>1.51</v>
      </c>
      <c r="D120" s="23">
        <f t="shared" si="3"/>
        <v>12.63</v>
      </c>
      <c r="E120" s="24">
        <f>D120/B1</f>
        <v>0.6315</v>
      </c>
      <c r="F120" s="23">
        <f t="shared" si="4"/>
        <v>14.27</v>
      </c>
      <c r="G120" s="24">
        <f>F120/B2</f>
        <v>0.7135</v>
      </c>
      <c r="H120" s="25">
        <f t="shared" si="5"/>
        <v>10.78</v>
      </c>
      <c r="I120" s="26">
        <f>H120/B3</f>
        <v>0.539</v>
      </c>
      <c r="J120" s="22">
        <v>0.0</v>
      </c>
      <c r="K120" s="22">
        <v>0.0</v>
      </c>
      <c r="L120" s="22">
        <v>0.0</v>
      </c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</row>
    <row r="121">
      <c r="A121" s="12">
        <v>46250.0</v>
      </c>
      <c r="B121" s="21" t="s">
        <v>62</v>
      </c>
      <c r="C121" s="2">
        <v>0.0</v>
      </c>
      <c r="D121" s="23">
        <f t="shared" si="3"/>
        <v>12.63</v>
      </c>
      <c r="E121" s="24">
        <f>D121/B1</f>
        <v>0.6315</v>
      </c>
      <c r="F121" s="23">
        <f t="shared" si="4"/>
        <v>14.27</v>
      </c>
      <c r="G121" s="24">
        <f>F121/B2</f>
        <v>0.7135</v>
      </c>
      <c r="H121" s="25">
        <f t="shared" si="5"/>
        <v>10.78</v>
      </c>
      <c r="I121" s="26">
        <f>H121/B3</f>
        <v>0.539</v>
      </c>
      <c r="J121" s="22">
        <v>0.0</v>
      </c>
      <c r="K121" s="22">
        <v>0.0</v>
      </c>
      <c r="L121" s="22">
        <v>0.0</v>
      </c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</row>
    <row r="122">
      <c r="A122" s="12">
        <v>46250.0</v>
      </c>
      <c r="B122" s="21" t="s">
        <v>63</v>
      </c>
      <c r="C122" s="2">
        <v>1.41</v>
      </c>
      <c r="D122" s="23">
        <f t="shared" si="3"/>
        <v>12.63</v>
      </c>
      <c r="E122" s="24">
        <f>D122/B1</f>
        <v>0.6315</v>
      </c>
      <c r="F122" s="23">
        <f t="shared" si="4"/>
        <v>14.27</v>
      </c>
      <c r="G122" s="24">
        <f>F122/B2</f>
        <v>0.7135</v>
      </c>
      <c r="H122" s="25">
        <f t="shared" si="5"/>
        <v>9.37</v>
      </c>
      <c r="I122" s="26">
        <f>H122/B3</f>
        <v>0.4685</v>
      </c>
      <c r="J122" s="22">
        <v>0.0</v>
      </c>
      <c r="K122" s="22">
        <v>0.0</v>
      </c>
      <c r="L122" s="22">
        <v>0.0</v>
      </c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</row>
    <row r="123">
      <c r="A123" s="12">
        <v>46251.0</v>
      </c>
      <c r="B123" s="21" t="s">
        <v>61</v>
      </c>
      <c r="C123" s="2">
        <v>0.0</v>
      </c>
      <c r="D123" s="23">
        <f t="shared" si="3"/>
        <v>12.63</v>
      </c>
      <c r="E123" s="24">
        <f>D123/B1</f>
        <v>0.6315</v>
      </c>
      <c r="F123" s="23">
        <f t="shared" si="4"/>
        <v>14.27</v>
      </c>
      <c r="G123" s="24">
        <f>F123/B2</f>
        <v>0.7135</v>
      </c>
      <c r="H123" s="25">
        <f t="shared" si="5"/>
        <v>9.37</v>
      </c>
      <c r="I123" s="26">
        <f>H123/B3</f>
        <v>0.4685</v>
      </c>
      <c r="J123" s="22">
        <v>0.0</v>
      </c>
      <c r="K123" s="22">
        <v>0.0</v>
      </c>
      <c r="L123" s="22">
        <v>0.0</v>
      </c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</row>
    <row r="124">
      <c r="A124" s="12">
        <v>46251.0</v>
      </c>
      <c r="B124" s="21" t="s">
        <v>62</v>
      </c>
      <c r="C124" s="2">
        <v>0.0</v>
      </c>
      <c r="D124" s="23">
        <f t="shared" si="3"/>
        <v>12.63</v>
      </c>
      <c r="E124" s="24">
        <f>D124/B1</f>
        <v>0.6315</v>
      </c>
      <c r="F124" s="23">
        <f t="shared" si="4"/>
        <v>14.27</v>
      </c>
      <c r="G124" s="24">
        <f>F124/B2</f>
        <v>0.7135</v>
      </c>
      <c r="H124" s="25">
        <f t="shared" si="5"/>
        <v>9.37</v>
      </c>
      <c r="I124" s="26">
        <f>H124/B3</f>
        <v>0.4685</v>
      </c>
      <c r="J124" s="22">
        <v>0.0</v>
      </c>
      <c r="K124" s="22">
        <v>0.0</v>
      </c>
      <c r="L124" s="22">
        <v>0.0</v>
      </c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</row>
    <row r="125">
      <c r="A125" s="12">
        <v>46251.0</v>
      </c>
      <c r="B125" s="21" t="s">
        <v>63</v>
      </c>
      <c r="C125" s="2">
        <v>1.39</v>
      </c>
      <c r="D125" s="23">
        <f t="shared" si="3"/>
        <v>12.63</v>
      </c>
      <c r="E125" s="24">
        <f>D125/B1</f>
        <v>0.6315</v>
      </c>
      <c r="F125" s="23">
        <f t="shared" si="4"/>
        <v>14.27</v>
      </c>
      <c r="G125" s="24">
        <f>F125/B2</f>
        <v>0.7135</v>
      </c>
      <c r="H125" s="25">
        <f t="shared" si="5"/>
        <v>7.98</v>
      </c>
      <c r="I125" s="26">
        <f>H125/B3</f>
        <v>0.399</v>
      </c>
      <c r="J125" s="22">
        <v>0.0</v>
      </c>
      <c r="K125" s="22">
        <v>0.0</v>
      </c>
      <c r="L125" s="22">
        <v>0.0</v>
      </c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</row>
    <row r="126">
      <c r="A126" s="12">
        <v>46252.0</v>
      </c>
      <c r="B126" s="21" t="s">
        <v>61</v>
      </c>
      <c r="C126" s="2">
        <v>0.0</v>
      </c>
      <c r="D126" s="23">
        <f t="shared" si="3"/>
        <v>12.63</v>
      </c>
      <c r="E126" s="24">
        <f>D126/B1</f>
        <v>0.6315</v>
      </c>
      <c r="F126" s="23">
        <f t="shared" si="4"/>
        <v>14.27</v>
      </c>
      <c r="G126" s="24">
        <f>F126/B2</f>
        <v>0.7135</v>
      </c>
      <c r="H126" s="25">
        <f t="shared" si="5"/>
        <v>7.98</v>
      </c>
      <c r="I126" s="26">
        <f>H126/B3</f>
        <v>0.399</v>
      </c>
      <c r="J126" s="22">
        <v>0.0</v>
      </c>
      <c r="K126" s="22">
        <v>0.0</v>
      </c>
      <c r="L126" s="22">
        <v>0.0</v>
      </c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</row>
    <row r="127">
      <c r="A127" s="12">
        <v>46252.0</v>
      </c>
      <c r="B127" s="21" t="s">
        <v>62</v>
      </c>
      <c r="C127" s="2">
        <v>0.0</v>
      </c>
      <c r="D127" s="23">
        <f t="shared" si="3"/>
        <v>12.63</v>
      </c>
      <c r="E127" s="24">
        <f>D127/B1</f>
        <v>0.6315</v>
      </c>
      <c r="F127" s="23">
        <f t="shared" si="4"/>
        <v>14.27</v>
      </c>
      <c r="G127" s="24">
        <f>F127/B2</f>
        <v>0.7135</v>
      </c>
      <c r="H127" s="25">
        <f t="shared" si="5"/>
        <v>7.98</v>
      </c>
      <c r="I127" s="26">
        <f>H127/B3</f>
        <v>0.399</v>
      </c>
      <c r="J127" s="22">
        <v>0.0</v>
      </c>
      <c r="K127" s="22">
        <v>0.0</v>
      </c>
      <c r="L127" s="22">
        <v>0.0</v>
      </c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</row>
    <row r="128">
      <c r="A128" s="12">
        <v>46252.0</v>
      </c>
      <c r="B128" s="21" t="s">
        <v>63</v>
      </c>
      <c r="C128" s="2">
        <v>0.0</v>
      </c>
      <c r="D128" s="23">
        <f t="shared" si="3"/>
        <v>12.63</v>
      </c>
      <c r="E128" s="24">
        <f>D128/B1</f>
        <v>0.6315</v>
      </c>
      <c r="F128" s="23">
        <f t="shared" si="4"/>
        <v>14.27</v>
      </c>
      <c r="G128" s="24">
        <f>F128/B2</f>
        <v>0.7135</v>
      </c>
      <c r="H128" s="25">
        <f t="shared" si="5"/>
        <v>7.98</v>
      </c>
      <c r="I128" s="26">
        <f>H128/B3</f>
        <v>0.399</v>
      </c>
      <c r="J128" s="22">
        <v>0.0</v>
      </c>
      <c r="K128" s="22">
        <v>0.0</v>
      </c>
      <c r="L128" s="22">
        <v>0.0</v>
      </c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</row>
    <row r="129">
      <c r="A129" s="12">
        <v>46253.0</v>
      </c>
      <c r="B129" s="6" t="s">
        <v>61</v>
      </c>
      <c r="C129" s="2">
        <v>0.0</v>
      </c>
      <c r="D129" s="16">
        <f t="shared" si="3"/>
        <v>12.63</v>
      </c>
      <c r="E129" s="17">
        <f>D129/B1</f>
        <v>0.6315</v>
      </c>
      <c r="F129" s="16">
        <f t="shared" si="4"/>
        <v>14.27</v>
      </c>
      <c r="G129" s="17">
        <f>F129/B2</f>
        <v>0.7135</v>
      </c>
      <c r="H129" s="15">
        <f t="shared" si="5"/>
        <v>7.98</v>
      </c>
      <c r="I129" s="14">
        <f>H129/B3</f>
        <v>0.399</v>
      </c>
      <c r="J129" s="2">
        <v>0.0</v>
      </c>
      <c r="K129" s="2">
        <v>0.0</v>
      </c>
      <c r="L129" s="2">
        <v>0.0</v>
      </c>
    </row>
    <row r="130">
      <c r="A130" s="12">
        <v>46253.0</v>
      </c>
      <c r="B130" s="6" t="s">
        <v>62</v>
      </c>
      <c r="C130" s="2">
        <v>0.0</v>
      </c>
      <c r="D130" s="16">
        <f t="shared" si="3"/>
        <v>12.63</v>
      </c>
      <c r="E130" s="17">
        <f>D130/B1</f>
        <v>0.6315</v>
      </c>
      <c r="F130" s="16">
        <f t="shared" si="4"/>
        <v>14.27</v>
      </c>
      <c r="G130" s="17">
        <f>F130/B2</f>
        <v>0.7135</v>
      </c>
      <c r="H130" s="15">
        <f t="shared" si="5"/>
        <v>7.98</v>
      </c>
      <c r="I130" s="14">
        <f>H130/B3</f>
        <v>0.399</v>
      </c>
      <c r="J130" s="2">
        <v>0.0</v>
      </c>
      <c r="K130" s="2">
        <v>0.0</v>
      </c>
      <c r="L130" s="2">
        <v>0.0</v>
      </c>
    </row>
    <row r="131">
      <c r="A131" s="12">
        <v>46253.0</v>
      </c>
      <c r="B131" s="6" t="s">
        <v>63</v>
      </c>
      <c r="C131" s="2">
        <v>0.0</v>
      </c>
      <c r="D131" s="16">
        <f t="shared" si="3"/>
        <v>12.63</v>
      </c>
      <c r="E131" s="17">
        <f>D131/B1</f>
        <v>0.6315</v>
      </c>
      <c r="F131" s="16">
        <f t="shared" si="4"/>
        <v>14.27</v>
      </c>
      <c r="G131" s="17">
        <f>F131/B2</f>
        <v>0.7135</v>
      </c>
      <c r="H131" s="15">
        <f t="shared" si="5"/>
        <v>7.98</v>
      </c>
      <c r="I131" s="14">
        <f>H131/B3</f>
        <v>0.399</v>
      </c>
      <c r="J131" s="2">
        <v>0.0</v>
      </c>
      <c r="K131" s="2">
        <v>0.0</v>
      </c>
      <c r="L131" s="2">
        <v>0.0</v>
      </c>
    </row>
    <row r="132">
      <c r="A132" s="12">
        <v>46254.0</v>
      </c>
      <c r="B132" s="6" t="s">
        <v>61</v>
      </c>
      <c r="C132" s="2">
        <v>0.0</v>
      </c>
      <c r="D132" s="16">
        <f t="shared" si="3"/>
        <v>12.63</v>
      </c>
      <c r="E132" s="17">
        <f>D132/B1</f>
        <v>0.6315</v>
      </c>
      <c r="F132" s="16">
        <f t="shared" si="4"/>
        <v>14.27</v>
      </c>
      <c r="G132" s="17">
        <f>F132/B2</f>
        <v>0.7135</v>
      </c>
      <c r="H132" s="15">
        <f t="shared" si="5"/>
        <v>7.98</v>
      </c>
      <c r="I132" s="14">
        <f>H132/B3</f>
        <v>0.399</v>
      </c>
      <c r="J132" s="2">
        <v>0.0</v>
      </c>
      <c r="K132" s="2">
        <v>0.0</v>
      </c>
      <c r="L132" s="2">
        <v>0.0</v>
      </c>
    </row>
    <row r="133">
      <c r="A133" s="12">
        <v>46254.0</v>
      </c>
      <c r="B133" s="6" t="s">
        <v>62</v>
      </c>
      <c r="C133" s="2">
        <v>0.0</v>
      </c>
      <c r="D133" s="16">
        <f t="shared" si="3"/>
        <v>12.63</v>
      </c>
      <c r="E133" s="17">
        <f>D133/B1</f>
        <v>0.6315</v>
      </c>
      <c r="F133" s="16">
        <f t="shared" si="4"/>
        <v>14.27</v>
      </c>
      <c r="G133" s="17">
        <f>F133/B2</f>
        <v>0.7135</v>
      </c>
      <c r="H133" s="15">
        <f t="shared" si="5"/>
        <v>7.98</v>
      </c>
      <c r="I133" s="14">
        <f>H133/B3</f>
        <v>0.399</v>
      </c>
      <c r="J133" s="2">
        <v>0.0</v>
      </c>
      <c r="K133" s="2">
        <v>0.0</v>
      </c>
      <c r="L133" s="2">
        <v>0.0</v>
      </c>
    </row>
    <row r="134">
      <c r="A134" s="12">
        <v>46254.0</v>
      </c>
      <c r="B134" s="6" t="s">
        <v>63</v>
      </c>
      <c r="C134" s="2">
        <v>0.0</v>
      </c>
      <c r="D134" s="16">
        <f t="shared" si="3"/>
        <v>12.63</v>
      </c>
      <c r="E134" s="17">
        <f>D134/B1</f>
        <v>0.6315</v>
      </c>
      <c r="F134" s="16">
        <f t="shared" si="4"/>
        <v>14.27</v>
      </c>
      <c r="G134" s="17">
        <f>F134/B2</f>
        <v>0.7135</v>
      </c>
      <c r="H134" s="15">
        <f t="shared" si="5"/>
        <v>7.98</v>
      </c>
      <c r="I134" s="14">
        <f>H134/B3</f>
        <v>0.399</v>
      </c>
      <c r="J134" s="2">
        <v>0.0</v>
      </c>
      <c r="K134" s="2">
        <v>0.0</v>
      </c>
      <c r="L134" s="2">
        <v>0.0</v>
      </c>
    </row>
    <row r="135">
      <c r="A135" s="12">
        <v>46255.0</v>
      </c>
      <c r="B135" s="6" t="s">
        <v>61</v>
      </c>
      <c r="C135" s="2">
        <v>0.0</v>
      </c>
      <c r="D135" s="16">
        <f t="shared" si="3"/>
        <v>12.63</v>
      </c>
      <c r="E135" s="17">
        <f>D135/B1</f>
        <v>0.6315</v>
      </c>
      <c r="F135" s="16">
        <f t="shared" si="4"/>
        <v>14.27</v>
      </c>
      <c r="G135" s="17">
        <f>F135/B2</f>
        <v>0.7135</v>
      </c>
      <c r="H135" s="15">
        <f t="shared" si="5"/>
        <v>7.98</v>
      </c>
      <c r="I135" s="14">
        <f>H135/B3</f>
        <v>0.399</v>
      </c>
      <c r="J135" s="2">
        <v>0.0</v>
      </c>
      <c r="K135" s="2">
        <v>0.0</v>
      </c>
      <c r="L135" s="2">
        <v>0.0</v>
      </c>
    </row>
    <row r="136">
      <c r="A136" s="12">
        <v>46255.0</v>
      </c>
      <c r="B136" s="6" t="s">
        <v>62</v>
      </c>
      <c r="C136" s="2">
        <v>0.0</v>
      </c>
      <c r="D136" s="16">
        <f t="shared" si="3"/>
        <v>12.63</v>
      </c>
      <c r="E136" s="17">
        <f>D136/B1</f>
        <v>0.6315</v>
      </c>
      <c r="F136" s="16">
        <f t="shared" si="4"/>
        <v>14.27</v>
      </c>
      <c r="G136" s="17">
        <f>F136/B2</f>
        <v>0.7135</v>
      </c>
      <c r="H136" s="15">
        <f t="shared" si="5"/>
        <v>7.98</v>
      </c>
      <c r="I136" s="14">
        <f>H136/B3</f>
        <v>0.399</v>
      </c>
      <c r="J136" s="2">
        <v>0.0</v>
      </c>
      <c r="K136" s="2">
        <v>0.0</v>
      </c>
      <c r="L136" s="2">
        <v>0.0</v>
      </c>
    </row>
    <row r="137">
      <c r="A137" s="12">
        <v>46255.0</v>
      </c>
      <c r="B137" s="6" t="s">
        <v>63</v>
      </c>
      <c r="C137" s="2">
        <v>0.0</v>
      </c>
      <c r="D137" s="16">
        <f t="shared" si="3"/>
        <v>12.63</v>
      </c>
      <c r="E137" s="17">
        <f>D137/B1</f>
        <v>0.6315</v>
      </c>
      <c r="F137" s="16">
        <f t="shared" si="4"/>
        <v>14.27</v>
      </c>
      <c r="G137" s="17">
        <f>F137/B2</f>
        <v>0.7135</v>
      </c>
      <c r="H137" s="15">
        <f t="shared" si="5"/>
        <v>7.98</v>
      </c>
      <c r="I137" s="14">
        <f>H137/B3</f>
        <v>0.399</v>
      </c>
      <c r="J137" s="2">
        <v>0.0</v>
      </c>
      <c r="K137" s="2">
        <v>0.0</v>
      </c>
      <c r="L137" s="2">
        <v>0.0</v>
      </c>
    </row>
    <row r="138">
      <c r="A138" s="12">
        <v>46256.0</v>
      </c>
      <c r="B138" s="6" t="s">
        <v>61</v>
      </c>
      <c r="C138" s="2">
        <v>0.0</v>
      </c>
      <c r="D138" s="16">
        <f t="shared" si="3"/>
        <v>12.63</v>
      </c>
      <c r="E138" s="17">
        <f>D138/B1</f>
        <v>0.6315</v>
      </c>
      <c r="F138" s="16">
        <f t="shared" si="4"/>
        <v>14.27</v>
      </c>
      <c r="G138" s="17">
        <f>F138/B2</f>
        <v>0.7135</v>
      </c>
      <c r="H138" s="15">
        <f t="shared" si="5"/>
        <v>7.98</v>
      </c>
      <c r="I138" s="14">
        <f>H138/B3</f>
        <v>0.399</v>
      </c>
      <c r="J138" s="2">
        <v>0.0</v>
      </c>
      <c r="K138" s="2">
        <v>0.0</v>
      </c>
      <c r="L138" s="2">
        <v>0.0</v>
      </c>
    </row>
    <row r="139">
      <c r="A139" s="12">
        <v>46256.0</v>
      </c>
      <c r="B139" s="6" t="s">
        <v>62</v>
      </c>
      <c r="C139" s="2">
        <v>1.34</v>
      </c>
      <c r="D139" s="16">
        <f t="shared" si="3"/>
        <v>12.63</v>
      </c>
      <c r="E139" s="17">
        <f>D139/B1</f>
        <v>0.6315</v>
      </c>
      <c r="F139" s="16">
        <f t="shared" si="4"/>
        <v>12.93</v>
      </c>
      <c r="G139" s="17">
        <f>F139/B2</f>
        <v>0.6465</v>
      </c>
      <c r="H139" s="15">
        <f t="shared" si="5"/>
        <v>7.98</v>
      </c>
      <c r="I139" s="14">
        <f>H139/B3</f>
        <v>0.399</v>
      </c>
      <c r="J139" s="2">
        <v>0.0</v>
      </c>
      <c r="K139" s="2">
        <v>0.0</v>
      </c>
      <c r="L139" s="2">
        <v>0.0</v>
      </c>
    </row>
    <row r="140">
      <c r="A140" s="12">
        <v>46256.0</v>
      </c>
      <c r="B140" s="6" t="s">
        <v>63</v>
      </c>
      <c r="C140" s="2">
        <v>1.49</v>
      </c>
      <c r="D140" s="16">
        <f t="shared" si="3"/>
        <v>12.63</v>
      </c>
      <c r="E140" s="17">
        <f>D140/B1</f>
        <v>0.6315</v>
      </c>
      <c r="F140" s="16">
        <f t="shared" si="4"/>
        <v>12.93</v>
      </c>
      <c r="G140" s="17">
        <f>F140/B2</f>
        <v>0.6465</v>
      </c>
      <c r="H140" s="15">
        <f t="shared" si="5"/>
        <v>6.49</v>
      </c>
      <c r="I140" s="14">
        <f>H140/B3</f>
        <v>0.3245</v>
      </c>
      <c r="J140" s="2">
        <v>0.0</v>
      </c>
      <c r="K140" s="2">
        <v>0.0</v>
      </c>
      <c r="L140" s="2">
        <v>0.0</v>
      </c>
    </row>
    <row r="141">
      <c r="A141" s="12">
        <v>46257.0</v>
      </c>
      <c r="B141" s="21" t="s">
        <v>61</v>
      </c>
      <c r="C141" s="2">
        <v>0.0</v>
      </c>
      <c r="D141" s="23">
        <f t="shared" si="3"/>
        <v>12.63</v>
      </c>
      <c r="E141" s="24">
        <f>D141/B1</f>
        <v>0.6315</v>
      </c>
      <c r="F141" s="23">
        <f t="shared" si="4"/>
        <v>12.93</v>
      </c>
      <c r="G141" s="24">
        <f>F141/B2</f>
        <v>0.6465</v>
      </c>
      <c r="H141" s="25">
        <f t="shared" si="5"/>
        <v>6.49</v>
      </c>
      <c r="I141" s="26">
        <f>H141/B3</f>
        <v>0.3245</v>
      </c>
      <c r="J141" s="22">
        <v>0.0</v>
      </c>
      <c r="K141" s="22">
        <v>0.0</v>
      </c>
      <c r="L141" s="22">
        <v>0.0</v>
      </c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</row>
    <row r="142">
      <c r="A142" s="12">
        <v>46257.0</v>
      </c>
      <c r="B142" s="21" t="s">
        <v>62</v>
      </c>
      <c r="C142" s="2">
        <v>0.0</v>
      </c>
      <c r="D142" s="23">
        <f t="shared" si="3"/>
        <v>12.63</v>
      </c>
      <c r="E142" s="24">
        <f>D142/B1</f>
        <v>0.6315</v>
      </c>
      <c r="F142" s="23">
        <f t="shared" si="4"/>
        <v>12.93</v>
      </c>
      <c r="G142" s="24">
        <f>F142/B2</f>
        <v>0.6465</v>
      </c>
      <c r="H142" s="25">
        <f t="shared" si="5"/>
        <v>6.49</v>
      </c>
      <c r="I142" s="26">
        <f>H142/B3</f>
        <v>0.3245</v>
      </c>
      <c r="J142" s="22">
        <v>0.0</v>
      </c>
      <c r="K142" s="22">
        <v>0.0</v>
      </c>
      <c r="L142" s="22">
        <v>0.0</v>
      </c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</row>
    <row r="143">
      <c r="A143" s="12">
        <v>46257.0</v>
      </c>
      <c r="B143" s="21" t="s">
        <v>63</v>
      </c>
      <c r="C143" s="2">
        <v>0.0</v>
      </c>
      <c r="D143" s="23">
        <f t="shared" si="3"/>
        <v>12.63</v>
      </c>
      <c r="E143" s="24">
        <f>D143/B1</f>
        <v>0.6315</v>
      </c>
      <c r="F143" s="23">
        <f t="shared" si="4"/>
        <v>12.93</v>
      </c>
      <c r="G143" s="24">
        <f>F143/B2</f>
        <v>0.6465</v>
      </c>
      <c r="H143" s="25">
        <f t="shared" si="5"/>
        <v>6.49</v>
      </c>
      <c r="I143" s="26">
        <f>H143/B3</f>
        <v>0.3245</v>
      </c>
      <c r="J143" s="22">
        <v>0.0</v>
      </c>
      <c r="K143" s="22">
        <v>0.0</v>
      </c>
      <c r="L143" s="22">
        <v>0.0</v>
      </c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</row>
    <row r="144">
      <c r="A144" s="12">
        <v>46258.0</v>
      </c>
      <c r="B144" s="21" t="s">
        <v>61</v>
      </c>
      <c r="C144" s="2">
        <v>0.0</v>
      </c>
      <c r="D144" s="23">
        <f t="shared" si="3"/>
        <v>12.63</v>
      </c>
      <c r="E144" s="24">
        <f>D144/B1</f>
        <v>0.6315</v>
      </c>
      <c r="F144" s="23">
        <f t="shared" si="4"/>
        <v>12.93</v>
      </c>
      <c r="G144" s="24">
        <f>F144/B2</f>
        <v>0.6465</v>
      </c>
      <c r="H144" s="25">
        <f t="shared" si="5"/>
        <v>6.49</v>
      </c>
      <c r="I144" s="26">
        <f>H144/B3</f>
        <v>0.3245</v>
      </c>
      <c r="J144" s="22">
        <v>0.0</v>
      </c>
      <c r="K144" s="22">
        <v>0.0</v>
      </c>
      <c r="L144" s="22">
        <v>0.0</v>
      </c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</row>
    <row r="145">
      <c r="A145" s="12">
        <v>46258.0</v>
      </c>
      <c r="B145" s="21" t="s">
        <v>62</v>
      </c>
      <c r="C145" s="2">
        <v>0.0</v>
      </c>
      <c r="D145" s="23">
        <f t="shared" si="3"/>
        <v>12.63</v>
      </c>
      <c r="E145" s="24">
        <f>D145/B1</f>
        <v>0.6315</v>
      </c>
      <c r="F145" s="23">
        <f t="shared" si="4"/>
        <v>12.93</v>
      </c>
      <c r="G145" s="24">
        <f>F145/B2</f>
        <v>0.6465</v>
      </c>
      <c r="H145" s="25">
        <f t="shared" si="5"/>
        <v>6.49</v>
      </c>
      <c r="I145" s="26">
        <f>H145/B3</f>
        <v>0.3245</v>
      </c>
      <c r="J145" s="22">
        <v>0.0</v>
      </c>
      <c r="K145" s="22">
        <v>0.0</v>
      </c>
      <c r="L145" s="22">
        <v>0.0</v>
      </c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</row>
    <row r="146">
      <c r="A146" s="12">
        <v>46258.0</v>
      </c>
      <c r="B146" s="21" t="s">
        <v>63</v>
      </c>
      <c r="C146" s="2">
        <v>0.0</v>
      </c>
      <c r="D146" s="23">
        <f t="shared" si="3"/>
        <v>12.63</v>
      </c>
      <c r="E146" s="24">
        <f>D146/B1</f>
        <v>0.6315</v>
      </c>
      <c r="F146" s="23">
        <f t="shared" si="4"/>
        <v>12.93</v>
      </c>
      <c r="G146" s="24">
        <f>F146/B2</f>
        <v>0.6465</v>
      </c>
      <c r="H146" s="25">
        <f t="shared" si="5"/>
        <v>6.49</v>
      </c>
      <c r="I146" s="26">
        <f>H146/B3</f>
        <v>0.3245</v>
      </c>
      <c r="J146" s="22">
        <v>0.0</v>
      </c>
      <c r="K146" s="22">
        <v>0.0</v>
      </c>
      <c r="L146" s="22">
        <v>0.0</v>
      </c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</row>
    <row r="147">
      <c r="A147" s="12">
        <v>46259.0</v>
      </c>
      <c r="B147" s="21" t="s">
        <v>61</v>
      </c>
      <c r="C147" s="2">
        <v>0.0</v>
      </c>
      <c r="D147" s="23">
        <f t="shared" si="3"/>
        <v>12.63</v>
      </c>
      <c r="E147" s="24">
        <f>D147/B1</f>
        <v>0.6315</v>
      </c>
      <c r="F147" s="23">
        <f t="shared" si="4"/>
        <v>12.93</v>
      </c>
      <c r="G147" s="24">
        <f>F147/B2</f>
        <v>0.6465</v>
      </c>
      <c r="H147" s="25">
        <f t="shared" si="5"/>
        <v>6.49</v>
      </c>
      <c r="I147" s="26">
        <f>H147/B3</f>
        <v>0.3245</v>
      </c>
      <c r="J147" s="22">
        <v>0.0</v>
      </c>
      <c r="K147" s="22">
        <v>0.0</v>
      </c>
      <c r="L147" s="22">
        <v>0.0</v>
      </c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</row>
    <row r="148">
      <c r="A148" s="12">
        <v>46259.0</v>
      </c>
      <c r="B148" s="21" t="s">
        <v>62</v>
      </c>
      <c r="C148" s="2">
        <v>0.0</v>
      </c>
      <c r="D148" s="23">
        <f t="shared" si="3"/>
        <v>12.63</v>
      </c>
      <c r="E148" s="24">
        <f>D148/B1</f>
        <v>0.6315</v>
      </c>
      <c r="F148" s="23">
        <f t="shared" si="4"/>
        <v>12.93</v>
      </c>
      <c r="G148" s="24">
        <f>F148/B2</f>
        <v>0.6465</v>
      </c>
      <c r="H148" s="25">
        <f t="shared" si="5"/>
        <v>6.49</v>
      </c>
      <c r="I148" s="26">
        <f>H148/B3</f>
        <v>0.3245</v>
      </c>
      <c r="J148" s="22">
        <v>0.0</v>
      </c>
      <c r="K148" s="22">
        <v>0.0</v>
      </c>
      <c r="L148" s="22">
        <v>0.0</v>
      </c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</row>
    <row r="149">
      <c r="A149" s="12">
        <v>46259.0</v>
      </c>
      <c r="B149" s="21" t="s">
        <v>63</v>
      </c>
      <c r="C149" s="2">
        <v>0.0</v>
      </c>
      <c r="D149" s="23">
        <f t="shared" si="3"/>
        <v>12.63</v>
      </c>
      <c r="E149" s="24">
        <f>D149/B1</f>
        <v>0.6315</v>
      </c>
      <c r="F149" s="23">
        <f t="shared" si="4"/>
        <v>12.93</v>
      </c>
      <c r="G149" s="24">
        <f>F149/B2</f>
        <v>0.6465</v>
      </c>
      <c r="H149" s="25">
        <f t="shared" si="5"/>
        <v>6.49</v>
      </c>
      <c r="I149" s="26">
        <f>H149/B3</f>
        <v>0.3245</v>
      </c>
      <c r="J149" s="22">
        <v>0.0</v>
      </c>
      <c r="K149" s="22">
        <v>0.0</v>
      </c>
      <c r="L149" s="22">
        <v>0.0</v>
      </c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</row>
    <row r="150">
      <c r="A150" s="12">
        <v>46260.0</v>
      </c>
      <c r="B150" s="21" t="s">
        <v>61</v>
      </c>
      <c r="C150" s="2">
        <v>0.0</v>
      </c>
      <c r="D150" s="23">
        <f t="shared" si="3"/>
        <v>12.63</v>
      </c>
      <c r="E150" s="24">
        <f>D150/B1</f>
        <v>0.6315</v>
      </c>
      <c r="F150" s="23">
        <f t="shared" si="4"/>
        <v>12.93</v>
      </c>
      <c r="G150" s="24">
        <f>F150/B2</f>
        <v>0.6465</v>
      </c>
      <c r="H150" s="25">
        <f t="shared" si="5"/>
        <v>6.49</v>
      </c>
      <c r="I150" s="26">
        <f>H150/B3</f>
        <v>0.3245</v>
      </c>
      <c r="J150" s="22">
        <v>0.0</v>
      </c>
      <c r="K150" s="22">
        <v>0.0</v>
      </c>
      <c r="L150" s="22">
        <v>0.0</v>
      </c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</row>
    <row r="151">
      <c r="A151" s="12">
        <v>46260.0</v>
      </c>
      <c r="B151" s="21" t="s">
        <v>62</v>
      </c>
      <c r="C151" s="2">
        <v>0.0</v>
      </c>
      <c r="D151" s="23">
        <f t="shared" si="3"/>
        <v>12.63</v>
      </c>
      <c r="E151" s="24">
        <f>D151/B1</f>
        <v>0.6315</v>
      </c>
      <c r="F151" s="23">
        <f t="shared" si="4"/>
        <v>12.93</v>
      </c>
      <c r="G151" s="24">
        <f>F151/B2</f>
        <v>0.6465</v>
      </c>
      <c r="H151" s="25">
        <f t="shared" si="5"/>
        <v>6.49</v>
      </c>
      <c r="I151" s="26">
        <f>H151/B3</f>
        <v>0.3245</v>
      </c>
      <c r="J151" s="22">
        <v>0.0</v>
      </c>
      <c r="K151" s="22">
        <v>0.0</v>
      </c>
      <c r="L151" s="22">
        <v>0.0</v>
      </c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</row>
    <row r="152">
      <c r="A152" s="12">
        <v>46260.0</v>
      </c>
      <c r="B152" s="21" t="s">
        <v>63</v>
      </c>
      <c r="C152" s="2">
        <v>0.0</v>
      </c>
      <c r="D152" s="23">
        <f t="shared" si="3"/>
        <v>12.63</v>
      </c>
      <c r="E152" s="24">
        <f>D152/B1</f>
        <v>0.6315</v>
      </c>
      <c r="F152" s="23">
        <f t="shared" si="4"/>
        <v>12.93</v>
      </c>
      <c r="G152" s="24">
        <f>F152/B2</f>
        <v>0.6465</v>
      </c>
      <c r="H152" s="25">
        <f t="shared" si="5"/>
        <v>6.49</v>
      </c>
      <c r="I152" s="26">
        <f>H152/B3</f>
        <v>0.3245</v>
      </c>
      <c r="J152" s="22">
        <v>0.0</v>
      </c>
      <c r="K152" s="22">
        <v>0.0</v>
      </c>
      <c r="L152" s="22">
        <v>0.0</v>
      </c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</row>
    <row r="153">
      <c r="A153" s="12">
        <v>46261.0</v>
      </c>
      <c r="B153" s="21" t="s">
        <v>61</v>
      </c>
      <c r="C153" s="2">
        <v>0.0</v>
      </c>
      <c r="D153" s="23">
        <f t="shared" si="3"/>
        <v>12.63</v>
      </c>
      <c r="E153" s="24">
        <f>D153/B1</f>
        <v>0.6315</v>
      </c>
      <c r="F153" s="23">
        <f t="shared" si="4"/>
        <v>12.93</v>
      </c>
      <c r="G153" s="24">
        <f>F153/B2</f>
        <v>0.6465</v>
      </c>
      <c r="H153" s="25">
        <f t="shared" si="5"/>
        <v>6.49</v>
      </c>
      <c r="I153" s="26">
        <f>H153/B3</f>
        <v>0.3245</v>
      </c>
      <c r="J153" s="22">
        <v>0.0</v>
      </c>
      <c r="K153" s="22">
        <v>0.0</v>
      </c>
      <c r="L153" s="22">
        <v>0.0</v>
      </c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</row>
    <row r="154">
      <c r="A154" s="12">
        <v>46261.0</v>
      </c>
      <c r="B154" s="21" t="s">
        <v>62</v>
      </c>
      <c r="C154" s="2">
        <v>0.0</v>
      </c>
      <c r="D154" s="23">
        <f t="shared" si="3"/>
        <v>12.63</v>
      </c>
      <c r="E154" s="24">
        <f>D154/B1</f>
        <v>0.6315</v>
      </c>
      <c r="F154" s="23">
        <f t="shared" si="4"/>
        <v>12.93</v>
      </c>
      <c r="G154" s="24">
        <f>F154/B2</f>
        <v>0.6465</v>
      </c>
      <c r="H154" s="25">
        <f t="shared" si="5"/>
        <v>6.49</v>
      </c>
      <c r="I154" s="26">
        <f>H154/B3</f>
        <v>0.3245</v>
      </c>
      <c r="J154" s="22">
        <v>0.0</v>
      </c>
      <c r="K154" s="22">
        <v>0.0</v>
      </c>
      <c r="L154" s="22">
        <v>0.0</v>
      </c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</row>
    <row r="155">
      <c r="A155" s="12">
        <v>46261.0</v>
      </c>
      <c r="B155" s="21" t="s">
        <v>63</v>
      </c>
      <c r="C155" s="2">
        <v>0.0</v>
      </c>
      <c r="D155" s="23">
        <f t="shared" si="3"/>
        <v>12.63</v>
      </c>
      <c r="E155" s="24">
        <f>D155/B1</f>
        <v>0.6315</v>
      </c>
      <c r="F155" s="23">
        <f t="shared" si="4"/>
        <v>12.93</v>
      </c>
      <c r="G155" s="24">
        <f>F155/B2</f>
        <v>0.6465</v>
      </c>
      <c r="H155" s="25">
        <f t="shared" si="5"/>
        <v>6.49</v>
      </c>
      <c r="I155" s="26">
        <f>H155/B3</f>
        <v>0.3245</v>
      </c>
      <c r="J155" s="22">
        <v>0.0</v>
      </c>
      <c r="K155" s="22">
        <v>0.0</v>
      </c>
      <c r="L155" s="22">
        <v>0.0</v>
      </c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</row>
    <row r="156">
      <c r="A156" s="12">
        <v>46262.0</v>
      </c>
      <c r="B156" s="21" t="s">
        <v>61</v>
      </c>
      <c r="C156" s="2">
        <v>0.0</v>
      </c>
      <c r="D156" s="23">
        <f t="shared" si="3"/>
        <v>12.63</v>
      </c>
      <c r="E156" s="24">
        <f>D156/B1</f>
        <v>0.6315</v>
      </c>
      <c r="F156" s="23">
        <f t="shared" si="4"/>
        <v>12.93</v>
      </c>
      <c r="G156" s="24">
        <f>F156/B2</f>
        <v>0.6465</v>
      </c>
      <c r="H156" s="25">
        <f t="shared" si="5"/>
        <v>6.49</v>
      </c>
      <c r="I156" s="26">
        <f>H156/B3</f>
        <v>0.3245</v>
      </c>
      <c r="J156" s="22">
        <v>0.0</v>
      </c>
      <c r="K156" s="22">
        <v>0.0</v>
      </c>
      <c r="L156" s="22">
        <v>0.0</v>
      </c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</row>
    <row r="157">
      <c r="A157" s="12">
        <v>46262.0</v>
      </c>
      <c r="B157" s="21" t="s">
        <v>62</v>
      </c>
      <c r="C157" s="2">
        <v>1.31</v>
      </c>
      <c r="D157" s="23">
        <f t="shared" si="3"/>
        <v>12.63</v>
      </c>
      <c r="E157" s="24">
        <f>D157/B1</f>
        <v>0.6315</v>
      </c>
      <c r="F157" s="23">
        <f t="shared" si="4"/>
        <v>11.62</v>
      </c>
      <c r="G157" s="24">
        <f>F157/B2</f>
        <v>0.581</v>
      </c>
      <c r="H157" s="25">
        <f t="shared" si="5"/>
        <v>6.49</v>
      </c>
      <c r="I157" s="26">
        <f>H157/B3</f>
        <v>0.3245</v>
      </c>
      <c r="J157" s="22">
        <v>0.0</v>
      </c>
      <c r="K157" s="22">
        <v>0.0</v>
      </c>
      <c r="L157" s="22">
        <v>0.0</v>
      </c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</row>
    <row r="158">
      <c r="A158" s="12">
        <v>46262.0</v>
      </c>
      <c r="B158" s="21" t="s">
        <v>63</v>
      </c>
      <c r="C158" s="2">
        <v>1.5</v>
      </c>
      <c r="D158" s="23">
        <f t="shared" si="3"/>
        <v>12.63</v>
      </c>
      <c r="E158" s="24">
        <f>D158/B1</f>
        <v>0.6315</v>
      </c>
      <c r="F158" s="23">
        <f t="shared" si="4"/>
        <v>11.62</v>
      </c>
      <c r="G158" s="24">
        <f>F158/B2</f>
        <v>0.581</v>
      </c>
      <c r="H158" s="25">
        <f t="shared" si="5"/>
        <v>4.99</v>
      </c>
      <c r="I158" s="26">
        <f>H158/B3</f>
        <v>0.2495</v>
      </c>
      <c r="J158" s="22">
        <v>0.0</v>
      </c>
      <c r="K158" s="22">
        <v>0.0</v>
      </c>
      <c r="L158" s="22">
        <v>0.0</v>
      </c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</row>
    <row r="159">
      <c r="A159" s="12">
        <v>46263.0</v>
      </c>
      <c r="B159" s="21" t="s">
        <v>61</v>
      </c>
      <c r="C159" s="2">
        <v>0.0</v>
      </c>
      <c r="D159" s="23">
        <f t="shared" si="3"/>
        <v>12.63</v>
      </c>
      <c r="E159" s="24">
        <f>D159/B1</f>
        <v>0.6315</v>
      </c>
      <c r="F159" s="23">
        <f t="shared" si="4"/>
        <v>11.62</v>
      </c>
      <c r="G159" s="24">
        <f>F159/B2</f>
        <v>0.581</v>
      </c>
      <c r="H159" s="25">
        <f t="shared" si="5"/>
        <v>4.99</v>
      </c>
      <c r="I159" s="26">
        <f>H159/B3</f>
        <v>0.2495</v>
      </c>
      <c r="J159" s="22">
        <v>0.0</v>
      </c>
      <c r="K159" s="22">
        <v>0.0</v>
      </c>
      <c r="L159" s="22">
        <v>0.0</v>
      </c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</row>
    <row r="160">
      <c r="A160" s="12">
        <v>46263.0</v>
      </c>
      <c r="B160" s="21" t="s">
        <v>62</v>
      </c>
      <c r="C160" s="2">
        <v>0.0</v>
      </c>
      <c r="D160" s="23">
        <f t="shared" si="3"/>
        <v>12.63</v>
      </c>
      <c r="E160" s="24">
        <f>D160/B1</f>
        <v>0.6315</v>
      </c>
      <c r="F160" s="23">
        <f t="shared" si="4"/>
        <v>11.62</v>
      </c>
      <c r="G160" s="24">
        <f>F160/B2</f>
        <v>0.581</v>
      </c>
      <c r="H160" s="25">
        <f t="shared" si="5"/>
        <v>4.99</v>
      </c>
      <c r="I160" s="26">
        <f>H160/B3</f>
        <v>0.2495</v>
      </c>
      <c r="J160" s="22">
        <v>0.0</v>
      </c>
      <c r="K160" s="22">
        <v>0.0</v>
      </c>
      <c r="L160" s="22">
        <v>0.0</v>
      </c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</row>
    <row r="161">
      <c r="A161" s="12">
        <v>46263.0</v>
      </c>
      <c r="B161" s="21" t="s">
        <v>63</v>
      </c>
      <c r="C161" s="2">
        <v>0.0</v>
      </c>
      <c r="D161" s="23">
        <f t="shared" si="3"/>
        <v>12.63</v>
      </c>
      <c r="E161" s="24">
        <f>D161/B1</f>
        <v>0.6315</v>
      </c>
      <c r="F161" s="23">
        <f t="shared" si="4"/>
        <v>11.62</v>
      </c>
      <c r="G161" s="24">
        <f>F161/B2</f>
        <v>0.581</v>
      </c>
      <c r="H161" s="25">
        <f t="shared" si="5"/>
        <v>4.99</v>
      </c>
      <c r="I161" s="26">
        <f>H161/B3</f>
        <v>0.2495</v>
      </c>
      <c r="J161" s="22">
        <v>0.0</v>
      </c>
      <c r="K161" s="22">
        <v>0.0</v>
      </c>
      <c r="L161" s="22">
        <v>0.0</v>
      </c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</row>
    <row r="162">
      <c r="A162" s="12">
        <v>46264.0</v>
      </c>
      <c r="B162" s="21" t="s">
        <v>61</v>
      </c>
      <c r="C162" s="2">
        <v>1.14</v>
      </c>
      <c r="D162" s="23">
        <f t="shared" si="3"/>
        <v>11.49</v>
      </c>
      <c r="E162" s="24">
        <f>D162/B1</f>
        <v>0.5745</v>
      </c>
      <c r="F162" s="23">
        <f t="shared" si="4"/>
        <v>11.62</v>
      </c>
      <c r="G162" s="24">
        <f>F162/B2</f>
        <v>0.581</v>
      </c>
      <c r="H162" s="25">
        <f t="shared" si="5"/>
        <v>4.99</v>
      </c>
      <c r="I162" s="26">
        <f>H162/B3</f>
        <v>0.2495</v>
      </c>
      <c r="J162" s="22">
        <v>0.0</v>
      </c>
      <c r="K162" s="22">
        <v>0.0</v>
      </c>
      <c r="L162" s="22">
        <v>0.0</v>
      </c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</row>
    <row r="163">
      <c r="A163" s="12">
        <v>46264.0</v>
      </c>
      <c r="B163" s="21" t="s">
        <v>62</v>
      </c>
      <c r="C163" s="2">
        <v>0.0</v>
      </c>
      <c r="D163" s="23">
        <f t="shared" si="3"/>
        <v>11.49</v>
      </c>
      <c r="E163" s="24">
        <f>D163/B1</f>
        <v>0.5745</v>
      </c>
      <c r="F163" s="23">
        <f t="shared" si="4"/>
        <v>11.62</v>
      </c>
      <c r="G163" s="24">
        <f>F163/B2</f>
        <v>0.581</v>
      </c>
      <c r="H163" s="25">
        <f t="shared" si="5"/>
        <v>4.99</v>
      </c>
      <c r="I163" s="26">
        <f>H163/B3</f>
        <v>0.2495</v>
      </c>
      <c r="J163" s="22">
        <v>0.0</v>
      </c>
      <c r="K163" s="22">
        <v>0.0</v>
      </c>
      <c r="L163" s="22">
        <v>0.0</v>
      </c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</row>
    <row r="164">
      <c r="A164" s="12">
        <v>46264.0</v>
      </c>
      <c r="B164" s="21" t="s">
        <v>63</v>
      </c>
      <c r="C164" s="2">
        <v>0.89</v>
      </c>
      <c r="D164" s="23">
        <f t="shared" si="3"/>
        <v>11.49</v>
      </c>
      <c r="E164" s="24">
        <f>D164/B1</f>
        <v>0.5745</v>
      </c>
      <c r="F164" s="23">
        <f t="shared" si="4"/>
        <v>11.62</v>
      </c>
      <c r="G164" s="24">
        <f>F164/B2</f>
        <v>0.581</v>
      </c>
      <c r="H164" s="25">
        <f t="shared" si="5"/>
        <v>4.1</v>
      </c>
      <c r="I164" s="26">
        <f>H164/B3</f>
        <v>0.205</v>
      </c>
      <c r="J164" s="22">
        <v>0.0</v>
      </c>
      <c r="K164" s="22">
        <v>0.0</v>
      </c>
      <c r="L164" s="22">
        <v>0.0</v>
      </c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</row>
    <row r="165">
      <c r="A165" s="12">
        <v>46266.0</v>
      </c>
      <c r="B165" s="21" t="s">
        <v>61</v>
      </c>
      <c r="C165" s="2">
        <v>0.0</v>
      </c>
      <c r="D165" s="23">
        <f t="shared" si="3"/>
        <v>11.49</v>
      </c>
      <c r="E165" s="24">
        <f>D165/B1</f>
        <v>0.5745</v>
      </c>
      <c r="F165" s="23">
        <f t="shared" si="4"/>
        <v>11.62</v>
      </c>
      <c r="G165" s="24">
        <f>F165/B2</f>
        <v>0.581</v>
      </c>
      <c r="H165" s="25">
        <f t="shared" si="5"/>
        <v>4.1</v>
      </c>
      <c r="I165" s="26">
        <f>H165/B3</f>
        <v>0.205</v>
      </c>
      <c r="J165" s="22">
        <v>0.0</v>
      </c>
      <c r="K165" s="22">
        <v>0.0</v>
      </c>
      <c r="L165" s="22">
        <v>0.0</v>
      </c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</row>
    <row r="166">
      <c r="A166" s="12">
        <v>46266.0</v>
      </c>
      <c r="B166" s="21" t="s">
        <v>62</v>
      </c>
      <c r="C166" s="2">
        <v>0.0</v>
      </c>
      <c r="D166" s="23">
        <f t="shared" si="3"/>
        <v>11.49</v>
      </c>
      <c r="E166" s="24">
        <f>D166/B1</f>
        <v>0.5745</v>
      </c>
      <c r="F166" s="23">
        <f t="shared" si="4"/>
        <v>11.62</v>
      </c>
      <c r="G166" s="24">
        <f>F166/B2</f>
        <v>0.581</v>
      </c>
      <c r="H166" s="25">
        <f t="shared" si="5"/>
        <v>4.1</v>
      </c>
      <c r="I166" s="26">
        <f>H166/B3</f>
        <v>0.205</v>
      </c>
      <c r="J166" s="22">
        <v>0.0</v>
      </c>
      <c r="K166" s="22">
        <v>0.0</v>
      </c>
      <c r="L166" s="22">
        <v>0.0</v>
      </c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</row>
    <row r="167">
      <c r="A167" s="12">
        <v>46266.0</v>
      </c>
      <c r="B167" s="21" t="s">
        <v>63</v>
      </c>
      <c r="C167" s="2">
        <v>0.0</v>
      </c>
      <c r="D167" s="23">
        <f t="shared" si="3"/>
        <v>11.49</v>
      </c>
      <c r="E167" s="24">
        <f>D167/B1</f>
        <v>0.5745</v>
      </c>
      <c r="F167" s="23">
        <f t="shared" si="4"/>
        <v>11.62</v>
      </c>
      <c r="G167" s="24">
        <f>F167/B2</f>
        <v>0.581</v>
      </c>
      <c r="H167" s="25">
        <f t="shared" si="5"/>
        <v>4.1</v>
      </c>
      <c r="I167" s="26">
        <f>H167/B3</f>
        <v>0.205</v>
      </c>
      <c r="J167" s="22">
        <v>0.0</v>
      </c>
      <c r="K167" s="22">
        <v>0.0</v>
      </c>
      <c r="L167" s="22">
        <v>0.0</v>
      </c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</row>
    <row r="168">
      <c r="A168" s="12">
        <v>46267.0</v>
      </c>
      <c r="B168" s="21" t="s">
        <v>61</v>
      </c>
      <c r="C168" s="2">
        <v>0.0</v>
      </c>
      <c r="D168" s="23">
        <f t="shared" si="3"/>
        <v>11.49</v>
      </c>
      <c r="E168" s="24">
        <f>D168/B1</f>
        <v>0.5745</v>
      </c>
      <c r="F168" s="23">
        <f t="shared" si="4"/>
        <v>11.62</v>
      </c>
      <c r="G168" s="24">
        <f>F168/B2</f>
        <v>0.581</v>
      </c>
      <c r="H168" s="25">
        <f t="shared" si="5"/>
        <v>4.1</v>
      </c>
      <c r="I168" s="26">
        <f>H168/B3</f>
        <v>0.205</v>
      </c>
      <c r="J168" s="22">
        <v>0.0</v>
      </c>
      <c r="K168" s="22">
        <v>0.0</v>
      </c>
      <c r="L168" s="22">
        <v>0.0</v>
      </c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</row>
    <row r="169">
      <c r="A169" s="12">
        <v>46267.0</v>
      </c>
      <c r="B169" s="21" t="s">
        <v>62</v>
      </c>
      <c r="C169" s="2">
        <v>0.0</v>
      </c>
      <c r="D169" s="23">
        <f t="shared" si="3"/>
        <v>11.49</v>
      </c>
      <c r="E169" s="24">
        <f>D169/B1</f>
        <v>0.5745</v>
      </c>
      <c r="F169" s="23">
        <f t="shared" si="4"/>
        <v>11.62</v>
      </c>
      <c r="G169" s="24">
        <f>F169/B2</f>
        <v>0.581</v>
      </c>
      <c r="H169" s="25">
        <f t="shared" si="5"/>
        <v>4.1</v>
      </c>
      <c r="I169" s="26">
        <f>H169/B3</f>
        <v>0.205</v>
      </c>
      <c r="J169" s="22">
        <v>0.0</v>
      </c>
      <c r="K169" s="22">
        <v>0.0</v>
      </c>
      <c r="L169" s="22">
        <v>0.0</v>
      </c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</row>
    <row r="170">
      <c r="A170" s="12">
        <v>46267.0</v>
      </c>
      <c r="B170" s="21" t="s">
        <v>63</v>
      </c>
      <c r="C170" s="2">
        <v>0.0</v>
      </c>
      <c r="D170" s="23">
        <f t="shared" si="3"/>
        <v>11.49</v>
      </c>
      <c r="E170" s="24">
        <f>D170/B1</f>
        <v>0.5745</v>
      </c>
      <c r="F170" s="23">
        <f t="shared" si="4"/>
        <v>11.62</v>
      </c>
      <c r="G170" s="24">
        <f>F170/B2</f>
        <v>0.581</v>
      </c>
      <c r="H170" s="25">
        <f t="shared" si="5"/>
        <v>4.1</v>
      </c>
      <c r="I170" s="26">
        <f>H170/B3</f>
        <v>0.205</v>
      </c>
      <c r="J170" s="22">
        <v>0.0</v>
      </c>
      <c r="K170" s="22">
        <v>0.0</v>
      </c>
      <c r="L170" s="22">
        <v>0.0</v>
      </c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</row>
    <row r="171">
      <c r="A171" s="12">
        <v>46268.0</v>
      </c>
      <c r="B171" s="21" t="s">
        <v>61</v>
      </c>
      <c r="C171" s="2">
        <v>0.0</v>
      </c>
      <c r="D171" s="23">
        <f t="shared" si="3"/>
        <v>11.49</v>
      </c>
      <c r="E171" s="24">
        <f>D171/B1</f>
        <v>0.5745</v>
      </c>
      <c r="F171" s="23">
        <f t="shared" si="4"/>
        <v>11.62</v>
      </c>
      <c r="G171" s="24">
        <f>F171/B2</f>
        <v>0.581</v>
      </c>
      <c r="H171" s="25">
        <f t="shared" si="5"/>
        <v>4.1</v>
      </c>
      <c r="I171" s="26">
        <f>H171/B3</f>
        <v>0.205</v>
      </c>
      <c r="J171" s="22">
        <v>0.0</v>
      </c>
      <c r="K171" s="22">
        <v>0.0</v>
      </c>
      <c r="L171" s="22">
        <v>0.0</v>
      </c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</row>
    <row r="172">
      <c r="A172" s="12">
        <v>46268.0</v>
      </c>
      <c r="B172" s="21" t="s">
        <v>62</v>
      </c>
      <c r="C172" s="2">
        <v>0.0</v>
      </c>
      <c r="D172" s="23">
        <f t="shared" si="3"/>
        <v>11.49</v>
      </c>
      <c r="E172" s="24">
        <f>D172/B1</f>
        <v>0.5745</v>
      </c>
      <c r="F172" s="23">
        <f t="shared" si="4"/>
        <v>11.62</v>
      </c>
      <c r="G172" s="24">
        <f>F172/B2</f>
        <v>0.581</v>
      </c>
      <c r="H172" s="25">
        <f t="shared" si="5"/>
        <v>4.1</v>
      </c>
      <c r="I172" s="26">
        <f>H172/B3</f>
        <v>0.205</v>
      </c>
      <c r="J172" s="22">
        <v>0.0</v>
      </c>
      <c r="K172" s="22">
        <v>0.0</v>
      </c>
      <c r="L172" s="22">
        <v>0.0</v>
      </c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</row>
    <row r="173">
      <c r="A173" s="12">
        <v>46268.0</v>
      </c>
      <c r="B173" s="21" t="s">
        <v>63</v>
      </c>
      <c r="C173" s="2">
        <v>0.0</v>
      </c>
      <c r="D173" s="23">
        <f t="shared" si="3"/>
        <v>11.49</v>
      </c>
      <c r="E173" s="24">
        <f>D173/B1</f>
        <v>0.5745</v>
      </c>
      <c r="F173" s="23">
        <f t="shared" si="4"/>
        <v>11.62</v>
      </c>
      <c r="G173" s="24">
        <f>F173/B2</f>
        <v>0.581</v>
      </c>
      <c r="H173" s="25">
        <f t="shared" si="5"/>
        <v>4.1</v>
      </c>
      <c r="I173" s="26">
        <f>H173/B3</f>
        <v>0.205</v>
      </c>
      <c r="J173" s="22">
        <v>0.0</v>
      </c>
      <c r="K173" s="22">
        <v>0.0</v>
      </c>
      <c r="L173" s="22">
        <v>0.0</v>
      </c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</row>
    <row r="174">
      <c r="A174" s="12">
        <v>46269.0</v>
      </c>
      <c r="B174" s="21" t="s">
        <v>61</v>
      </c>
      <c r="C174" s="2">
        <v>0.0</v>
      </c>
      <c r="D174" s="23">
        <f t="shared" si="3"/>
        <v>11.49</v>
      </c>
      <c r="E174" s="24">
        <f>D174/B1</f>
        <v>0.5745</v>
      </c>
      <c r="F174" s="23">
        <f t="shared" si="4"/>
        <v>11.62</v>
      </c>
      <c r="G174" s="24">
        <f>F174/B2</f>
        <v>0.581</v>
      </c>
      <c r="H174" s="25">
        <f t="shared" si="5"/>
        <v>4.1</v>
      </c>
      <c r="I174" s="26">
        <f>H174/B3</f>
        <v>0.205</v>
      </c>
      <c r="J174" s="22">
        <v>0.0</v>
      </c>
      <c r="K174" s="22">
        <v>0.0</v>
      </c>
      <c r="L174" s="22">
        <v>0.0</v>
      </c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</row>
    <row r="175">
      <c r="A175" s="12">
        <v>46269.0</v>
      </c>
      <c r="B175" s="21" t="s">
        <v>62</v>
      </c>
      <c r="C175" s="2">
        <v>1.16</v>
      </c>
      <c r="D175" s="23">
        <f t="shared" si="3"/>
        <v>11.49</v>
      </c>
      <c r="E175" s="24">
        <f>D175/B1</f>
        <v>0.5745</v>
      </c>
      <c r="F175" s="23">
        <f t="shared" si="4"/>
        <v>10.46</v>
      </c>
      <c r="G175" s="24">
        <f>F175/B2</f>
        <v>0.523</v>
      </c>
      <c r="H175" s="25">
        <f t="shared" si="5"/>
        <v>4.1</v>
      </c>
      <c r="I175" s="26">
        <f>H175/B3</f>
        <v>0.205</v>
      </c>
      <c r="J175" s="22">
        <v>0.0</v>
      </c>
      <c r="K175" s="22">
        <v>0.0</v>
      </c>
      <c r="L175" s="22">
        <v>0.0</v>
      </c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</row>
    <row r="176">
      <c r="A176" s="12">
        <v>46269.0</v>
      </c>
      <c r="B176" s="21" t="s">
        <v>63</v>
      </c>
      <c r="C176" s="2">
        <v>0.78</v>
      </c>
      <c r="D176" s="23">
        <f t="shared" si="3"/>
        <v>11.49</v>
      </c>
      <c r="E176" s="24">
        <f>D176/B1</f>
        <v>0.5745</v>
      </c>
      <c r="F176" s="23">
        <f t="shared" si="4"/>
        <v>10.46</v>
      </c>
      <c r="G176" s="24">
        <f>F176/B2</f>
        <v>0.523</v>
      </c>
      <c r="H176" s="25">
        <f t="shared" si="5"/>
        <v>3.32</v>
      </c>
      <c r="I176" s="26">
        <f>H176/B3</f>
        <v>0.166</v>
      </c>
      <c r="J176" s="22">
        <v>0.0</v>
      </c>
      <c r="K176" s="22">
        <v>0.0</v>
      </c>
      <c r="L176" s="22">
        <v>0.0</v>
      </c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</row>
    <row r="177">
      <c r="A177" s="12">
        <v>46270.0</v>
      </c>
      <c r="B177" s="21" t="s">
        <v>61</v>
      </c>
      <c r="C177" s="2">
        <v>0.0</v>
      </c>
      <c r="D177" s="23">
        <f t="shared" si="3"/>
        <v>11.49</v>
      </c>
      <c r="E177" s="24">
        <f>D177/B1</f>
        <v>0.5745</v>
      </c>
      <c r="F177" s="23">
        <f t="shared" si="4"/>
        <v>10.46</v>
      </c>
      <c r="G177" s="24">
        <f>F177/B2</f>
        <v>0.523</v>
      </c>
      <c r="H177" s="25">
        <f t="shared" si="5"/>
        <v>3.32</v>
      </c>
      <c r="I177" s="26">
        <f>H177/B3</f>
        <v>0.166</v>
      </c>
      <c r="J177" s="22">
        <v>0.0</v>
      </c>
      <c r="K177" s="22">
        <v>0.0</v>
      </c>
      <c r="L177" s="22">
        <v>0.0</v>
      </c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</row>
    <row r="178">
      <c r="A178" s="12">
        <v>46270.0</v>
      </c>
      <c r="B178" s="21" t="s">
        <v>62</v>
      </c>
      <c r="C178" s="2">
        <v>1.43</v>
      </c>
      <c r="D178" s="23">
        <f t="shared" si="3"/>
        <v>11.49</v>
      </c>
      <c r="E178" s="24">
        <f>D178/B1</f>
        <v>0.5745</v>
      </c>
      <c r="F178" s="23">
        <f t="shared" si="4"/>
        <v>9.03</v>
      </c>
      <c r="G178" s="24">
        <f>F178/B2</f>
        <v>0.4515</v>
      </c>
      <c r="H178" s="25">
        <f t="shared" si="5"/>
        <v>3.32</v>
      </c>
      <c r="I178" s="26">
        <f>H178/B3</f>
        <v>0.166</v>
      </c>
      <c r="J178" s="22">
        <v>0.0</v>
      </c>
      <c r="K178" s="22">
        <v>0.0</v>
      </c>
      <c r="L178" s="22">
        <v>0.0</v>
      </c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</row>
    <row r="179">
      <c r="A179" s="12">
        <v>46270.0</v>
      </c>
      <c r="B179" s="21" t="s">
        <v>63</v>
      </c>
      <c r="C179" s="2">
        <v>1.61</v>
      </c>
      <c r="D179" s="23">
        <f t="shared" si="3"/>
        <v>11.49</v>
      </c>
      <c r="E179" s="24">
        <f>D179/B1</f>
        <v>0.5745</v>
      </c>
      <c r="F179" s="23">
        <f t="shared" si="4"/>
        <v>9.03</v>
      </c>
      <c r="G179" s="24">
        <f>F179/B2</f>
        <v>0.4515</v>
      </c>
      <c r="H179" s="25">
        <f t="shared" si="5"/>
        <v>1.71</v>
      </c>
      <c r="I179" s="26">
        <f>H179/B3</f>
        <v>0.0855</v>
      </c>
      <c r="J179" s="22">
        <v>0.0</v>
      </c>
      <c r="K179" s="22">
        <v>0.0</v>
      </c>
      <c r="L179" s="22">
        <v>0.0</v>
      </c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</row>
    <row r="180">
      <c r="A180" s="12">
        <v>46271.0</v>
      </c>
      <c r="B180" s="21" t="s">
        <v>61</v>
      </c>
      <c r="C180" s="2">
        <v>0.0</v>
      </c>
      <c r="D180" s="23">
        <f t="shared" si="3"/>
        <v>11.49</v>
      </c>
      <c r="E180" s="24">
        <f>D180/B1</f>
        <v>0.5745</v>
      </c>
      <c r="F180" s="23">
        <f t="shared" si="4"/>
        <v>9.03</v>
      </c>
      <c r="G180" s="24">
        <f>F180/B2</f>
        <v>0.4515</v>
      </c>
      <c r="H180" s="25">
        <f t="shared" si="5"/>
        <v>1.71</v>
      </c>
      <c r="I180" s="26">
        <f>H180/B3</f>
        <v>0.0855</v>
      </c>
      <c r="J180" s="22">
        <v>0.0</v>
      </c>
      <c r="K180" s="22">
        <v>0.0</v>
      </c>
      <c r="L180" s="22">
        <v>0.0</v>
      </c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</row>
    <row r="181">
      <c r="A181" s="12">
        <v>46271.0</v>
      </c>
      <c r="B181" s="21" t="s">
        <v>62</v>
      </c>
      <c r="C181" s="2">
        <v>0.0</v>
      </c>
      <c r="D181" s="23">
        <f t="shared" si="3"/>
        <v>11.49</v>
      </c>
      <c r="E181" s="24">
        <f>D181/B1</f>
        <v>0.5745</v>
      </c>
      <c r="F181" s="23">
        <f t="shared" si="4"/>
        <v>9.03</v>
      </c>
      <c r="G181" s="24">
        <f>F181/B2</f>
        <v>0.4515</v>
      </c>
      <c r="H181" s="25">
        <f t="shared" si="5"/>
        <v>1.71</v>
      </c>
      <c r="I181" s="26">
        <f>H181/B3</f>
        <v>0.0855</v>
      </c>
      <c r="J181" s="22">
        <v>0.0</v>
      </c>
      <c r="K181" s="22">
        <v>0.0</v>
      </c>
      <c r="L181" s="22">
        <v>0.0</v>
      </c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</row>
    <row r="182">
      <c r="A182" s="12">
        <v>46271.0</v>
      </c>
      <c r="B182" s="21" t="s">
        <v>63</v>
      </c>
      <c r="C182" s="2">
        <v>1.71</v>
      </c>
      <c r="D182" s="23">
        <f t="shared" si="3"/>
        <v>11.49</v>
      </c>
      <c r="E182" s="24">
        <f>D182/B1</f>
        <v>0.5745</v>
      </c>
      <c r="F182" s="23">
        <f t="shared" si="4"/>
        <v>9.03</v>
      </c>
      <c r="G182" s="24">
        <f>F182/B2</f>
        <v>0.4515</v>
      </c>
      <c r="H182" s="25">
        <f t="shared" si="5"/>
        <v>0</v>
      </c>
      <c r="I182" s="26">
        <f>H182/B3</f>
        <v>0</v>
      </c>
      <c r="J182" s="22">
        <v>0.0</v>
      </c>
      <c r="K182" s="22">
        <v>0.0</v>
      </c>
      <c r="L182" s="22">
        <v>0.0</v>
      </c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</row>
    <row r="183">
      <c r="A183" s="12">
        <v>46272.0</v>
      </c>
      <c r="B183" s="21" t="s">
        <v>61</v>
      </c>
      <c r="C183" s="2">
        <v>0.0</v>
      </c>
      <c r="D183" s="23">
        <f t="shared" si="3"/>
        <v>11.49</v>
      </c>
      <c r="E183" s="24">
        <f>D183/B1</f>
        <v>0.5745</v>
      </c>
      <c r="F183" s="23">
        <f t="shared" si="4"/>
        <v>9.03</v>
      </c>
      <c r="G183" s="24">
        <f>F183/B2</f>
        <v>0.4515</v>
      </c>
      <c r="H183" s="25">
        <f t="shared" si="5"/>
        <v>0</v>
      </c>
      <c r="I183" s="26">
        <f>H183/B3</f>
        <v>0</v>
      </c>
      <c r="J183" s="22">
        <v>0.0</v>
      </c>
      <c r="K183" s="22">
        <v>0.0</v>
      </c>
      <c r="L183" s="22">
        <v>0.0</v>
      </c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</row>
    <row r="184">
      <c r="A184" s="12">
        <v>46272.0</v>
      </c>
      <c r="B184" s="21" t="s">
        <v>62</v>
      </c>
      <c r="C184" s="2">
        <v>0.0</v>
      </c>
      <c r="D184" s="23">
        <f t="shared" si="3"/>
        <v>11.49</v>
      </c>
      <c r="E184" s="24">
        <f>D184/B1</f>
        <v>0.5745</v>
      </c>
      <c r="F184" s="23">
        <f t="shared" si="4"/>
        <v>9.03</v>
      </c>
      <c r="G184" s="24">
        <f>F184/B2</f>
        <v>0.4515</v>
      </c>
      <c r="H184" s="25">
        <f t="shared" si="5"/>
        <v>0</v>
      </c>
      <c r="I184" s="26">
        <f>H184/B3</f>
        <v>0</v>
      </c>
      <c r="J184" s="22">
        <v>0.0</v>
      </c>
      <c r="K184" s="22">
        <v>0.0</v>
      </c>
      <c r="L184" s="22">
        <v>0.0</v>
      </c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</row>
    <row r="185">
      <c r="A185" s="12">
        <v>46272.0</v>
      </c>
      <c r="B185" s="21" t="s">
        <v>63</v>
      </c>
      <c r="C185" s="2">
        <v>0.0</v>
      </c>
      <c r="D185" s="23">
        <f t="shared" si="3"/>
        <v>11.49</v>
      </c>
      <c r="E185" s="24">
        <f>D185/B1</f>
        <v>0.5745</v>
      </c>
      <c r="F185" s="23">
        <f t="shared" si="4"/>
        <v>9.03</v>
      </c>
      <c r="G185" s="24">
        <f>F185/B2</f>
        <v>0.4515</v>
      </c>
      <c r="H185" s="25">
        <f t="shared" si="5"/>
        <v>0</v>
      </c>
      <c r="I185" s="26">
        <f>H185/B3</f>
        <v>0</v>
      </c>
      <c r="J185" s="22">
        <v>0.0</v>
      </c>
      <c r="K185" s="22">
        <v>0.0</v>
      </c>
      <c r="L185" s="22">
        <v>0.0</v>
      </c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</row>
    <row r="186">
      <c r="A186" s="12">
        <v>46273.0</v>
      </c>
      <c r="B186" s="21" t="s">
        <v>61</v>
      </c>
      <c r="C186" s="2">
        <v>0.0</v>
      </c>
      <c r="D186" s="23">
        <f t="shared" si="3"/>
        <v>11.49</v>
      </c>
      <c r="E186" s="24">
        <f>D186/B1</f>
        <v>0.5745</v>
      </c>
      <c r="F186" s="23">
        <f t="shared" si="4"/>
        <v>9.03</v>
      </c>
      <c r="G186" s="24">
        <f>F186/B2</f>
        <v>0.4515</v>
      </c>
      <c r="H186" s="25">
        <f t="shared" si="5"/>
        <v>0</v>
      </c>
      <c r="I186" s="26">
        <f>H186/B3</f>
        <v>0</v>
      </c>
      <c r="J186" s="22">
        <v>0.0</v>
      </c>
      <c r="K186" s="22">
        <v>0.0</v>
      </c>
      <c r="L186" s="22">
        <v>0.0</v>
      </c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</row>
    <row r="187">
      <c r="A187" s="12">
        <v>46273.0</v>
      </c>
      <c r="B187" s="21" t="s">
        <v>62</v>
      </c>
      <c r="C187" s="2">
        <v>0.0</v>
      </c>
      <c r="D187" s="23">
        <f t="shared" si="3"/>
        <v>11.49</v>
      </c>
      <c r="E187" s="24">
        <f>D187/B1</f>
        <v>0.5745</v>
      </c>
      <c r="F187" s="23">
        <f t="shared" si="4"/>
        <v>9.03</v>
      </c>
      <c r="G187" s="24">
        <f>F187/B2</f>
        <v>0.4515</v>
      </c>
      <c r="H187" s="25">
        <f t="shared" si="5"/>
        <v>0</v>
      </c>
      <c r="I187" s="26">
        <f>H187/B3</f>
        <v>0</v>
      </c>
      <c r="J187" s="22">
        <v>0.0</v>
      </c>
      <c r="K187" s="22">
        <v>0.0</v>
      </c>
      <c r="L187" s="22">
        <v>0.0</v>
      </c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</row>
    <row r="188">
      <c r="A188" s="12">
        <v>46273.0</v>
      </c>
      <c r="B188" s="21" t="s">
        <v>63</v>
      </c>
      <c r="C188" s="2">
        <v>0.0</v>
      </c>
      <c r="D188" s="23">
        <f t="shared" si="3"/>
        <v>11.49</v>
      </c>
      <c r="E188" s="24">
        <f>D188/B1</f>
        <v>0.5745</v>
      </c>
      <c r="F188" s="23">
        <f t="shared" si="4"/>
        <v>9.03</v>
      </c>
      <c r="G188" s="24">
        <f>F188/B2</f>
        <v>0.4515</v>
      </c>
      <c r="H188" s="25">
        <f t="shared" si="5"/>
        <v>0</v>
      </c>
      <c r="I188" s="26">
        <f>H188/B3</f>
        <v>0</v>
      </c>
      <c r="J188" s="22">
        <v>0.0</v>
      </c>
      <c r="K188" s="22">
        <v>0.0</v>
      </c>
      <c r="L188" s="22">
        <v>0.0</v>
      </c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</row>
    <row r="189">
      <c r="A189" s="12">
        <v>46274.0</v>
      </c>
      <c r="B189" s="6" t="s">
        <v>61</v>
      </c>
      <c r="C189" s="2">
        <v>0.0</v>
      </c>
      <c r="D189" s="16">
        <f t="shared" si="3"/>
        <v>11.49</v>
      </c>
      <c r="E189" s="17">
        <f>D189/B1</f>
        <v>0.5745</v>
      </c>
      <c r="F189" s="16">
        <f t="shared" si="4"/>
        <v>9.03</v>
      </c>
      <c r="G189" s="17">
        <f>F189/B2</f>
        <v>0.4515</v>
      </c>
      <c r="H189" s="15">
        <f t="shared" si="5"/>
        <v>0</v>
      </c>
      <c r="I189" s="14">
        <f>H189/B3</f>
        <v>0</v>
      </c>
      <c r="J189" s="2">
        <v>0.0</v>
      </c>
      <c r="K189" s="2">
        <v>0.0</v>
      </c>
      <c r="L189" s="2">
        <v>0.0</v>
      </c>
    </row>
    <row r="190">
      <c r="A190" s="12">
        <v>46274.0</v>
      </c>
      <c r="B190" s="6" t="s">
        <v>62</v>
      </c>
      <c r="C190" s="2">
        <v>0.0</v>
      </c>
      <c r="D190" s="16">
        <f t="shared" si="3"/>
        <v>11.49</v>
      </c>
      <c r="E190" s="17">
        <f>D190/B1</f>
        <v>0.5745</v>
      </c>
      <c r="F190" s="16">
        <f t="shared" si="4"/>
        <v>9.03</v>
      </c>
      <c r="G190" s="17">
        <f>F190/B2</f>
        <v>0.4515</v>
      </c>
      <c r="H190" s="15">
        <f t="shared" si="5"/>
        <v>0</v>
      </c>
      <c r="I190" s="14">
        <f>H190/B3</f>
        <v>0</v>
      </c>
      <c r="J190" s="2">
        <v>0.0</v>
      </c>
      <c r="K190" s="2">
        <v>0.0</v>
      </c>
      <c r="L190" s="2">
        <v>0.0</v>
      </c>
    </row>
    <row r="191">
      <c r="A191" s="12">
        <v>46274.0</v>
      </c>
      <c r="B191" s="6" t="s">
        <v>63</v>
      </c>
      <c r="C191" s="2">
        <v>0.0</v>
      </c>
      <c r="D191" s="16">
        <f t="shared" si="3"/>
        <v>11.49</v>
      </c>
      <c r="E191" s="17">
        <f>D191/B1</f>
        <v>0.5745</v>
      </c>
      <c r="F191" s="16">
        <f t="shared" si="4"/>
        <v>9.03</v>
      </c>
      <c r="G191" s="17">
        <f>F191/B2</f>
        <v>0.4515</v>
      </c>
      <c r="H191" s="15">
        <f t="shared" si="5"/>
        <v>0</v>
      </c>
      <c r="I191" s="14">
        <f>H191/B3</f>
        <v>0</v>
      </c>
      <c r="J191" s="2">
        <v>0.0</v>
      </c>
      <c r="K191" s="2">
        <v>0.0</v>
      </c>
      <c r="L191" s="2">
        <v>0.0</v>
      </c>
    </row>
    <row r="192">
      <c r="A192" s="12">
        <v>46275.0</v>
      </c>
      <c r="B192" s="6" t="s">
        <v>61</v>
      </c>
      <c r="C192" s="2">
        <v>0.0</v>
      </c>
      <c r="D192" s="16">
        <f t="shared" si="3"/>
        <v>11.49</v>
      </c>
      <c r="E192" s="17">
        <f>D192/B1</f>
        <v>0.5745</v>
      </c>
      <c r="F192" s="16">
        <f t="shared" si="4"/>
        <v>9.03</v>
      </c>
      <c r="G192" s="17">
        <f>F192/B2</f>
        <v>0.4515</v>
      </c>
      <c r="H192" s="15">
        <f t="shared" si="5"/>
        <v>0</v>
      </c>
      <c r="I192" s="14">
        <f>H192/B3</f>
        <v>0</v>
      </c>
      <c r="J192" s="2">
        <v>0.0</v>
      </c>
      <c r="K192" s="2">
        <v>0.0</v>
      </c>
      <c r="L192" s="2">
        <v>0.0</v>
      </c>
    </row>
    <row r="193">
      <c r="A193" s="12">
        <v>46275.0</v>
      </c>
      <c r="B193" s="6" t="s">
        <v>62</v>
      </c>
      <c r="C193" s="2">
        <v>0.0</v>
      </c>
      <c r="D193" s="16">
        <f t="shared" si="3"/>
        <v>11.49</v>
      </c>
      <c r="E193" s="17">
        <f>D193/B1</f>
        <v>0.5745</v>
      </c>
      <c r="F193" s="16">
        <f t="shared" si="4"/>
        <v>9.03</v>
      </c>
      <c r="G193" s="17">
        <f>F193/B2</f>
        <v>0.4515</v>
      </c>
      <c r="H193" s="15">
        <f t="shared" si="5"/>
        <v>0</v>
      </c>
      <c r="I193" s="14">
        <f>H193/B3</f>
        <v>0</v>
      </c>
      <c r="J193" s="2">
        <v>0.0</v>
      </c>
      <c r="K193" s="2">
        <v>0.0</v>
      </c>
      <c r="L193" s="2">
        <v>0.0</v>
      </c>
    </row>
    <row r="194">
      <c r="A194" s="12">
        <v>46275.0</v>
      </c>
      <c r="B194" s="6" t="s">
        <v>63</v>
      </c>
      <c r="C194" s="2">
        <v>0.0</v>
      </c>
      <c r="D194" s="16">
        <f t="shared" si="3"/>
        <v>11.49</v>
      </c>
      <c r="E194" s="17">
        <f>D194/B1</f>
        <v>0.5745</v>
      </c>
      <c r="F194" s="16">
        <f t="shared" si="4"/>
        <v>9.03</v>
      </c>
      <c r="G194" s="17">
        <f>F194/B2</f>
        <v>0.4515</v>
      </c>
      <c r="H194" s="15">
        <f t="shared" si="5"/>
        <v>0</v>
      </c>
      <c r="I194" s="14">
        <f>H194/B3</f>
        <v>0</v>
      </c>
      <c r="J194" s="2">
        <v>0.0</v>
      </c>
      <c r="K194" s="2">
        <v>0.0</v>
      </c>
      <c r="L194" s="2">
        <v>0.0</v>
      </c>
    </row>
    <row r="195">
      <c r="A195" s="12">
        <v>46276.0</v>
      </c>
      <c r="B195" s="6" t="s">
        <v>61</v>
      </c>
      <c r="C195" s="2">
        <v>0.0</v>
      </c>
      <c r="D195" s="16">
        <f t="shared" si="3"/>
        <v>11.49</v>
      </c>
      <c r="E195" s="17">
        <f>D195/B1</f>
        <v>0.5745</v>
      </c>
      <c r="F195" s="16">
        <f t="shared" si="4"/>
        <v>9.03</v>
      </c>
      <c r="G195" s="17">
        <f>F195/B2</f>
        <v>0.4515</v>
      </c>
      <c r="H195" s="15">
        <f t="shared" si="5"/>
        <v>0</v>
      </c>
      <c r="I195" s="14">
        <f>H195/B3</f>
        <v>0</v>
      </c>
      <c r="J195" s="2">
        <v>0.0</v>
      </c>
      <c r="K195" s="2">
        <v>0.0</v>
      </c>
      <c r="L195" s="2">
        <v>0.0</v>
      </c>
    </row>
    <row r="196">
      <c r="A196" s="12">
        <v>46276.0</v>
      </c>
      <c r="B196" s="6" t="s">
        <v>62</v>
      </c>
      <c r="C196" s="2">
        <v>1.22</v>
      </c>
      <c r="D196" s="16">
        <f t="shared" si="3"/>
        <v>11.49</v>
      </c>
      <c r="E196" s="17">
        <f>D196/B1</f>
        <v>0.5745</v>
      </c>
      <c r="F196" s="16">
        <f t="shared" si="4"/>
        <v>7.81</v>
      </c>
      <c r="G196" s="17">
        <f>F196/B2</f>
        <v>0.3905</v>
      </c>
      <c r="H196" s="15">
        <f t="shared" si="5"/>
        <v>0</v>
      </c>
      <c r="I196" s="14">
        <f>H196/B3</f>
        <v>0</v>
      </c>
      <c r="J196" s="2">
        <v>0.0</v>
      </c>
      <c r="K196" s="2">
        <v>0.0</v>
      </c>
      <c r="L196" s="2">
        <v>0.0</v>
      </c>
    </row>
    <row r="197">
      <c r="A197" s="12">
        <v>46276.0</v>
      </c>
      <c r="B197" s="6" t="s">
        <v>63</v>
      </c>
      <c r="C197" s="2">
        <v>0.0</v>
      </c>
      <c r="D197" s="16">
        <f t="shared" si="3"/>
        <v>11.49</v>
      </c>
      <c r="E197" s="17">
        <f>D197/B1</f>
        <v>0.5745</v>
      </c>
      <c r="F197" s="16">
        <f t="shared" si="4"/>
        <v>7.81</v>
      </c>
      <c r="G197" s="17">
        <f>F197/B2</f>
        <v>0.3905</v>
      </c>
      <c r="H197" s="15">
        <f t="shared" si="5"/>
        <v>0</v>
      </c>
      <c r="I197" s="14">
        <f>H197/B3</f>
        <v>0</v>
      </c>
      <c r="J197" s="2">
        <v>0.0</v>
      </c>
      <c r="K197" s="2">
        <v>0.0</v>
      </c>
      <c r="L197" s="2">
        <v>0.0</v>
      </c>
    </row>
    <row r="198">
      <c r="A198" s="12">
        <v>46277.0</v>
      </c>
      <c r="B198" s="6" t="s">
        <v>61</v>
      </c>
      <c r="C198" s="2">
        <v>0.0</v>
      </c>
      <c r="D198" s="16">
        <f t="shared" si="3"/>
        <v>11.49</v>
      </c>
      <c r="E198" s="17">
        <f>D198/B1</f>
        <v>0.5745</v>
      </c>
      <c r="F198" s="16">
        <f t="shared" si="4"/>
        <v>7.81</v>
      </c>
      <c r="G198" s="17">
        <f>F198/B2</f>
        <v>0.3905</v>
      </c>
      <c r="H198" s="15">
        <f t="shared" si="5"/>
        <v>0</v>
      </c>
      <c r="I198" s="14">
        <f>H198/B3</f>
        <v>0</v>
      </c>
      <c r="J198" s="2">
        <v>0.0</v>
      </c>
      <c r="K198" s="2">
        <v>0.0</v>
      </c>
      <c r="L198" s="2">
        <v>0.0</v>
      </c>
    </row>
    <row r="199">
      <c r="A199" s="12">
        <v>46277.0</v>
      </c>
      <c r="B199" s="6" t="s">
        <v>62</v>
      </c>
      <c r="C199" s="2">
        <v>0.0</v>
      </c>
      <c r="D199" s="16">
        <f t="shared" si="3"/>
        <v>11.49</v>
      </c>
      <c r="E199" s="17">
        <f>D199/B1</f>
        <v>0.5745</v>
      </c>
      <c r="F199" s="16">
        <f t="shared" si="4"/>
        <v>7.81</v>
      </c>
      <c r="G199" s="17">
        <f>F199/B2</f>
        <v>0.3905</v>
      </c>
      <c r="H199" s="15">
        <f t="shared" si="5"/>
        <v>0</v>
      </c>
      <c r="I199" s="14">
        <f>H199/B3</f>
        <v>0</v>
      </c>
      <c r="J199" s="2">
        <v>0.0</v>
      </c>
      <c r="K199" s="2">
        <v>0.0</v>
      </c>
      <c r="L199" s="2">
        <v>0.0</v>
      </c>
    </row>
    <row r="200">
      <c r="A200" s="12">
        <v>46277.0</v>
      </c>
      <c r="B200" s="6" t="s">
        <v>63</v>
      </c>
      <c r="C200" s="2">
        <v>0.0</v>
      </c>
      <c r="D200" s="16">
        <f t="shared" si="3"/>
        <v>11.49</v>
      </c>
      <c r="E200" s="17">
        <f>D200/B1</f>
        <v>0.5745</v>
      </c>
      <c r="F200" s="16">
        <f t="shared" si="4"/>
        <v>7.81</v>
      </c>
      <c r="G200" s="17">
        <f>F200/B2</f>
        <v>0.3905</v>
      </c>
      <c r="H200" s="15">
        <f t="shared" si="5"/>
        <v>0</v>
      </c>
      <c r="I200" s="14">
        <f>H200/B3</f>
        <v>0</v>
      </c>
      <c r="J200" s="2">
        <v>0.0</v>
      </c>
      <c r="K200" s="2">
        <v>0.0</v>
      </c>
      <c r="L200" s="2">
        <v>0.0</v>
      </c>
    </row>
    <row r="201">
      <c r="A201" s="12">
        <v>46278.0</v>
      </c>
      <c r="B201" s="6" t="s">
        <v>61</v>
      </c>
      <c r="C201" s="2">
        <v>0.0</v>
      </c>
      <c r="D201" s="16">
        <f t="shared" si="3"/>
        <v>11.49</v>
      </c>
      <c r="E201" s="17">
        <f>D201/B1</f>
        <v>0.5745</v>
      </c>
      <c r="F201" s="16">
        <f t="shared" si="4"/>
        <v>7.81</v>
      </c>
      <c r="G201" s="17">
        <f>F201/B2</f>
        <v>0.3905</v>
      </c>
      <c r="H201" s="15">
        <f t="shared" si="5"/>
        <v>0</v>
      </c>
      <c r="I201" s="14">
        <f>H201/B3</f>
        <v>0</v>
      </c>
      <c r="J201" s="2">
        <v>0.0</v>
      </c>
      <c r="K201" s="2">
        <v>0.0</v>
      </c>
      <c r="L201" s="2">
        <v>0.0</v>
      </c>
    </row>
    <row r="202">
      <c r="A202" s="12">
        <v>46278.0</v>
      </c>
      <c r="B202" s="6" t="s">
        <v>62</v>
      </c>
      <c r="C202" s="2">
        <v>0.0</v>
      </c>
      <c r="D202" s="16">
        <f t="shared" si="3"/>
        <v>11.49</v>
      </c>
      <c r="E202" s="17">
        <f>D202/B1</f>
        <v>0.5745</v>
      </c>
      <c r="F202" s="16">
        <f t="shared" si="4"/>
        <v>7.81</v>
      </c>
      <c r="G202" s="17">
        <f>F202/B2</f>
        <v>0.3905</v>
      </c>
      <c r="H202" s="15">
        <f t="shared" si="5"/>
        <v>0</v>
      </c>
      <c r="I202" s="14">
        <f>H202/B3</f>
        <v>0</v>
      </c>
      <c r="J202" s="2">
        <v>0.0</v>
      </c>
      <c r="K202" s="2">
        <v>0.0</v>
      </c>
      <c r="L202" s="2">
        <v>0.0</v>
      </c>
    </row>
    <row r="203">
      <c r="A203" s="12">
        <v>46278.0</v>
      </c>
      <c r="B203" s="6" t="s">
        <v>63</v>
      </c>
      <c r="C203" s="2">
        <v>0.0</v>
      </c>
      <c r="D203" s="16">
        <f t="shared" si="3"/>
        <v>11.49</v>
      </c>
      <c r="E203" s="17">
        <f>D203/B1</f>
        <v>0.5745</v>
      </c>
      <c r="F203" s="16">
        <f t="shared" si="4"/>
        <v>7.81</v>
      </c>
      <c r="G203" s="17">
        <f>F203/B2</f>
        <v>0.3905</v>
      </c>
      <c r="H203" s="15">
        <f t="shared" si="5"/>
        <v>0</v>
      </c>
      <c r="I203" s="14">
        <f>H203/B3</f>
        <v>0</v>
      </c>
      <c r="J203" s="2">
        <v>0.0</v>
      </c>
      <c r="K203" s="2">
        <v>0.0</v>
      </c>
      <c r="L203" s="2">
        <v>0.0</v>
      </c>
    </row>
    <row r="204">
      <c r="A204" s="12">
        <v>46279.0</v>
      </c>
      <c r="B204" s="6" t="s">
        <v>61</v>
      </c>
      <c r="C204" s="2">
        <v>0.0</v>
      </c>
      <c r="D204" s="16">
        <f t="shared" si="3"/>
        <v>11.49</v>
      </c>
      <c r="E204" s="17">
        <f>D204/B1</f>
        <v>0.5745</v>
      </c>
      <c r="F204" s="16">
        <f t="shared" si="4"/>
        <v>7.81</v>
      </c>
      <c r="G204" s="17">
        <f>F204/B2</f>
        <v>0.3905</v>
      </c>
      <c r="H204" s="15">
        <f t="shared" si="5"/>
        <v>0</v>
      </c>
      <c r="I204" s="14">
        <f>H204/B3</f>
        <v>0</v>
      </c>
      <c r="J204" s="2">
        <v>0.0</v>
      </c>
      <c r="K204" s="2">
        <v>0.0</v>
      </c>
      <c r="L204" s="2">
        <v>0.0</v>
      </c>
    </row>
    <row r="205">
      <c r="A205" s="12">
        <v>46279.0</v>
      </c>
      <c r="B205" s="6" t="s">
        <v>62</v>
      </c>
      <c r="C205" s="2">
        <v>0.0</v>
      </c>
      <c r="D205" s="16">
        <f t="shared" si="3"/>
        <v>11.49</v>
      </c>
      <c r="E205" s="17">
        <f>D205/B1</f>
        <v>0.5745</v>
      </c>
      <c r="F205" s="16">
        <f t="shared" si="4"/>
        <v>7.81</v>
      </c>
      <c r="G205" s="17">
        <f>F205/B2</f>
        <v>0.3905</v>
      </c>
      <c r="H205" s="15">
        <f t="shared" si="5"/>
        <v>0</v>
      </c>
      <c r="I205" s="14">
        <f>H205/B3</f>
        <v>0</v>
      </c>
      <c r="J205" s="2">
        <v>0.0</v>
      </c>
      <c r="K205" s="2">
        <v>0.0</v>
      </c>
      <c r="L205" s="2">
        <v>0.0</v>
      </c>
    </row>
    <row r="206">
      <c r="A206" s="12">
        <v>46279.0</v>
      </c>
      <c r="B206" s="6" t="s">
        <v>63</v>
      </c>
      <c r="C206" s="2">
        <v>0.0</v>
      </c>
      <c r="D206" s="16">
        <f t="shared" si="3"/>
        <v>11.49</v>
      </c>
      <c r="E206" s="17">
        <f>D206/B1</f>
        <v>0.5745</v>
      </c>
      <c r="F206" s="16">
        <f t="shared" si="4"/>
        <v>7.81</v>
      </c>
      <c r="G206" s="17">
        <f>F206/B2</f>
        <v>0.3905</v>
      </c>
      <c r="H206" s="15">
        <f t="shared" si="5"/>
        <v>0</v>
      </c>
      <c r="I206" s="14">
        <f>H206/B3</f>
        <v>0</v>
      </c>
      <c r="J206" s="2">
        <v>0.0</v>
      </c>
      <c r="K206" s="2">
        <v>0.0</v>
      </c>
      <c r="L206" s="2">
        <v>0.0</v>
      </c>
    </row>
    <row r="207">
      <c r="A207" s="12">
        <v>46280.0</v>
      </c>
      <c r="B207" s="6" t="s">
        <v>61</v>
      </c>
      <c r="C207" s="2">
        <v>0.0</v>
      </c>
      <c r="D207" s="16">
        <f t="shared" si="3"/>
        <v>11.49</v>
      </c>
      <c r="E207" s="17">
        <f>D207/B1</f>
        <v>0.5745</v>
      </c>
      <c r="F207" s="16">
        <f t="shared" si="4"/>
        <v>7.81</v>
      </c>
      <c r="G207" s="17">
        <f>F207/B2</f>
        <v>0.3905</v>
      </c>
      <c r="H207" s="15">
        <f t="shared" si="5"/>
        <v>0</v>
      </c>
      <c r="I207" s="14">
        <f>H207/B3</f>
        <v>0</v>
      </c>
      <c r="J207" s="2">
        <v>0.0</v>
      </c>
      <c r="K207" s="2">
        <v>0.0</v>
      </c>
      <c r="L207" s="2">
        <v>0.0</v>
      </c>
    </row>
    <row r="208">
      <c r="A208" s="12">
        <v>46280.0</v>
      </c>
      <c r="B208" s="6" t="s">
        <v>62</v>
      </c>
      <c r="C208" s="2">
        <v>0.0</v>
      </c>
      <c r="D208" s="16">
        <f t="shared" si="3"/>
        <v>11.49</v>
      </c>
      <c r="E208" s="17">
        <f>D208/B1</f>
        <v>0.5745</v>
      </c>
      <c r="F208" s="16">
        <f t="shared" si="4"/>
        <v>7.81</v>
      </c>
      <c r="G208" s="17">
        <f>F208/B2</f>
        <v>0.3905</v>
      </c>
      <c r="H208" s="15">
        <f t="shared" si="5"/>
        <v>0</v>
      </c>
      <c r="I208" s="14">
        <f>H208/B3</f>
        <v>0</v>
      </c>
      <c r="J208" s="2">
        <v>0.0</v>
      </c>
      <c r="K208" s="2">
        <v>0.0</v>
      </c>
      <c r="L208" s="2">
        <v>0.0</v>
      </c>
    </row>
    <row r="209">
      <c r="A209" s="12">
        <v>46280.0</v>
      </c>
      <c r="B209" s="6" t="s">
        <v>63</v>
      </c>
      <c r="C209" s="2">
        <v>0.0</v>
      </c>
      <c r="D209" s="16">
        <f t="shared" si="3"/>
        <v>11.49</v>
      </c>
      <c r="E209" s="17">
        <f>D209/B1</f>
        <v>0.5745</v>
      </c>
      <c r="F209" s="16">
        <f t="shared" si="4"/>
        <v>7.81</v>
      </c>
      <c r="G209" s="17">
        <f>F209/B2</f>
        <v>0.3905</v>
      </c>
      <c r="H209" s="15">
        <f t="shared" si="5"/>
        <v>0</v>
      </c>
      <c r="I209" s="14">
        <f>H209/B3</f>
        <v>0</v>
      </c>
      <c r="J209" s="2">
        <v>0.0</v>
      </c>
      <c r="K209" s="2">
        <v>0.0</v>
      </c>
      <c r="L209" s="2">
        <v>0.0</v>
      </c>
    </row>
    <row r="210">
      <c r="A210" s="12">
        <v>46281.0</v>
      </c>
      <c r="B210" s="6" t="s">
        <v>61</v>
      </c>
      <c r="C210" s="2">
        <v>0.0</v>
      </c>
      <c r="D210" s="16">
        <f t="shared" si="3"/>
        <v>11.49</v>
      </c>
      <c r="E210" s="17">
        <f>D210/B1</f>
        <v>0.5745</v>
      </c>
      <c r="F210" s="16">
        <f t="shared" si="4"/>
        <v>7.81</v>
      </c>
      <c r="G210" s="17">
        <f>F210/B2</f>
        <v>0.3905</v>
      </c>
      <c r="H210" s="15">
        <f t="shared" si="5"/>
        <v>0</v>
      </c>
      <c r="I210" s="14">
        <f>H210/B3</f>
        <v>0</v>
      </c>
      <c r="J210" s="2">
        <v>0.0</v>
      </c>
      <c r="K210" s="2">
        <v>0.0</v>
      </c>
      <c r="L210" s="2">
        <v>0.0</v>
      </c>
    </row>
    <row r="211">
      <c r="A211" s="12">
        <v>46281.0</v>
      </c>
      <c r="B211" s="6" t="s">
        <v>62</v>
      </c>
      <c r="C211" s="2">
        <v>0.0</v>
      </c>
      <c r="D211" s="16">
        <f t="shared" si="3"/>
        <v>11.49</v>
      </c>
      <c r="E211" s="17">
        <f>D211/B1</f>
        <v>0.5745</v>
      </c>
      <c r="F211" s="16">
        <f t="shared" si="4"/>
        <v>7.81</v>
      </c>
      <c r="G211" s="17">
        <f>F211/B2</f>
        <v>0.3905</v>
      </c>
      <c r="H211" s="15">
        <f t="shared" si="5"/>
        <v>0</v>
      </c>
      <c r="I211" s="14">
        <f>H211/B3</f>
        <v>0</v>
      </c>
      <c r="J211" s="2">
        <v>0.0</v>
      </c>
      <c r="K211" s="2">
        <v>0.0</v>
      </c>
      <c r="L211" s="2">
        <v>0.0</v>
      </c>
    </row>
    <row r="212">
      <c r="A212" s="12">
        <v>46281.0</v>
      </c>
      <c r="B212" s="6" t="s">
        <v>63</v>
      </c>
      <c r="C212" s="2">
        <v>0.0</v>
      </c>
      <c r="D212" s="16">
        <f t="shared" si="3"/>
        <v>11.49</v>
      </c>
      <c r="E212" s="17">
        <f>D212/B1</f>
        <v>0.5745</v>
      </c>
      <c r="F212" s="16">
        <f t="shared" si="4"/>
        <v>7.81</v>
      </c>
      <c r="G212" s="17">
        <f>F212/B2</f>
        <v>0.3905</v>
      </c>
      <c r="H212" s="15">
        <f t="shared" si="5"/>
        <v>0</v>
      </c>
      <c r="I212" s="14">
        <f>H212/B3</f>
        <v>0</v>
      </c>
      <c r="J212" s="2">
        <v>0.0</v>
      </c>
      <c r="K212" s="2">
        <v>0.0</v>
      </c>
      <c r="L212" s="2">
        <v>0.0</v>
      </c>
    </row>
    <row r="213">
      <c r="A213" s="12">
        <v>46282.0</v>
      </c>
      <c r="B213" s="6" t="s">
        <v>61</v>
      </c>
      <c r="C213" s="2">
        <v>0.0</v>
      </c>
      <c r="D213" s="16">
        <f t="shared" si="3"/>
        <v>11.49</v>
      </c>
      <c r="E213" s="17">
        <f>D213/B1</f>
        <v>0.5745</v>
      </c>
      <c r="F213" s="16">
        <f t="shared" si="4"/>
        <v>7.81</v>
      </c>
      <c r="G213" s="17">
        <f>F213/B2</f>
        <v>0.3905</v>
      </c>
      <c r="H213" s="15">
        <f t="shared" si="5"/>
        <v>0</v>
      </c>
      <c r="I213" s="14">
        <f>H213/B3</f>
        <v>0</v>
      </c>
      <c r="J213" s="2">
        <v>0.0</v>
      </c>
      <c r="K213" s="2">
        <v>0.0</v>
      </c>
      <c r="L213" s="2">
        <v>0.0</v>
      </c>
    </row>
    <row r="214">
      <c r="A214" s="12">
        <v>46282.0</v>
      </c>
      <c r="B214" s="6" t="s">
        <v>62</v>
      </c>
      <c r="C214" s="2">
        <v>0.0</v>
      </c>
      <c r="D214" s="16">
        <f t="shared" si="3"/>
        <v>11.49</v>
      </c>
      <c r="E214" s="17">
        <f>D214/B1</f>
        <v>0.5745</v>
      </c>
      <c r="F214" s="16">
        <f t="shared" si="4"/>
        <v>7.81</v>
      </c>
      <c r="G214" s="17">
        <f>F214/B2</f>
        <v>0.3905</v>
      </c>
      <c r="H214" s="15">
        <f t="shared" si="5"/>
        <v>0</v>
      </c>
      <c r="I214" s="14">
        <f>H214/B3</f>
        <v>0</v>
      </c>
      <c r="J214" s="2">
        <v>0.0</v>
      </c>
      <c r="K214" s="2">
        <v>0.0</v>
      </c>
      <c r="L214" s="2">
        <v>0.0</v>
      </c>
    </row>
    <row r="215">
      <c r="A215" s="12">
        <v>46282.0</v>
      </c>
      <c r="B215" s="6" t="s">
        <v>63</v>
      </c>
      <c r="C215" s="2">
        <v>0.0</v>
      </c>
      <c r="D215" s="16">
        <f t="shared" si="3"/>
        <v>11.49</v>
      </c>
      <c r="E215" s="17">
        <f>D215/B1</f>
        <v>0.5745</v>
      </c>
      <c r="F215" s="16">
        <f t="shared" si="4"/>
        <v>7.81</v>
      </c>
      <c r="G215" s="17">
        <f>F215/B2</f>
        <v>0.3905</v>
      </c>
      <c r="H215" s="15">
        <f t="shared" si="5"/>
        <v>0</v>
      </c>
      <c r="I215" s="14">
        <f>H215/B3</f>
        <v>0</v>
      </c>
      <c r="J215" s="2">
        <v>0.0</v>
      </c>
      <c r="K215" s="2">
        <v>0.0</v>
      </c>
      <c r="L215" s="2">
        <v>0.0</v>
      </c>
    </row>
    <row r="216">
      <c r="A216" s="12">
        <v>46283.0</v>
      </c>
      <c r="B216" s="21" t="s">
        <v>61</v>
      </c>
      <c r="C216" s="2">
        <v>0.0</v>
      </c>
      <c r="D216" s="23">
        <f t="shared" si="3"/>
        <v>11.49</v>
      </c>
      <c r="E216" s="24">
        <f>D216/B1</f>
        <v>0.5745</v>
      </c>
      <c r="F216" s="23">
        <f t="shared" si="4"/>
        <v>7.81</v>
      </c>
      <c r="G216" s="24">
        <f>F216/B2</f>
        <v>0.3905</v>
      </c>
      <c r="H216" s="25">
        <f t="shared" si="5"/>
        <v>0</v>
      </c>
      <c r="I216" s="26">
        <f>H216/B3</f>
        <v>0</v>
      </c>
      <c r="J216" s="22">
        <v>0.0</v>
      </c>
      <c r="K216" s="22">
        <v>0.0</v>
      </c>
      <c r="L216" s="22">
        <v>0.0</v>
      </c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</row>
    <row r="217">
      <c r="A217" s="12">
        <v>46283.0</v>
      </c>
      <c r="B217" s="21" t="s">
        <v>62</v>
      </c>
      <c r="C217" s="2">
        <v>0.0</v>
      </c>
      <c r="D217" s="23">
        <f t="shared" si="3"/>
        <v>11.49</v>
      </c>
      <c r="E217" s="24">
        <f>D217/B1</f>
        <v>0.5745</v>
      </c>
      <c r="F217" s="23">
        <f t="shared" si="4"/>
        <v>7.81</v>
      </c>
      <c r="G217" s="24">
        <f>F217/B2</f>
        <v>0.3905</v>
      </c>
      <c r="H217" s="25">
        <f t="shared" si="5"/>
        <v>0</v>
      </c>
      <c r="I217" s="26">
        <f>H217/B3</f>
        <v>0</v>
      </c>
      <c r="J217" s="22">
        <v>0.0</v>
      </c>
      <c r="K217" s="22">
        <v>0.0</v>
      </c>
      <c r="L217" s="22">
        <v>0.0</v>
      </c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</row>
    <row r="218">
      <c r="A218" s="12">
        <v>46283.0</v>
      </c>
      <c r="B218" s="21" t="s">
        <v>63</v>
      </c>
      <c r="C218" s="2">
        <v>0.0</v>
      </c>
      <c r="D218" s="23">
        <f t="shared" si="3"/>
        <v>11.49</v>
      </c>
      <c r="E218" s="24">
        <f>D218/B1</f>
        <v>0.5745</v>
      </c>
      <c r="F218" s="23">
        <f t="shared" si="4"/>
        <v>7.81</v>
      </c>
      <c r="G218" s="24">
        <f>F218/B2</f>
        <v>0.3905</v>
      </c>
      <c r="H218" s="25">
        <f t="shared" si="5"/>
        <v>0</v>
      </c>
      <c r="I218" s="26">
        <f>H218/B3</f>
        <v>0</v>
      </c>
      <c r="J218" s="22">
        <v>0.0</v>
      </c>
      <c r="K218" s="22">
        <v>0.0</v>
      </c>
      <c r="L218" s="22">
        <v>0.0</v>
      </c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</row>
    <row r="219">
      <c r="A219" s="12">
        <v>46284.0</v>
      </c>
      <c r="B219" s="21" t="s">
        <v>61</v>
      </c>
      <c r="C219" s="2">
        <v>0.0</v>
      </c>
      <c r="D219" s="23">
        <f t="shared" si="3"/>
        <v>11.49</v>
      </c>
      <c r="E219" s="24">
        <f>D219/B1</f>
        <v>0.5745</v>
      </c>
      <c r="F219" s="23">
        <f t="shared" si="4"/>
        <v>7.81</v>
      </c>
      <c r="G219" s="24">
        <f>F219/B2</f>
        <v>0.3905</v>
      </c>
      <c r="H219" s="25">
        <f t="shared" si="5"/>
        <v>0</v>
      </c>
      <c r="I219" s="26">
        <f>H219/B3</f>
        <v>0</v>
      </c>
      <c r="J219" s="22">
        <v>0.0</v>
      </c>
      <c r="K219" s="22">
        <v>0.0</v>
      </c>
      <c r="L219" s="22">
        <v>0.0</v>
      </c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</row>
    <row r="220">
      <c r="A220" s="12">
        <v>46284.0</v>
      </c>
      <c r="B220" s="21" t="s">
        <v>62</v>
      </c>
      <c r="C220" s="2">
        <v>2.17</v>
      </c>
      <c r="D220" s="23">
        <f t="shared" si="3"/>
        <v>11.49</v>
      </c>
      <c r="E220" s="24">
        <f>D220/B1</f>
        <v>0.5745</v>
      </c>
      <c r="F220" s="23">
        <f t="shared" si="4"/>
        <v>5.64</v>
      </c>
      <c r="G220" s="24">
        <f>F220/B2</f>
        <v>0.282</v>
      </c>
      <c r="H220" s="25">
        <f t="shared" si="5"/>
        <v>0</v>
      </c>
      <c r="I220" s="26">
        <f>H220/B3</f>
        <v>0</v>
      </c>
      <c r="J220" s="22">
        <v>0.0</v>
      </c>
      <c r="K220" s="22">
        <v>0.0</v>
      </c>
      <c r="L220" s="22">
        <v>0.0</v>
      </c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</row>
    <row r="221">
      <c r="A221" s="12">
        <v>46284.0</v>
      </c>
      <c r="B221" s="21" t="s">
        <v>63</v>
      </c>
      <c r="C221" s="2">
        <v>0.0</v>
      </c>
      <c r="D221" s="23">
        <f t="shared" si="3"/>
        <v>11.49</v>
      </c>
      <c r="E221" s="24">
        <f>D221/B1</f>
        <v>0.5745</v>
      </c>
      <c r="F221" s="23">
        <f t="shared" si="4"/>
        <v>5.64</v>
      </c>
      <c r="G221" s="24">
        <f>F221/B2</f>
        <v>0.282</v>
      </c>
      <c r="H221" s="25">
        <f t="shared" si="5"/>
        <v>0</v>
      </c>
      <c r="I221" s="26">
        <f>H221/B3</f>
        <v>0</v>
      </c>
      <c r="J221" s="22">
        <v>0.0</v>
      </c>
      <c r="K221" s="22">
        <v>0.0</v>
      </c>
      <c r="L221" s="22">
        <v>0.0</v>
      </c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</row>
    <row r="222">
      <c r="A222" s="12">
        <v>46285.0</v>
      </c>
      <c r="B222" s="21" t="s">
        <v>61</v>
      </c>
      <c r="C222" s="2">
        <v>0.0</v>
      </c>
      <c r="D222" s="23">
        <f t="shared" si="3"/>
        <v>11.49</v>
      </c>
      <c r="E222" s="24">
        <f>D222/B1</f>
        <v>0.5745</v>
      </c>
      <c r="F222" s="23">
        <f t="shared" si="4"/>
        <v>5.64</v>
      </c>
      <c r="G222" s="24">
        <f>F222/B2</f>
        <v>0.282</v>
      </c>
      <c r="H222" s="25">
        <f t="shared" si="5"/>
        <v>0</v>
      </c>
      <c r="I222" s="26">
        <f>H222/B3</f>
        <v>0</v>
      </c>
      <c r="J222" s="22">
        <v>0.0</v>
      </c>
      <c r="K222" s="22">
        <v>0.0</v>
      </c>
      <c r="L222" s="22">
        <v>0.0</v>
      </c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</row>
    <row r="223">
      <c r="A223" s="12">
        <v>46285.0</v>
      </c>
      <c r="B223" s="21" t="s">
        <v>62</v>
      </c>
      <c r="C223" s="2">
        <v>1.72</v>
      </c>
      <c r="D223" s="23">
        <f t="shared" si="3"/>
        <v>11.49</v>
      </c>
      <c r="E223" s="24">
        <f>D223/B1</f>
        <v>0.5745</v>
      </c>
      <c r="F223" s="23">
        <f t="shared" si="4"/>
        <v>3.92</v>
      </c>
      <c r="G223" s="24">
        <f>F223/B2</f>
        <v>0.196</v>
      </c>
      <c r="H223" s="25">
        <f t="shared" si="5"/>
        <v>0</v>
      </c>
      <c r="I223" s="26">
        <f>H223/B3</f>
        <v>0</v>
      </c>
      <c r="J223" s="22">
        <v>0.0</v>
      </c>
      <c r="K223" s="22">
        <v>0.0</v>
      </c>
      <c r="L223" s="22">
        <v>0.0</v>
      </c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</row>
    <row r="224">
      <c r="A224" s="12">
        <v>46285.0</v>
      </c>
      <c r="B224" s="21" t="s">
        <v>63</v>
      </c>
      <c r="C224" s="2">
        <v>0.0</v>
      </c>
      <c r="D224" s="23">
        <f t="shared" si="3"/>
        <v>11.49</v>
      </c>
      <c r="E224" s="24">
        <f>D224/B1</f>
        <v>0.5745</v>
      </c>
      <c r="F224" s="23">
        <f t="shared" si="4"/>
        <v>3.92</v>
      </c>
      <c r="G224" s="24">
        <f>F224/B2</f>
        <v>0.196</v>
      </c>
      <c r="H224" s="25">
        <f t="shared" si="5"/>
        <v>0</v>
      </c>
      <c r="I224" s="26">
        <f>H224/B3</f>
        <v>0</v>
      </c>
      <c r="J224" s="22">
        <v>0.0</v>
      </c>
      <c r="K224" s="22">
        <v>0.0</v>
      </c>
      <c r="L224" s="22">
        <v>0.0</v>
      </c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</row>
    <row r="225">
      <c r="A225" s="12">
        <v>46286.0</v>
      </c>
      <c r="B225" s="21" t="s">
        <v>61</v>
      </c>
      <c r="C225" s="2">
        <v>1.56</v>
      </c>
      <c r="D225" s="23">
        <f t="shared" si="3"/>
        <v>9.93</v>
      </c>
      <c r="E225" s="24">
        <f>D225/B1</f>
        <v>0.4965</v>
      </c>
      <c r="F225" s="23">
        <f t="shared" si="4"/>
        <v>3.92</v>
      </c>
      <c r="G225" s="24">
        <f>F225/B2</f>
        <v>0.196</v>
      </c>
      <c r="H225" s="25">
        <f t="shared" si="5"/>
        <v>0</v>
      </c>
      <c r="I225" s="26">
        <f>H225/B3</f>
        <v>0</v>
      </c>
      <c r="J225" s="22">
        <v>0.0</v>
      </c>
      <c r="K225" s="22">
        <v>0.0</v>
      </c>
      <c r="L225" s="22">
        <v>0.0</v>
      </c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</row>
    <row r="226">
      <c r="A226" s="12">
        <v>46286.0</v>
      </c>
      <c r="B226" s="21" t="s">
        <v>62</v>
      </c>
      <c r="C226" s="2">
        <v>0.0</v>
      </c>
      <c r="D226" s="23">
        <f t="shared" si="3"/>
        <v>9.93</v>
      </c>
      <c r="E226" s="24">
        <f>D226/B1</f>
        <v>0.4965</v>
      </c>
      <c r="F226" s="23">
        <f t="shared" si="4"/>
        <v>3.92</v>
      </c>
      <c r="G226" s="24">
        <f>F226/B2</f>
        <v>0.196</v>
      </c>
      <c r="H226" s="25">
        <f t="shared" si="5"/>
        <v>0</v>
      </c>
      <c r="I226" s="26">
        <f>H226/B3</f>
        <v>0</v>
      </c>
      <c r="J226" s="22">
        <v>0.0</v>
      </c>
      <c r="K226" s="22">
        <v>0.0</v>
      </c>
      <c r="L226" s="22">
        <v>0.0</v>
      </c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</row>
    <row r="227">
      <c r="A227" s="12">
        <v>46286.0</v>
      </c>
      <c r="B227" s="21" t="s">
        <v>63</v>
      </c>
      <c r="C227" s="2">
        <v>0.0</v>
      </c>
      <c r="D227" s="23">
        <f t="shared" si="3"/>
        <v>9.93</v>
      </c>
      <c r="E227" s="24">
        <f>D227/B1</f>
        <v>0.4965</v>
      </c>
      <c r="F227" s="23">
        <f t="shared" si="4"/>
        <v>3.92</v>
      </c>
      <c r="G227" s="24">
        <f>F227/B2</f>
        <v>0.196</v>
      </c>
      <c r="H227" s="25">
        <f t="shared" si="5"/>
        <v>0</v>
      </c>
      <c r="I227" s="26">
        <f>H227/B3</f>
        <v>0</v>
      </c>
      <c r="J227" s="22">
        <v>0.0</v>
      </c>
      <c r="K227" s="22">
        <v>0.0</v>
      </c>
      <c r="L227" s="22">
        <v>0.0</v>
      </c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</row>
    <row r="228">
      <c r="A228" s="12">
        <v>46287.0</v>
      </c>
      <c r="B228" s="21" t="s">
        <v>61</v>
      </c>
      <c r="C228" s="2">
        <v>0.0</v>
      </c>
      <c r="D228" s="23">
        <f t="shared" si="3"/>
        <v>9.93</v>
      </c>
      <c r="E228" s="24">
        <f>D228/B1</f>
        <v>0.4965</v>
      </c>
      <c r="F228" s="23">
        <f t="shared" si="4"/>
        <v>3.92</v>
      </c>
      <c r="G228" s="24">
        <f>F228/B2</f>
        <v>0.196</v>
      </c>
      <c r="H228" s="25">
        <f t="shared" si="5"/>
        <v>0</v>
      </c>
      <c r="I228" s="26">
        <f>H228/B3</f>
        <v>0</v>
      </c>
      <c r="J228" s="22">
        <v>0.0</v>
      </c>
      <c r="K228" s="22">
        <v>0.0</v>
      </c>
      <c r="L228" s="22">
        <v>0.0</v>
      </c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</row>
    <row r="229">
      <c r="A229" s="12">
        <v>46287.0</v>
      </c>
      <c r="B229" s="21" t="s">
        <v>62</v>
      </c>
      <c r="C229" s="2">
        <v>0.0</v>
      </c>
      <c r="D229" s="23">
        <f t="shared" si="3"/>
        <v>9.93</v>
      </c>
      <c r="E229" s="24">
        <f>D229/B1</f>
        <v>0.4965</v>
      </c>
      <c r="F229" s="23">
        <f t="shared" si="4"/>
        <v>3.92</v>
      </c>
      <c r="G229" s="24">
        <f>F229/B2</f>
        <v>0.196</v>
      </c>
      <c r="H229" s="25">
        <f t="shared" si="5"/>
        <v>0</v>
      </c>
      <c r="I229" s="26">
        <f>H229/B3</f>
        <v>0</v>
      </c>
      <c r="J229" s="22">
        <v>0.0</v>
      </c>
      <c r="K229" s="22">
        <v>0.0</v>
      </c>
      <c r="L229" s="22">
        <v>0.0</v>
      </c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</row>
    <row r="230">
      <c r="A230" s="12">
        <v>46287.0</v>
      </c>
      <c r="B230" s="21" t="s">
        <v>63</v>
      </c>
      <c r="C230" s="2">
        <v>0.0</v>
      </c>
      <c r="D230" s="23">
        <f t="shared" si="3"/>
        <v>9.93</v>
      </c>
      <c r="E230" s="24">
        <f>D230/B1</f>
        <v>0.4965</v>
      </c>
      <c r="F230" s="23">
        <f t="shared" si="4"/>
        <v>3.92</v>
      </c>
      <c r="G230" s="24">
        <f>F230/B2</f>
        <v>0.196</v>
      </c>
      <c r="H230" s="25">
        <f t="shared" si="5"/>
        <v>0</v>
      </c>
      <c r="I230" s="26">
        <f>H230/B3</f>
        <v>0</v>
      </c>
      <c r="J230" s="22">
        <v>0.0</v>
      </c>
      <c r="K230" s="22">
        <v>0.0</v>
      </c>
      <c r="L230" s="22">
        <v>0.0</v>
      </c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</row>
    <row r="231">
      <c r="A231" s="12">
        <v>46288.0</v>
      </c>
      <c r="B231" s="21" t="s">
        <v>61</v>
      </c>
      <c r="C231" s="2">
        <v>0.0</v>
      </c>
      <c r="D231" s="23">
        <f t="shared" si="3"/>
        <v>9.93</v>
      </c>
      <c r="E231" s="24">
        <f>D231/B1</f>
        <v>0.4965</v>
      </c>
      <c r="F231" s="23">
        <f t="shared" si="4"/>
        <v>3.92</v>
      </c>
      <c r="G231" s="24">
        <f>F231/B2</f>
        <v>0.196</v>
      </c>
      <c r="H231" s="25">
        <f t="shared" si="5"/>
        <v>0</v>
      </c>
      <c r="I231" s="26">
        <f>H231/B3</f>
        <v>0</v>
      </c>
      <c r="J231" s="22">
        <v>0.0</v>
      </c>
      <c r="K231" s="22">
        <v>0.0</v>
      </c>
      <c r="L231" s="22">
        <v>0.0</v>
      </c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</row>
    <row r="232">
      <c r="A232" s="12">
        <v>46288.0</v>
      </c>
      <c r="B232" s="21" t="s">
        <v>62</v>
      </c>
      <c r="C232" s="2">
        <v>0.0</v>
      </c>
      <c r="D232" s="23">
        <f t="shared" si="3"/>
        <v>9.93</v>
      </c>
      <c r="E232" s="24">
        <f>D232/B1</f>
        <v>0.4965</v>
      </c>
      <c r="F232" s="23">
        <f t="shared" si="4"/>
        <v>3.92</v>
      </c>
      <c r="G232" s="24">
        <f>F232/B2</f>
        <v>0.196</v>
      </c>
      <c r="H232" s="25">
        <f t="shared" si="5"/>
        <v>0</v>
      </c>
      <c r="I232" s="26">
        <f>H232/B3</f>
        <v>0</v>
      </c>
      <c r="J232" s="22">
        <v>0.0</v>
      </c>
      <c r="K232" s="22">
        <v>0.0</v>
      </c>
      <c r="L232" s="22">
        <v>0.0</v>
      </c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</row>
    <row r="233">
      <c r="A233" s="12">
        <v>46288.0</v>
      </c>
      <c r="B233" s="21" t="s">
        <v>63</v>
      </c>
      <c r="C233" s="2">
        <v>0.0</v>
      </c>
      <c r="D233" s="23">
        <f t="shared" si="3"/>
        <v>9.93</v>
      </c>
      <c r="E233" s="24">
        <f>D233/B1</f>
        <v>0.4965</v>
      </c>
      <c r="F233" s="23">
        <f t="shared" si="4"/>
        <v>3.92</v>
      </c>
      <c r="G233" s="24">
        <f>F233/B2</f>
        <v>0.196</v>
      </c>
      <c r="H233" s="25">
        <f t="shared" si="5"/>
        <v>0</v>
      </c>
      <c r="I233" s="26">
        <f>H233/B3</f>
        <v>0</v>
      </c>
      <c r="J233" s="22">
        <v>0.0</v>
      </c>
      <c r="K233" s="22">
        <v>0.0</v>
      </c>
      <c r="L233" s="22">
        <v>0.0</v>
      </c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</row>
    <row r="234">
      <c r="A234" s="12">
        <v>46289.0</v>
      </c>
      <c r="B234" s="21" t="s">
        <v>61</v>
      </c>
      <c r="C234" s="2">
        <v>0.0</v>
      </c>
      <c r="D234" s="23">
        <f t="shared" si="3"/>
        <v>9.93</v>
      </c>
      <c r="E234" s="24">
        <f>D234/B1</f>
        <v>0.4965</v>
      </c>
      <c r="F234" s="23">
        <f t="shared" si="4"/>
        <v>3.92</v>
      </c>
      <c r="G234" s="24">
        <f>F234/B2</f>
        <v>0.196</v>
      </c>
      <c r="H234" s="25">
        <f t="shared" si="5"/>
        <v>0</v>
      </c>
      <c r="I234" s="26">
        <f>H234/B3</f>
        <v>0</v>
      </c>
      <c r="J234" s="22">
        <v>0.0</v>
      </c>
      <c r="K234" s="22">
        <v>0.0</v>
      </c>
      <c r="L234" s="22">
        <v>0.0</v>
      </c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</row>
    <row r="235">
      <c r="A235" s="12">
        <v>46289.0</v>
      </c>
      <c r="B235" s="21" t="s">
        <v>62</v>
      </c>
      <c r="C235" s="2">
        <v>0.0</v>
      </c>
      <c r="D235" s="23">
        <f t="shared" si="3"/>
        <v>9.93</v>
      </c>
      <c r="E235" s="24">
        <f>D235/B1</f>
        <v>0.4965</v>
      </c>
      <c r="F235" s="23">
        <f t="shared" si="4"/>
        <v>3.92</v>
      </c>
      <c r="G235" s="24">
        <f>F235/B2</f>
        <v>0.196</v>
      </c>
      <c r="H235" s="25">
        <f t="shared" si="5"/>
        <v>0</v>
      </c>
      <c r="I235" s="26">
        <f>H235/B3</f>
        <v>0</v>
      </c>
      <c r="J235" s="22">
        <v>0.0</v>
      </c>
      <c r="K235" s="22">
        <v>0.0</v>
      </c>
      <c r="L235" s="22">
        <v>0.0</v>
      </c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</row>
    <row r="236">
      <c r="A236" s="12">
        <v>46289.0</v>
      </c>
      <c r="B236" s="21" t="s">
        <v>63</v>
      </c>
      <c r="C236" s="2">
        <v>0.0</v>
      </c>
      <c r="D236" s="23">
        <f t="shared" si="3"/>
        <v>9.93</v>
      </c>
      <c r="E236" s="24">
        <f>D236/B1</f>
        <v>0.4965</v>
      </c>
      <c r="F236" s="23">
        <f t="shared" si="4"/>
        <v>3.92</v>
      </c>
      <c r="G236" s="24">
        <f>F236/B2</f>
        <v>0.196</v>
      </c>
      <c r="H236" s="25">
        <f t="shared" si="5"/>
        <v>0</v>
      </c>
      <c r="I236" s="26">
        <f>H236/B3</f>
        <v>0</v>
      </c>
      <c r="J236" s="22">
        <v>0.0</v>
      </c>
      <c r="K236" s="22">
        <v>0.0</v>
      </c>
      <c r="L236" s="22">
        <v>0.0</v>
      </c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</row>
    <row r="237">
      <c r="A237" s="12">
        <v>46290.0</v>
      </c>
      <c r="B237" s="21" t="s">
        <v>61</v>
      </c>
      <c r="C237" s="2">
        <v>0.0</v>
      </c>
      <c r="D237" s="23">
        <f t="shared" si="3"/>
        <v>9.93</v>
      </c>
      <c r="E237" s="24">
        <f>D237/B1</f>
        <v>0.4965</v>
      </c>
      <c r="F237" s="23">
        <f t="shared" si="4"/>
        <v>3.92</v>
      </c>
      <c r="G237" s="24">
        <f>F237/B2</f>
        <v>0.196</v>
      </c>
      <c r="H237" s="25">
        <f t="shared" si="5"/>
        <v>0</v>
      </c>
      <c r="I237" s="26">
        <f>H237/B3</f>
        <v>0</v>
      </c>
      <c r="J237" s="22">
        <v>0.0</v>
      </c>
      <c r="K237" s="22">
        <v>0.0</v>
      </c>
      <c r="L237" s="22">
        <v>0.0</v>
      </c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</row>
    <row r="238">
      <c r="A238" s="12">
        <v>46290.0</v>
      </c>
      <c r="B238" s="21" t="s">
        <v>62</v>
      </c>
      <c r="C238" s="2">
        <v>0.0</v>
      </c>
      <c r="D238" s="23">
        <f t="shared" si="3"/>
        <v>9.93</v>
      </c>
      <c r="E238" s="24">
        <f>D238/B1</f>
        <v>0.4965</v>
      </c>
      <c r="F238" s="23">
        <f t="shared" si="4"/>
        <v>3.92</v>
      </c>
      <c r="G238" s="24">
        <f>F238/B2</f>
        <v>0.196</v>
      </c>
      <c r="H238" s="25">
        <f t="shared" si="5"/>
        <v>0</v>
      </c>
      <c r="I238" s="26">
        <f>H238/B3</f>
        <v>0</v>
      </c>
      <c r="J238" s="22">
        <v>0.0</v>
      </c>
      <c r="K238" s="22">
        <v>0.0</v>
      </c>
      <c r="L238" s="22">
        <v>0.0</v>
      </c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</row>
    <row r="239">
      <c r="A239" s="12">
        <v>46290.0</v>
      </c>
      <c r="B239" s="21" t="s">
        <v>63</v>
      </c>
      <c r="C239" s="2">
        <v>0.0</v>
      </c>
      <c r="D239" s="23">
        <f t="shared" si="3"/>
        <v>9.93</v>
      </c>
      <c r="E239" s="24">
        <f>D239/B1</f>
        <v>0.4965</v>
      </c>
      <c r="F239" s="23">
        <f t="shared" si="4"/>
        <v>3.92</v>
      </c>
      <c r="G239" s="24">
        <f>F239/B2</f>
        <v>0.196</v>
      </c>
      <c r="H239" s="25">
        <f t="shared" si="5"/>
        <v>0</v>
      </c>
      <c r="I239" s="26">
        <f>H239/B3</f>
        <v>0</v>
      </c>
      <c r="J239" s="22">
        <v>0.0</v>
      </c>
      <c r="K239" s="22">
        <v>0.0</v>
      </c>
      <c r="L239" s="22">
        <v>0.0</v>
      </c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</row>
    <row r="240">
      <c r="A240" s="12">
        <v>46291.0</v>
      </c>
      <c r="B240" s="21" t="s">
        <v>61</v>
      </c>
      <c r="C240" s="2">
        <v>0.0</v>
      </c>
      <c r="D240" s="23">
        <f t="shared" si="3"/>
        <v>9.93</v>
      </c>
      <c r="E240" s="24">
        <f>D240/B1</f>
        <v>0.4965</v>
      </c>
      <c r="F240" s="23">
        <f t="shared" si="4"/>
        <v>3.92</v>
      </c>
      <c r="G240" s="24">
        <f>F240/B2</f>
        <v>0.196</v>
      </c>
      <c r="H240" s="25">
        <f t="shared" si="5"/>
        <v>0</v>
      </c>
      <c r="I240" s="26">
        <f>H240/B3</f>
        <v>0</v>
      </c>
      <c r="J240" s="22">
        <v>0.0</v>
      </c>
      <c r="K240" s="22">
        <v>0.0</v>
      </c>
      <c r="L240" s="22">
        <v>0.0</v>
      </c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</row>
    <row r="241">
      <c r="A241" s="12">
        <v>46291.0</v>
      </c>
      <c r="B241" s="21" t="s">
        <v>62</v>
      </c>
      <c r="C241" s="2">
        <v>1.52</v>
      </c>
      <c r="D241" s="23">
        <f t="shared" si="3"/>
        <v>9.93</v>
      </c>
      <c r="E241" s="24">
        <f>D241/B1</f>
        <v>0.4965</v>
      </c>
      <c r="F241" s="23">
        <f t="shared" si="4"/>
        <v>2.4</v>
      </c>
      <c r="G241" s="24">
        <f>F241/B2</f>
        <v>0.12</v>
      </c>
      <c r="H241" s="25">
        <f t="shared" si="5"/>
        <v>0</v>
      </c>
      <c r="I241" s="26">
        <f>H241/B3</f>
        <v>0</v>
      </c>
      <c r="J241" s="22">
        <v>0.0</v>
      </c>
      <c r="K241" s="22">
        <v>0.0</v>
      </c>
      <c r="L241" s="22">
        <v>0.0</v>
      </c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</row>
    <row r="242">
      <c r="A242" s="12">
        <v>46291.0</v>
      </c>
      <c r="B242" s="21" t="s">
        <v>63</v>
      </c>
      <c r="C242" s="2">
        <v>0.0</v>
      </c>
      <c r="D242" s="23">
        <f t="shared" si="3"/>
        <v>9.93</v>
      </c>
      <c r="E242" s="24">
        <f>D242/B1</f>
        <v>0.4965</v>
      </c>
      <c r="F242" s="23">
        <f t="shared" si="4"/>
        <v>2.4</v>
      </c>
      <c r="G242" s="24">
        <f>F242/B2</f>
        <v>0.12</v>
      </c>
      <c r="H242" s="25">
        <f t="shared" si="5"/>
        <v>0</v>
      </c>
      <c r="I242" s="26">
        <f>H242/B3</f>
        <v>0</v>
      </c>
      <c r="J242" s="22">
        <v>0.0</v>
      </c>
      <c r="K242" s="22">
        <v>0.0</v>
      </c>
      <c r="L242" s="22">
        <v>0.0</v>
      </c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</row>
    <row r="243">
      <c r="A243" s="12">
        <v>46292.0</v>
      </c>
      <c r="B243" s="6" t="s">
        <v>61</v>
      </c>
      <c r="C243" s="2">
        <v>1.45</v>
      </c>
      <c r="D243" s="16">
        <f t="shared" si="3"/>
        <v>8.48</v>
      </c>
      <c r="E243" s="17">
        <f>D243/B1</f>
        <v>0.424</v>
      </c>
      <c r="F243" s="16">
        <f t="shared" si="4"/>
        <v>2.4</v>
      </c>
      <c r="G243" s="17">
        <f>F243/B2</f>
        <v>0.12</v>
      </c>
      <c r="H243" s="15">
        <f t="shared" si="5"/>
        <v>0</v>
      </c>
      <c r="I243" s="14">
        <f>H243/B3</f>
        <v>0</v>
      </c>
      <c r="J243" s="2">
        <v>0.0</v>
      </c>
      <c r="K243" s="2">
        <v>0.0</v>
      </c>
      <c r="L243" s="2">
        <v>0.0</v>
      </c>
    </row>
    <row r="244">
      <c r="A244" s="12">
        <v>46292.0</v>
      </c>
      <c r="B244" s="6" t="s">
        <v>62</v>
      </c>
      <c r="C244" s="2">
        <v>0.0</v>
      </c>
      <c r="D244" s="16">
        <f t="shared" si="3"/>
        <v>8.48</v>
      </c>
      <c r="E244" s="17">
        <f>D244/B1</f>
        <v>0.424</v>
      </c>
      <c r="F244" s="16">
        <f t="shared" si="4"/>
        <v>2.4</v>
      </c>
      <c r="G244" s="17">
        <f>F244/B2</f>
        <v>0.12</v>
      </c>
      <c r="H244" s="15">
        <f t="shared" si="5"/>
        <v>0</v>
      </c>
      <c r="I244" s="14">
        <f>H244/B3</f>
        <v>0</v>
      </c>
      <c r="J244" s="2">
        <v>0.0</v>
      </c>
      <c r="K244" s="2">
        <v>0.0</v>
      </c>
      <c r="L244" s="2">
        <v>0.0</v>
      </c>
    </row>
    <row r="245">
      <c r="A245" s="12">
        <v>46292.0</v>
      </c>
      <c r="B245" s="6" t="s">
        <v>63</v>
      </c>
      <c r="C245" s="2">
        <v>0.0</v>
      </c>
      <c r="D245" s="16">
        <f t="shared" si="3"/>
        <v>8.48</v>
      </c>
      <c r="E245" s="17">
        <f>D245/B1</f>
        <v>0.424</v>
      </c>
      <c r="F245" s="16">
        <f t="shared" si="4"/>
        <v>2.4</v>
      </c>
      <c r="G245" s="17">
        <f>F245/B2</f>
        <v>0.12</v>
      </c>
      <c r="H245" s="15">
        <f t="shared" si="5"/>
        <v>0</v>
      </c>
      <c r="I245" s="14">
        <f>H245/B3</f>
        <v>0</v>
      </c>
      <c r="J245" s="2">
        <v>0.0</v>
      </c>
      <c r="K245" s="2">
        <v>0.0</v>
      </c>
      <c r="L245" s="2">
        <v>0.0</v>
      </c>
    </row>
    <row r="246">
      <c r="A246" s="12">
        <v>46293.0</v>
      </c>
      <c r="B246" s="6" t="s">
        <v>61</v>
      </c>
      <c r="C246" s="2">
        <v>1.27</v>
      </c>
      <c r="D246" s="16">
        <f t="shared" si="3"/>
        <v>7.21</v>
      </c>
      <c r="E246" s="17">
        <f>D246/B1</f>
        <v>0.3605</v>
      </c>
      <c r="F246" s="16">
        <f t="shared" si="4"/>
        <v>2.4</v>
      </c>
      <c r="G246" s="17">
        <f>F246/B2</f>
        <v>0.12</v>
      </c>
      <c r="H246" s="15">
        <f t="shared" si="5"/>
        <v>0</v>
      </c>
      <c r="I246" s="14">
        <f>H246/B3</f>
        <v>0</v>
      </c>
      <c r="J246" s="2">
        <v>0.0</v>
      </c>
      <c r="K246" s="2">
        <v>0.0</v>
      </c>
      <c r="L246" s="2">
        <v>0.0</v>
      </c>
    </row>
    <row r="247">
      <c r="A247" s="12">
        <v>46293.0</v>
      </c>
      <c r="B247" s="6" t="s">
        <v>62</v>
      </c>
      <c r="C247" s="2">
        <v>0.0</v>
      </c>
      <c r="D247" s="16">
        <f t="shared" si="3"/>
        <v>7.21</v>
      </c>
      <c r="E247" s="17">
        <f>D247/B1</f>
        <v>0.3605</v>
      </c>
      <c r="F247" s="16">
        <f t="shared" si="4"/>
        <v>2.4</v>
      </c>
      <c r="G247" s="17">
        <f>F247/B2</f>
        <v>0.12</v>
      </c>
      <c r="H247" s="15">
        <f t="shared" si="5"/>
        <v>0</v>
      </c>
      <c r="I247" s="14">
        <f>H247/B3</f>
        <v>0</v>
      </c>
      <c r="J247" s="2">
        <v>0.0</v>
      </c>
      <c r="K247" s="2">
        <v>0.0</v>
      </c>
      <c r="L247" s="2">
        <v>0.0</v>
      </c>
    </row>
    <row r="248">
      <c r="A248" s="12">
        <v>46293.0</v>
      </c>
      <c r="B248" s="6" t="s">
        <v>63</v>
      </c>
      <c r="C248" s="2">
        <v>0.0</v>
      </c>
      <c r="D248" s="16">
        <f t="shared" si="3"/>
        <v>7.21</v>
      </c>
      <c r="E248" s="17">
        <f>D248/B1</f>
        <v>0.3605</v>
      </c>
      <c r="F248" s="16">
        <f t="shared" si="4"/>
        <v>2.4</v>
      </c>
      <c r="G248" s="17">
        <f>F248/B2</f>
        <v>0.12</v>
      </c>
      <c r="H248" s="15">
        <f t="shared" si="5"/>
        <v>0</v>
      </c>
      <c r="I248" s="14">
        <f>H248/B3</f>
        <v>0</v>
      </c>
      <c r="J248" s="2">
        <v>0.0</v>
      </c>
      <c r="K248" s="2">
        <v>0.0</v>
      </c>
      <c r="L248" s="2">
        <v>0.0</v>
      </c>
    </row>
    <row r="249">
      <c r="A249" s="12">
        <v>46294.0</v>
      </c>
      <c r="B249" s="6" t="s">
        <v>61</v>
      </c>
      <c r="C249" s="2">
        <v>0.0</v>
      </c>
      <c r="D249" s="16">
        <f t="shared" si="3"/>
        <v>7.21</v>
      </c>
      <c r="E249" s="17">
        <f>D249/B1</f>
        <v>0.3605</v>
      </c>
      <c r="F249" s="16">
        <f t="shared" si="4"/>
        <v>2.4</v>
      </c>
      <c r="G249" s="17">
        <f>F249/B2</f>
        <v>0.12</v>
      </c>
      <c r="H249" s="15">
        <f t="shared" si="5"/>
        <v>0</v>
      </c>
      <c r="I249" s="14">
        <f>H249/B3</f>
        <v>0</v>
      </c>
      <c r="J249" s="2">
        <v>0.0</v>
      </c>
      <c r="K249" s="2">
        <v>0.0</v>
      </c>
      <c r="L249" s="2">
        <v>0.0</v>
      </c>
    </row>
    <row r="250">
      <c r="A250" s="12">
        <v>46294.0</v>
      </c>
      <c r="B250" s="6" t="s">
        <v>62</v>
      </c>
      <c r="C250" s="2">
        <v>0.0</v>
      </c>
      <c r="D250" s="16">
        <f t="shared" si="3"/>
        <v>7.21</v>
      </c>
      <c r="E250" s="17">
        <f>D250/B1</f>
        <v>0.3605</v>
      </c>
      <c r="F250" s="16">
        <f t="shared" si="4"/>
        <v>2.4</v>
      </c>
      <c r="G250" s="17">
        <f>F250/B2</f>
        <v>0.12</v>
      </c>
      <c r="H250" s="15">
        <f t="shared" si="5"/>
        <v>0</v>
      </c>
      <c r="I250" s="14">
        <f>H250/B3</f>
        <v>0</v>
      </c>
      <c r="J250" s="2">
        <v>0.0</v>
      </c>
      <c r="K250" s="2">
        <v>0.0</v>
      </c>
      <c r="L250" s="2">
        <v>0.0</v>
      </c>
    </row>
    <row r="251">
      <c r="A251" s="12">
        <v>46294.0</v>
      </c>
      <c r="B251" s="6" t="s">
        <v>63</v>
      </c>
      <c r="C251" s="2">
        <v>0.0</v>
      </c>
      <c r="D251" s="16">
        <f t="shared" si="3"/>
        <v>7.21</v>
      </c>
      <c r="E251" s="17">
        <f>D251/B1</f>
        <v>0.3605</v>
      </c>
      <c r="F251" s="16">
        <f t="shared" si="4"/>
        <v>2.4</v>
      </c>
      <c r="G251" s="17">
        <f>F251/B2</f>
        <v>0.12</v>
      </c>
      <c r="H251" s="15">
        <f t="shared" si="5"/>
        <v>0</v>
      </c>
      <c r="I251" s="14">
        <f>H251/B3</f>
        <v>0</v>
      </c>
      <c r="J251" s="2">
        <v>0.0</v>
      </c>
      <c r="K251" s="2">
        <v>0.0</v>
      </c>
      <c r="L251" s="2">
        <v>0.0</v>
      </c>
    </row>
    <row r="252">
      <c r="A252" s="12">
        <v>46295.0</v>
      </c>
      <c r="B252" s="6" t="s">
        <v>61</v>
      </c>
      <c r="C252" s="2">
        <v>0.0</v>
      </c>
      <c r="D252" s="16">
        <f t="shared" si="3"/>
        <v>7.21</v>
      </c>
      <c r="E252" s="17">
        <f>D252/B1</f>
        <v>0.3605</v>
      </c>
      <c r="F252" s="16">
        <f t="shared" si="4"/>
        <v>2.4</v>
      </c>
      <c r="G252" s="17">
        <f>F252/B2</f>
        <v>0.12</v>
      </c>
      <c r="H252" s="15">
        <f t="shared" si="5"/>
        <v>0</v>
      </c>
      <c r="I252" s="14">
        <f>H252/B3</f>
        <v>0</v>
      </c>
      <c r="J252" s="2">
        <v>0.0</v>
      </c>
      <c r="K252" s="2">
        <v>0.0</v>
      </c>
      <c r="L252" s="2">
        <v>0.0</v>
      </c>
    </row>
    <row r="253">
      <c r="A253" s="12">
        <v>46295.0</v>
      </c>
      <c r="B253" s="6" t="s">
        <v>62</v>
      </c>
      <c r="C253" s="2">
        <v>0.0</v>
      </c>
      <c r="D253" s="16">
        <f t="shared" si="3"/>
        <v>7.21</v>
      </c>
      <c r="E253" s="17">
        <f>D253/B1</f>
        <v>0.3605</v>
      </c>
      <c r="F253" s="16">
        <f t="shared" si="4"/>
        <v>2.4</v>
      </c>
      <c r="G253" s="17">
        <f>F253/B2</f>
        <v>0.12</v>
      </c>
      <c r="H253" s="15">
        <f t="shared" si="5"/>
        <v>0</v>
      </c>
      <c r="I253" s="14">
        <f>H253/B3</f>
        <v>0</v>
      </c>
      <c r="J253" s="2">
        <v>0.0</v>
      </c>
      <c r="K253" s="2">
        <v>0.0</v>
      </c>
      <c r="L253" s="2">
        <v>0.0</v>
      </c>
    </row>
    <row r="254">
      <c r="A254" s="12">
        <v>46295.0</v>
      </c>
      <c r="B254" s="6" t="s">
        <v>63</v>
      </c>
      <c r="C254" s="2">
        <v>0.0</v>
      </c>
      <c r="D254" s="16">
        <f t="shared" si="3"/>
        <v>7.21</v>
      </c>
      <c r="E254" s="17">
        <f>D254/B1</f>
        <v>0.3605</v>
      </c>
      <c r="F254" s="16">
        <f t="shared" si="4"/>
        <v>2.4</v>
      </c>
      <c r="G254" s="17">
        <f>F254/B2</f>
        <v>0.12</v>
      </c>
      <c r="H254" s="15">
        <f t="shared" si="5"/>
        <v>0</v>
      </c>
      <c r="I254" s="14">
        <f>H254/B3</f>
        <v>0</v>
      </c>
      <c r="J254" s="2">
        <v>0.0</v>
      </c>
      <c r="K254" s="2">
        <v>0.0</v>
      </c>
      <c r="L254" s="2">
        <v>0.0</v>
      </c>
    </row>
    <row r="255">
      <c r="A255" s="32">
        <v>46296.0</v>
      </c>
      <c r="B255" s="21" t="s">
        <v>61</v>
      </c>
      <c r="C255" s="2">
        <v>0.0</v>
      </c>
      <c r="D255" s="23">
        <f t="shared" si="3"/>
        <v>7.21</v>
      </c>
      <c r="E255" s="24">
        <f>D255/B1</f>
        <v>0.3605</v>
      </c>
      <c r="F255" s="23">
        <f t="shared" si="4"/>
        <v>2.4</v>
      </c>
      <c r="G255" s="24">
        <f>F255/B2</f>
        <v>0.12</v>
      </c>
      <c r="H255" s="25">
        <f t="shared" si="5"/>
        <v>0</v>
      </c>
      <c r="I255" s="26">
        <f>H255/B3</f>
        <v>0</v>
      </c>
      <c r="J255" s="22">
        <v>0.0</v>
      </c>
      <c r="K255" s="22">
        <v>0.0</v>
      </c>
      <c r="L255" s="22">
        <v>0.0</v>
      </c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</row>
    <row r="256">
      <c r="A256" s="32">
        <v>46296.0</v>
      </c>
      <c r="B256" s="21" t="s">
        <v>62</v>
      </c>
      <c r="C256" s="2">
        <v>0.0</v>
      </c>
      <c r="D256" s="23">
        <f t="shared" si="3"/>
        <v>7.21</v>
      </c>
      <c r="E256" s="24">
        <f>D256/B1</f>
        <v>0.3605</v>
      </c>
      <c r="F256" s="23">
        <f t="shared" si="4"/>
        <v>2.4</v>
      </c>
      <c r="G256" s="24">
        <f>F256/B2</f>
        <v>0.12</v>
      </c>
      <c r="H256" s="25">
        <f t="shared" si="5"/>
        <v>0</v>
      </c>
      <c r="I256" s="26">
        <f>H256/B3</f>
        <v>0</v>
      </c>
      <c r="J256" s="22">
        <v>0.0</v>
      </c>
      <c r="K256" s="22">
        <v>0.0</v>
      </c>
      <c r="L256" s="22">
        <v>0.0</v>
      </c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</row>
    <row r="257">
      <c r="A257" s="32">
        <v>46296.0</v>
      </c>
      <c r="B257" s="21" t="s">
        <v>63</v>
      </c>
      <c r="C257" s="2">
        <v>0.0</v>
      </c>
      <c r="D257" s="23">
        <f t="shared" si="3"/>
        <v>7.21</v>
      </c>
      <c r="E257" s="24">
        <f>D257/B1</f>
        <v>0.3605</v>
      </c>
      <c r="F257" s="23">
        <f t="shared" si="4"/>
        <v>2.4</v>
      </c>
      <c r="G257" s="24">
        <f>F257/B2</f>
        <v>0.12</v>
      </c>
      <c r="H257" s="25">
        <f t="shared" si="5"/>
        <v>0</v>
      </c>
      <c r="I257" s="26">
        <f>H257/B3</f>
        <v>0</v>
      </c>
      <c r="J257" s="22">
        <v>0.0</v>
      </c>
      <c r="K257" s="22">
        <v>0.0</v>
      </c>
      <c r="L257" s="22">
        <v>0.0</v>
      </c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</row>
    <row r="258">
      <c r="A258" s="32">
        <v>46297.0</v>
      </c>
      <c r="B258" s="21" t="s">
        <v>61</v>
      </c>
      <c r="C258" s="2">
        <v>0.0</v>
      </c>
      <c r="D258" s="23">
        <f t="shared" si="3"/>
        <v>7.21</v>
      </c>
      <c r="E258" s="24">
        <f>D258/B1</f>
        <v>0.3605</v>
      </c>
      <c r="F258" s="23">
        <f t="shared" si="4"/>
        <v>2.4</v>
      </c>
      <c r="G258" s="24">
        <f>F258/B2</f>
        <v>0.12</v>
      </c>
      <c r="H258" s="25">
        <f t="shared" si="5"/>
        <v>0</v>
      </c>
      <c r="I258" s="26">
        <f>H258/B3</f>
        <v>0</v>
      </c>
      <c r="J258" s="22">
        <v>0.0</v>
      </c>
      <c r="K258" s="22">
        <v>0.0</v>
      </c>
      <c r="L258" s="22">
        <v>0.0</v>
      </c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</row>
    <row r="259">
      <c r="A259" s="32">
        <v>46297.0</v>
      </c>
      <c r="B259" s="21" t="s">
        <v>62</v>
      </c>
      <c r="C259" s="2">
        <v>0.0</v>
      </c>
      <c r="D259" s="23">
        <f t="shared" si="3"/>
        <v>7.21</v>
      </c>
      <c r="E259" s="24">
        <f>D259/B1</f>
        <v>0.3605</v>
      </c>
      <c r="F259" s="23">
        <f t="shared" si="4"/>
        <v>2.4</v>
      </c>
      <c r="G259" s="24">
        <f>F259/B2</f>
        <v>0.12</v>
      </c>
      <c r="H259" s="25">
        <f t="shared" si="5"/>
        <v>0</v>
      </c>
      <c r="I259" s="26">
        <f>H259/B3</f>
        <v>0</v>
      </c>
      <c r="J259" s="22">
        <v>0.0</v>
      </c>
      <c r="K259" s="22">
        <v>0.0</v>
      </c>
      <c r="L259" s="22">
        <v>0.0</v>
      </c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</row>
    <row r="260">
      <c r="A260" s="32">
        <v>46297.0</v>
      </c>
      <c r="B260" s="21" t="s">
        <v>63</v>
      </c>
      <c r="C260" s="2">
        <v>0.0</v>
      </c>
      <c r="D260" s="23">
        <f t="shared" si="3"/>
        <v>7.21</v>
      </c>
      <c r="E260" s="24">
        <f>D260/B1</f>
        <v>0.3605</v>
      </c>
      <c r="F260" s="23">
        <f t="shared" si="4"/>
        <v>2.4</v>
      </c>
      <c r="G260" s="24">
        <f>F260/B2</f>
        <v>0.12</v>
      </c>
      <c r="H260" s="25">
        <f t="shared" si="5"/>
        <v>0</v>
      </c>
      <c r="I260" s="26">
        <f>H260/B3</f>
        <v>0</v>
      </c>
      <c r="J260" s="22">
        <v>0.0</v>
      </c>
      <c r="K260" s="22">
        <v>0.0</v>
      </c>
      <c r="L260" s="22">
        <v>0.0</v>
      </c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</row>
    <row r="261">
      <c r="A261" s="32">
        <v>46298.0</v>
      </c>
      <c r="B261" s="21" t="s">
        <v>61</v>
      </c>
      <c r="C261" s="2">
        <v>0.0</v>
      </c>
      <c r="D261" s="23">
        <f t="shared" si="3"/>
        <v>7.21</v>
      </c>
      <c r="E261" s="24">
        <f>D261/B1</f>
        <v>0.3605</v>
      </c>
      <c r="F261" s="23">
        <f t="shared" si="4"/>
        <v>2.4</v>
      </c>
      <c r="G261" s="24">
        <f>F261/B2</f>
        <v>0.12</v>
      </c>
      <c r="H261" s="25">
        <f t="shared" si="5"/>
        <v>0</v>
      </c>
      <c r="I261" s="26">
        <f>H261/B3</f>
        <v>0</v>
      </c>
      <c r="J261" s="22">
        <v>0.0</v>
      </c>
      <c r="K261" s="22">
        <v>0.0</v>
      </c>
      <c r="L261" s="22">
        <v>0.0</v>
      </c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</row>
    <row r="262">
      <c r="A262" s="32">
        <v>46298.0</v>
      </c>
      <c r="B262" s="21" t="s">
        <v>62</v>
      </c>
      <c r="C262" s="2">
        <v>0.0</v>
      </c>
      <c r="D262" s="23">
        <f t="shared" si="3"/>
        <v>7.21</v>
      </c>
      <c r="E262" s="24">
        <f>D262/B1</f>
        <v>0.3605</v>
      </c>
      <c r="F262" s="23">
        <f t="shared" si="4"/>
        <v>2.4</v>
      </c>
      <c r="G262" s="24">
        <f>F262/B2</f>
        <v>0.12</v>
      </c>
      <c r="H262" s="25">
        <f t="shared" si="5"/>
        <v>0</v>
      </c>
      <c r="I262" s="26">
        <f>H262/B3</f>
        <v>0</v>
      </c>
      <c r="J262" s="22">
        <v>0.0</v>
      </c>
      <c r="K262" s="22">
        <v>0.0</v>
      </c>
      <c r="L262" s="22">
        <v>0.0</v>
      </c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</row>
    <row r="263">
      <c r="A263" s="32">
        <v>46298.0</v>
      </c>
      <c r="B263" s="21" t="s">
        <v>63</v>
      </c>
      <c r="C263" s="2">
        <v>0.0</v>
      </c>
      <c r="D263" s="23">
        <f t="shared" si="3"/>
        <v>7.21</v>
      </c>
      <c r="E263" s="24">
        <f>D263/B1</f>
        <v>0.3605</v>
      </c>
      <c r="F263" s="23">
        <f t="shared" si="4"/>
        <v>2.4</v>
      </c>
      <c r="G263" s="24">
        <f>F263/B2</f>
        <v>0.12</v>
      </c>
      <c r="H263" s="25">
        <f t="shared" si="5"/>
        <v>0</v>
      </c>
      <c r="I263" s="26">
        <f>H263/B3</f>
        <v>0</v>
      </c>
      <c r="J263" s="22">
        <v>0.0</v>
      </c>
      <c r="K263" s="22">
        <v>0.0</v>
      </c>
      <c r="L263" s="22">
        <v>0.0</v>
      </c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</row>
    <row r="264">
      <c r="A264" s="32">
        <v>46299.0</v>
      </c>
      <c r="B264" s="21" t="s">
        <v>61</v>
      </c>
      <c r="C264" s="2">
        <v>0.0</v>
      </c>
      <c r="D264" s="23">
        <f t="shared" si="3"/>
        <v>7.21</v>
      </c>
      <c r="E264" s="24">
        <f>D264/B1</f>
        <v>0.3605</v>
      </c>
      <c r="F264" s="23">
        <f t="shared" si="4"/>
        <v>2.4</v>
      </c>
      <c r="G264" s="24">
        <f>F264/B2</f>
        <v>0.12</v>
      </c>
      <c r="H264" s="25">
        <f t="shared" si="5"/>
        <v>0</v>
      </c>
      <c r="I264" s="26">
        <f>H264/B3</f>
        <v>0</v>
      </c>
      <c r="J264" s="22">
        <v>0.0</v>
      </c>
      <c r="K264" s="22">
        <v>0.0</v>
      </c>
      <c r="L264" s="22">
        <v>0.0</v>
      </c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</row>
    <row r="265">
      <c r="A265" s="32">
        <v>46299.0</v>
      </c>
      <c r="B265" s="21" t="s">
        <v>62</v>
      </c>
      <c r="C265" s="2">
        <v>0.0</v>
      </c>
      <c r="D265" s="23">
        <f t="shared" si="3"/>
        <v>7.21</v>
      </c>
      <c r="E265" s="24">
        <f>D265/B1</f>
        <v>0.3605</v>
      </c>
      <c r="F265" s="23">
        <f t="shared" si="4"/>
        <v>2.4</v>
      </c>
      <c r="G265" s="24">
        <f>F265/B2</f>
        <v>0.12</v>
      </c>
      <c r="H265" s="25">
        <f t="shared" si="5"/>
        <v>0</v>
      </c>
      <c r="I265" s="26">
        <f>H265/B3</f>
        <v>0</v>
      </c>
      <c r="J265" s="22">
        <v>0.0</v>
      </c>
      <c r="K265" s="22">
        <v>0.0</v>
      </c>
      <c r="L265" s="22">
        <v>0.0</v>
      </c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</row>
    <row r="266">
      <c r="A266" s="32">
        <v>46299.0</v>
      </c>
      <c r="B266" s="21" t="s">
        <v>63</v>
      </c>
      <c r="C266" s="2">
        <v>0.0</v>
      </c>
      <c r="D266" s="23">
        <f t="shared" si="3"/>
        <v>7.21</v>
      </c>
      <c r="E266" s="24">
        <f>D266/B1</f>
        <v>0.3605</v>
      </c>
      <c r="F266" s="23">
        <f t="shared" si="4"/>
        <v>2.4</v>
      </c>
      <c r="G266" s="24">
        <f>F266/B2</f>
        <v>0.12</v>
      </c>
      <c r="H266" s="25">
        <f t="shared" si="5"/>
        <v>0</v>
      </c>
      <c r="I266" s="26">
        <f>H266/B3</f>
        <v>0</v>
      </c>
      <c r="J266" s="22">
        <v>0.0</v>
      </c>
      <c r="K266" s="22">
        <v>0.0</v>
      </c>
      <c r="L266" s="22">
        <v>0.0</v>
      </c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</row>
    <row r="267">
      <c r="A267" s="32">
        <v>46300.0</v>
      </c>
      <c r="B267" s="21" t="s">
        <v>61</v>
      </c>
      <c r="C267" s="2">
        <v>0.0</v>
      </c>
      <c r="D267" s="23">
        <f t="shared" si="3"/>
        <v>7.21</v>
      </c>
      <c r="E267" s="24">
        <f>D267/B1</f>
        <v>0.3605</v>
      </c>
      <c r="F267" s="23">
        <f t="shared" si="4"/>
        <v>2.4</v>
      </c>
      <c r="G267" s="24">
        <f>F267/B2</f>
        <v>0.12</v>
      </c>
      <c r="H267" s="25">
        <f t="shared" si="5"/>
        <v>0</v>
      </c>
      <c r="I267" s="26">
        <f>H267/B3</f>
        <v>0</v>
      </c>
      <c r="J267" s="22">
        <v>0.0</v>
      </c>
      <c r="K267" s="22">
        <v>0.0</v>
      </c>
      <c r="L267" s="22">
        <v>0.0</v>
      </c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</row>
    <row r="268">
      <c r="A268" s="32">
        <v>46300.0</v>
      </c>
      <c r="B268" s="21" t="s">
        <v>62</v>
      </c>
      <c r="C268" s="2">
        <v>0.0</v>
      </c>
      <c r="D268" s="23">
        <f t="shared" si="3"/>
        <v>7.21</v>
      </c>
      <c r="E268" s="24">
        <f>D268/B1</f>
        <v>0.3605</v>
      </c>
      <c r="F268" s="23">
        <f t="shared" si="4"/>
        <v>2.4</v>
      </c>
      <c r="G268" s="24">
        <f>F268/B2</f>
        <v>0.12</v>
      </c>
      <c r="H268" s="25">
        <f t="shared" si="5"/>
        <v>0</v>
      </c>
      <c r="I268" s="26">
        <f>H268/B3</f>
        <v>0</v>
      </c>
      <c r="J268" s="22">
        <v>0.0</v>
      </c>
      <c r="K268" s="22">
        <v>0.0</v>
      </c>
      <c r="L268" s="22">
        <v>0.0</v>
      </c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</row>
    <row r="269">
      <c r="A269" s="32">
        <v>46300.0</v>
      </c>
      <c r="B269" s="21" t="s">
        <v>63</v>
      </c>
      <c r="C269" s="2">
        <v>0.0</v>
      </c>
      <c r="D269" s="23">
        <f t="shared" si="3"/>
        <v>7.21</v>
      </c>
      <c r="E269" s="24">
        <f>D269/B1</f>
        <v>0.3605</v>
      </c>
      <c r="F269" s="23">
        <f t="shared" si="4"/>
        <v>2.4</v>
      </c>
      <c r="G269" s="24">
        <f>F269/B2</f>
        <v>0.12</v>
      </c>
      <c r="H269" s="25">
        <f t="shared" si="5"/>
        <v>0</v>
      </c>
      <c r="I269" s="26">
        <f>H269/B3</f>
        <v>0</v>
      </c>
      <c r="J269" s="22">
        <v>0.0</v>
      </c>
      <c r="K269" s="22">
        <v>0.0</v>
      </c>
      <c r="L269" s="22">
        <v>0.0</v>
      </c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</row>
    <row r="270">
      <c r="A270" s="32">
        <v>46301.0</v>
      </c>
      <c r="B270" s="21" t="s">
        <v>61</v>
      </c>
      <c r="C270" s="2">
        <v>0.0</v>
      </c>
      <c r="D270" s="23">
        <f t="shared" si="3"/>
        <v>7.21</v>
      </c>
      <c r="E270" s="24">
        <f>D270/B1</f>
        <v>0.3605</v>
      </c>
      <c r="F270" s="23">
        <f t="shared" si="4"/>
        <v>2.4</v>
      </c>
      <c r="G270" s="24">
        <f>F270/B2</f>
        <v>0.12</v>
      </c>
      <c r="H270" s="25">
        <f t="shared" si="5"/>
        <v>0</v>
      </c>
      <c r="I270" s="26">
        <f>H270/B3</f>
        <v>0</v>
      </c>
      <c r="J270" s="22">
        <v>0.0</v>
      </c>
      <c r="K270" s="22">
        <v>0.0</v>
      </c>
      <c r="L270" s="22">
        <v>0.0</v>
      </c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</row>
    <row r="271">
      <c r="A271" s="32">
        <v>46301.0</v>
      </c>
      <c r="B271" s="21" t="s">
        <v>62</v>
      </c>
      <c r="C271" s="2">
        <v>0.0</v>
      </c>
      <c r="D271" s="23">
        <f t="shared" si="3"/>
        <v>7.21</v>
      </c>
      <c r="E271" s="24">
        <f>D271/B1</f>
        <v>0.3605</v>
      </c>
      <c r="F271" s="23">
        <f t="shared" si="4"/>
        <v>2.4</v>
      </c>
      <c r="G271" s="24">
        <f>F271/B2</f>
        <v>0.12</v>
      </c>
      <c r="H271" s="25">
        <f t="shared" si="5"/>
        <v>0</v>
      </c>
      <c r="I271" s="26">
        <f>H271/B3</f>
        <v>0</v>
      </c>
      <c r="J271" s="22">
        <v>0.0</v>
      </c>
      <c r="K271" s="22">
        <v>0.0</v>
      </c>
      <c r="L271" s="22">
        <v>0.0</v>
      </c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</row>
    <row r="272">
      <c r="A272" s="32">
        <v>46301.0</v>
      </c>
      <c r="B272" s="21" t="s">
        <v>63</v>
      </c>
      <c r="C272" s="2">
        <v>0.0</v>
      </c>
      <c r="D272" s="23">
        <f t="shared" si="3"/>
        <v>7.21</v>
      </c>
      <c r="E272" s="24">
        <f>D272/B1</f>
        <v>0.3605</v>
      </c>
      <c r="F272" s="23">
        <f t="shared" si="4"/>
        <v>2.4</v>
      </c>
      <c r="G272" s="24">
        <f>F272/B2</f>
        <v>0.12</v>
      </c>
      <c r="H272" s="25">
        <f t="shared" si="5"/>
        <v>0</v>
      </c>
      <c r="I272" s="26">
        <f>H272/B3</f>
        <v>0</v>
      </c>
      <c r="J272" s="22">
        <v>0.0</v>
      </c>
      <c r="K272" s="22">
        <v>0.0</v>
      </c>
      <c r="L272" s="22">
        <v>0.0</v>
      </c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</row>
    <row r="273">
      <c r="A273" s="32">
        <v>46302.0</v>
      </c>
      <c r="B273" s="21" t="s">
        <v>61</v>
      </c>
      <c r="C273" s="2">
        <v>1.54</v>
      </c>
      <c r="D273" s="23">
        <f t="shared" si="3"/>
        <v>5.67</v>
      </c>
      <c r="E273" s="24">
        <f>D273/B1</f>
        <v>0.2835</v>
      </c>
      <c r="F273" s="23">
        <f t="shared" si="4"/>
        <v>2.4</v>
      </c>
      <c r="G273" s="24">
        <f>F273/B2</f>
        <v>0.12</v>
      </c>
      <c r="H273" s="25">
        <f t="shared" si="5"/>
        <v>0</v>
      </c>
      <c r="I273" s="26">
        <f>H273/B3</f>
        <v>0</v>
      </c>
      <c r="J273" s="22">
        <v>0.0</v>
      </c>
      <c r="K273" s="22">
        <v>0.0</v>
      </c>
      <c r="L273" s="22">
        <v>0.0</v>
      </c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</row>
    <row r="274">
      <c r="A274" s="32">
        <v>46302.0</v>
      </c>
      <c r="B274" s="21" t="s">
        <v>62</v>
      </c>
      <c r="C274" s="2">
        <v>0.0</v>
      </c>
      <c r="D274" s="23">
        <f t="shared" si="3"/>
        <v>5.67</v>
      </c>
      <c r="E274" s="24">
        <f>D274/B1</f>
        <v>0.2835</v>
      </c>
      <c r="F274" s="23">
        <f t="shared" si="4"/>
        <v>2.4</v>
      </c>
      <c r="G274" s="24">
        <f>F274/B2</f>
        <v>0.12</v>
      </c>
      <c r="H274" s="25">
        <f t="shared" si="5"/>
        <v>0</v>
      </c>
      <c r="I274" s="26">
        <f>H274/B3</f>
        <v>0</v>
      </c>
      <c r="J274" s="22">
        <v>0.0</v>
      </c>
      <c r="K274" s="22">
        <v>0.0</v>
      </c>
      <c r="L274" s="22">
        <v>0.0</v>
      </c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</row>
    <row r="275">
      <c r="A275" s="32">
        <v>46302.0</v>
      </c>
      <c r="B275" s="21" t="s">
        <v>63</v>
      </c>
      <c r="C275" s="2">
        <v>0.0</v>
      </c>
      <c r="D275" s="23">
        <f t="shared" si="3"/>
        <v>5.67</v>
      </c>
      <c r="E275" s="24">
        <f>D275/B1</f>
        <v>0.2835</v>
      </c>
      <c r="F275" s="23">
        <f t="shared" si="4"/>
        <v>2.4</v>
      </c>
      <c r="G275" s="24">
        <f>F275/B2</f>
        <v>0.12</v>
      </c>
      <c r="H275" s="25">
        <f t="shared" si="5"/>
        <v>0</v>
      </c>
      <c r="I275" s="26">
        <f>H275/B3</f>
        <v>0</v>
      </c>
      <c r="J275" s="22">
        <v>0.0</v>
      </c>
      <c r="K275" s="22">
        <v>0.0</v>
      </c>
      <c r="L275" s="22">
        <v>0.0</v>
      </c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</row>
    <row r="276">
      <c r="A276" s="32">
        <v>46303.0</v>
      </c>
      <c r="B276" s="21" t="s">
        <v>61</v>
      </c>
      <c r="C276" s="2">
        <v>0.0</v>
      </c>
      <c r="D276" s="23">
        <f t="shared" si="3"/>
        <v>5.67</v>
      </c>
      <c r="E276" s="24">
        <f>D276/B1</f>
        <v>0.2835</v>
      </c>
      <c r="F276" s="23">
        <f t="shared" si="4"/>
        <v>2.4</v>
      </c>
      <c r="G276" s="24">
        <f>F276/B2</f>
        <v>0.12</v>
      </c>
      <c r="H276" s="25">
        <f t="shared" si="5"/>
        <v>0</v>
      </c>
      <c r="I276" s="26">
        <f>H276/B3</f>
        <v>0</v>
      </c>
      <c r="J276" s="22">
        <v>0.0</v>
      </c>
      <c r="K276" s="22">
        <v>0.0</v>
      </c>
      <c r="L276" s="22">
        <v>0.0</v>
      </c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</row>
    <row r="277">
      <c r="A277" s="32">
        <v>46303.0</v>
      </c>
      <c r="B277" s="21" t="s">
        <v>62</v>
      </c>
      <c r="C277" s="2">
        <v>0.0</v>
      </c>
      <c r="D277" s="23">
        <f t="shared" si="3"/>
        <v>5.67</v>
      </c>
      <c r="E277" s="24">
        <f>D277/B1</f>
        <v>0.2835</v>
      </c>
      <c r="F277" s="23">
        <f t="shared" si="4"/>
        <v>2.4</v>
      </c>
      <c r="G277" s="24">
        <f>F277/B2</f>
        <v>0.12</v>
      </c>
      <c r="H277" s="25">
        <f t="shared" si="5"/>
        <v>0</v>
      </c>
      <c r="I277" s="26">
        <f>H277/B3</f>
        <v>0</v>
      </c>
      <c r="J277" s="22">
        <v>0.0</v>
      </c>
      <c r="K277" s="22">
        <v>0.0</v>
      </c>
      <c r="L277" s="22">
        <v>0.0</v>
      </c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</row>
    <row r="278">
      <c r="A278" s="32">
        <v>46303.0</v>
      </c>
      <c r="B278" s="21" t="s">
        <v>63</v>
      </c>
      <c r="C278" s="2">
        <v>0.0</v>
      </c>
      <c r="D278" s="23">
        <f t="shared" si="3"/>
        <v>5.67</v>
      </c>
      <c r="E278" s="24">
        <f>D278/B1</f>
        <v>0.2835</v>
      </c>
      <c r="F278" s="23">
        <f t="shared" si="4"/>
        <v>2.4</v>
      </c>
      <c r="G278" s="24">
        <f>F278/B2</f>
        <v>0.12</v>
      </c>
      <c r="H278" s="25">
        <f t="shared" si="5"/>
        <v>0</v>
      </c>
      <c r="I278" s="26">
        <f>H278/B3</f>
        <v>0</v>
      </c>
      <c r="J278" s="22">
        <v>0.0</v>
      </c>
      <c r="K278" s="22">
        <v>0.0</v>
      </c>
      <c r="L278" s="22">
        <v>0.0</v>
      </c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</row>
  </sheetData>
  <dataValidations>
    <dataValidation type="list" allowBlank="1" showErrorMessage="1" sqref="B6:B278">
      <formula1>"WW,FLA,MAC1+"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61.75"/>
    <col customWidth="1" min="2" max="2" width="22.63"/>
    <col customWidth="1" min="3" max="3" width="10.25"/>
    <col customWidth="1" min="4" max="4" width="17.0"/>
    <col customWidth="1" min="5" max="5" width="15.0"/>
    <col customWidth="1" min="6" max="6" width="17.0"/>
    <col customWidth="1" min="7" max="7" width="16.13"/>
    <col customWidth="1" min="8" max="9" width="16.38"/>
    <col customWidth="1" min="10" max="10" width="12.63"/>
    <col customWidth="1" min="11" max="11" width="14.88"/>
    <col customWidth="1" min="12" max="12" width="13.0"/>
  </cols>
  <sheetData>
    <row r="1">
      <c r="A1" s="1" t="s">
        <v>142</v>
      </c>
      <c r="B1" s="2">
        <v>20.0</v>
      </c>
      <c r="C1" s="2">
        <f>D188</f>
        <v>11.37</v>
      </c>
      <c r="D1" s="5">
        <f t="shared" ref="D1:D4" si="1">C1/B1</f>
        <v>0.5685</v>
      </c>
      <c r="G1" s="1" t="s">
        <v>1</v>
      </c>
      <c r="H1" s="3">
        <f>IFERROR(__xludf.DUMMYFUNCTION("COUNTUNIQUE(A6:A173)"),56.0)</f>
        <v>56</v>
      </c>
      <c r="I1" s="3"/>
      <c r="J1" s="6"/>
      <c r="K1" s="3"/>
      <c r="L1" s="3"/>
      <c r="M1" s="7"/>
      <c r="N1" s="7"/>
    </row>
    <row r="2">
      <c r="A2" s="1" t="s">
        <v>143</v>
      </c>
      <c r="B2" s="2">
        <v>20.0</v>
      </c>
      <c r="C2" s="4">
        <f>F188</f>
        <v>12.42</v>
      </c>
      <c r="D2" s="5">
        <f t="shared" si="1"/>
        <v>0.621</v>
      </c>
      <c r="G2" s="1" t="s">
        <v>5</v>
      </c>
      <c r="H2" s="3">
        <f>(B1+B2+B3)/F4</f>
        <v>144.3919209</v>
      </c>
      <c r="I2" s="3"/>
      <c r="J2" s="3"/>
      <c r="K2" s="3"/>
      <c r="L2" s="3"/>
      <c r="M2" s="7"/>
      <c r="N2" s="7"/>
    </row>
    <row r="3">
      <c r="A3" s="1" t="s">
        <v>144</v>
      </c>
      <c r="B3" s="2">
        <v>20.0</v>
      </c>
      <c r="C3" s="4">
        <f>H188</f>
        <v>12.94</v>
      </c>
      <c r="D3" s="8">
        <f t="shared" si="1"/>
        <v>0.647</v>
      </c>
      <c r="E3" s="3"/>
      <c r="F3" s="6"/>
      <c r="G3" s="3"/>
      <c r="H3" s="3"/>
      <c r="I3" s="3"/>
      <c r="J3" s="3"/>
      <c r="K3" s="3"/>
      <c r="L3" s="3"/>
      <c r="M3" s="7"/>
      <c r="N3" s="7"/>
    </row>
    <row r="4">
      <c r="B4" s="9">
        <f t="shared" ref="B4:C4" si="2">SUM(B1:B3)</f>
        <v>60</v>
      </c>
      <c r="C4" s="9">
        <f t="shared" si="2"/>
        <v>36.73</v>
      </c>
      <c r="D4" s="5">
        <f t="shared" si="1"/>
        <v>0.6121666667</v>
      </c>
      <c r="E4" s="1" t="s">
        <v>7</v>
      </c>
      <c r="F4" s="3">
        <f>SUM(C6:C173)/H1</f>
        <v>0.4155357143</v>
      </c>
      <c r="G4" s="6" t="s">
        <v>141</v>
      </c>
      <c r="H4" s="4">
        <f>MEDIAN(C6:C101)</f>
        <v>0</v>
      </c>
      <c r="I4" s="3"/>
      <c r="J4" s="3"/>
      <c r="K4" s="3"/>
      <c r="L4" s="3"/>
      <c r="M4" s="7"/>
      <c r="N4" s="7"/>
    </row>
    <row r="5">
      <c r="A5" s="10" t="s">
        <v>8</v>
      </c>
      <c r="B5" s="10" t="s">
        <v>9</v>
      </c>
      <c r="C5" s="10" t="s">
        <v>10</v>
      </c>
      <c r="D5" s="10" t="s">
        <v>131</v>
      </c>
      <c r="E5" s="10" t="s">
        <v>131</v>
      </c>
      <c r="F5" s="10" t="s">
        <v>132</v>
      </c>
      <c r="G5" s="10" t="s">
        <v>132</v>
      </c>
      <c r="H5" s="10" t="s">
        <v>78</v>
      </c>
      <c r="I5" s="10" t="s">
        <v>78</v>
      </c>
      <c r="J5" s="10" t="s">
        <v>133</v>
      </c>
      <c r="K5" s="10" t="s">
        <v>134</v>
      </c>
      <c r="L5" s="10" t="s">
        <v>80</v>
      </c>
      <c r="M5" s="7"/>
      <c r="N5" s="7"/>
    </row>
    <row r="6">
      <c r="A6" s="12">
        <v>46263.0</v>
      </c>
      <c r="B6" s="6" t="s">
        <v>61</v>
      </c>
      <c r="C6" s="2">
        <v>0.0</v>
      </c>
      <c r="D6" s="4">
        <f>IF(B6="WW",B1-C6,B1)</f>
        <v>20</v>
      </c>
      <c r="E6" s="13">
        <f>D6/B1</f>
        <v>1</v>
      </c>
      <c r="F6" s="2">
        <f>IF(B6="FLA",B2-C6,B2)</f>
        <v>20</v>
      </c>
      <c r="G6" s="14">
        <f>F6/B2</f>
        <v>1</v>
      </c>
      <c r="H6" s="15">
        <f>IF(B6="MAC1+",B3-C6,B3)</f>
        <v>20</v>
      </c>
      <c r="I6" s="14">
        <f>H6/B3</f>
        <v>1</v>
      </c>
      <c r="J6" s="2">
        <v>0.0</v>
      </c>
      <c r="K6" s="2">
        <v>0.0</v>
      </c>
      <c r="L6" s="2">
        <v>0.0</v>
      </c>
      <c r="M6" s="7"/>
      <c r="N6" s="7"/>
    </row>
    <row r="7">
      <c r="A7" s="12">
        <v>46263.0</v>
      </c>
      <c r="B7" s="6" t="s">
        <v>62</v>
      </c>
      <c r="C7" s="2">
        <v>0.0</v>
      </c>
      <c r="D7" s="16">
        <f t="shared" ref="D7:D188" si="3">IF(B7="WW",D6-C7,D6)</f>
        <v>20</v>
      </c>
      <c r="E7" s="17">
        <f>D7/B1</f>
        <v>1</v>
      </c>
      <c r="F7" s="16">
        <f t="shared" ref="F7:F188" si="4">IF(B7="FLA",F6-C7,F6)</f>
        <v>20</v>
      </c>
      <c r="G7" s="17">
        <f>F7/B2</f>
        <v>1</v>
      </c>
      <c r="H7" s="15">
        <f t="shared" ref="H7:H188" si="5">IF(B7="MAC1+",H6-C7,H6)</f>
        <v>20</v>
      </c>
      <c r="I7" s="14">
        <f>H7/B3</f>
        <v>1</v>
      </c>
      <c r="J7" s="2">
        <v>0.0</v>
      </c>
      <c r="K7" s="2">
        <v>0.0</v>
      </c>
      <c r="L7" s="2">
        <v>0.0</v>
      </c>
      <c r="M7" s="7"/>
      <c r="N7" s="7"/>
    </row>
    <row r="8">
      <c r="A8" s="12">
        <v>46263.0</v>
      </c>
      <c r="B8" s="6" t="s">
        <v>63</v>
      </c>
      <c r="C8" s="2">
        <v>0.0</v>
      </c>
      <c r="D8" s="16">
        <f t="shared" si="3"/>
        <v>20</v>
      </c>
      <c r="E8" s="17">
        <f>D8/B1</f>
        <v>1</v>
      </c>
      <c r="F8" s="16">
        <f t="shared" si="4"/>
        <v>20</v>
      </c>
      <c r="G8" s="17">
        <f>F8/B2</f>
        <v>1</v>
      </c>
      <c r="H8" s="15">
        <f t="shared" si="5"/>
        <v>20</v>
      </c>
      <c r="I8" s="14">
        <f>H8/B3</f>
        <v>1</v>
      </c>
      <c r="J8" s="2">
        <v>0.0</v>
      </c>
      <c r="K8" s="2">
        <v>0.0</v>
      </c>
      <c r="L8" s="2">
        <v>0.0</v>
      </c>
      <c r="M8" s="7"/>
      <c r="N8" s="7"/>
    </row>
    <row r="9">
      <c r="A9" s="12">
        <v>46264.0</v>
      </c>
      <c r="B9" s="6" t="s">
        <v>61</v>
      </c>
      <c r="C9" s="2">
        <v>0.0</v>
      </c>
      <c r="D9" s="16">
        <f t="shared" si="3"/>
        <v>20</v>
      </c>
      <c r="E9" s="17">
        <f>D9/B1</f>
        <v>1</v>
      </c>
      <c r="F9" s="16">
        <f t="shared" si="4"/>
        <v>20</v>
      </c>
      <c r="G9" s="17">
        <f>F9/B2</f>
        <v>1</v>
      </c>
      <c r="H9" s="15">
        <f t="shared" si="5"/>
        <v>20</v>
      </c>
      <c r="I9" s="14">
        <f>H9/B3</f>
        <v>1</v>
      </c>
      <c r="J9" s="2">
        <v>0.0</v>
      </c>
      <c r="K9" s="2">
        <v>0.0</v>
      </c>
      <c r="L9" s="2">
        <v>0.0</v>
      </c>
      <c r="M9" s="7"/>
      <c r="N9" s="7"/>
    </row>
    <row r="10">
      <c r="A10" s="12">
        <v>46264.0</v>
      </c>
      <c r="B10" s="6" t="s">
        <v>62</v>
      </c>
      <c r="C10" s="2">
        <v>0.0</v>
      </c>
      <c r="D10" s="16">
        <f t="shared" si="3"/>
        <v>20</v>
      </c>
      <c r="E10" s="17">
        <f>D10/B1</f>
        <v>1</v>
      </c>
      <c r="F10" s="16">
        <f t="shared" si="4"/>
        <v>20</v>
      </c>
      <c r="G10" s="17">
        <f>F10/B2</f>
        <v>1</v>
      </c>
      <c r="H10" s="15">
        <f t="shared" si="5"/>
        <v>20</v>
      </c>
      <c r="I10" s="14">
        <f>H10/B3</f>
        <v>1</v>
      </c>
      <c r="J10" s="2">
        <v>0.0</v>
      </c>
      <c r="K10" s="2">
        <v>0.0</v>
      </c>
      <c r="L10" s="2">
        <v>0.0</v>
      </c>
      <c r="M10" s="7"/>
      <c r="N10" s="7"/>
    </row>
    <row r="11">
      <c r="A11" s="12">
        <v>46264.0</v>
      </c>
      <c r="B11" s="6" t="s">
        <v>63</v>
      </c>
      <c r="C11" s="2">
        <v>0.0</v>
      </c>
      <c r="D11" s="16">
        <f t="shared" si="3"/>
        <v>20</v>
      </c>
      <c r="E11" s="17">
        <f>D11/B1</f>
        <v>1</v>
      </c>
      <c r="F11" s="16">
        <f t="shared" si="4"/>
        <v>20</v>
      </c>
      <c r="G11" s="17">
        <f>F11/B2</f>
        <v>1</v>
      </c>
      <c r="H11" s="15">
        <f t="shared" si="5"/>
        <v>20</v>
      </c>
      <c r="I11" s="14">
        <f>H11/B3</f>
        <v>1</v>
      </c>
      <c r="J11" s="2">
        <v>0.0</v>
      </c>
      <c r="K11" s="2">
        <v>0.0</v>
      </c>
      <c r="L11" s="2">
        <v>0.0</v>
      </c>
      <c r="M11" s="7"/>
      <c r="N11" s="7"/>
    </row>
    <row r="12">
      <c r="A12" s="12">
        <v>46265.0</v>
      </c>
      <c r="B12" s="6" t="s">
        <v>61</v>
      </c>
      <c r="C12" s="2">
        <v>0.0</v>
      </c>
      <c r="D12" s="16">
        <f t="shared" si="3"/>
        <v>20</v>
      </c>
      <c r="E12" s="17">
        <f>D12/B1</f>
        <v>1</v>
      </c>
      <c r="F12" s="16">
        <f t="shared" si="4"/>
        <v>20</v>
      </c>
      <c r="G12" s="17">
        <f>F12/B2</f>
        <v>1</v>
      </c>
      <c r="H12" s="15">
        <f t="shared" si="5"/>
        <v>20</v>
      </c>
      <c r="I12" s="14">
        <f>H12/B3</f>
        <v>1</v>
      </c>
      <c r="J12" s="2">
        <v>0.0</v>
      </c>
      <c r="K12" s="2">
        <v>0.0</v>
      </c>
      <c r="L12" s="2">
        <v>0.0</v>
      </c>
      <c r="M12" s="7"/>
      <c r="N12" s="7"/>
    </row>
    <row r="13">
      <c r="A13" s="12">
        <v>46265.0</v>
      </c>
      <c r="B13" s="6" t="s">
        <v>62</v>
      </c>
      <c r="C13" s="2">
        <v>0.0</v>
      </c>
      <c r="D13" s="16">
        <f t="shared" si="3"/>
        <v>20</v>
      </c>
      <c r="E13" s="17">
        <f>D13/B1</f>
        <v>1</v>
      </c>
      <c r="F13" s="16">
        <f t="shared" si="4"/>
        <v>20</v>
      </c>
      <c r="G13" s="17">
        <f>F13/B2</f>
        <v>1</v>
      </c>
      <c r="H13" s="15">
        <f t="shared" si="5"/>
        <v>20</v>
      </c>
      <c r="I13" s="14">
        <f>H13/B3</f>
        <v>1</v>
      </c>
      <c r="J13" s="2">
        <v>0.0</v>
      </c>
      <c r="K13" s="2">
        <v>0.0</v>
      </c>
      <c r="L13" s="2">
        <v>0.0</v>
      </c>
      <c r="M13" s="7"/>
      <c r="N13" s="7"/>
    </row>
    <row r="14">
      <c r="A14" s="12">
        <v>46265.0</v>
      </c>
      <c r="B14" s="6" t="s">
        <v>63</v>
      </c>
      <c r="C14" s="2">
        <v>0.0</v>
      </c>
      <c r="D14" s="16">
        <f t="shared" si="3"/>
        <v>20</v>
      </c>
      <c r="E14" s="17">
        <f>D14/B1</f>
        <v>1</v>
      </c>
      <c r="F14" s="16">
        <f t="shared" si="4"/>
        <v>20</v>
      </c>
      <c r="G14" s="17">
        <f>F14/B2</f>
        <v>1</v>
      </c>
      <c r="H14" s="15">
        <f t="shared" si="5"/>
        <v>20</v>
      </c>
      <c r="I14" s="14">
        <f>H14/B3</f>
        <v>1</v>
      </c>
      <c r="J14" s="2">
        <v>0.0</v>
      </c>
      <c r="K14" s="2">
        <v>0.0</v>
      </c>
      <c r="L14" s="2">
        <v>0.0</v>
      </c>
      <c r="M14" s="7"/>
      <c r="N14" s="7"/>
    </row>
    <row r="15">
      <c r="A15" s="12">
        <v>46266.0</v>
      </c>
      <c r="B15" s="6" t="s">
        <v>61</v>
      </c>
      <c r="C15" s="2">
        <v>0.0</v>
      </c>
      <c r="D15" s="16">
        <f t="shared" si="3"/>
        <v>20</v>
      </c>
      <c r="E15" s="17">
        <f>D15/B1</f>
        <v>1</v>
      </c>
      <c r="F15" s="16">
        <f t="shared" si="4"/>
        <v>20</v>
      </c>
      <c r="G15" s="17">
        <f>F15/B2</f>
        <v>1</v>
      </c>
      <c r="H15" s="15">
        <f t="shared" si="5"/>
        <v>20</v>
      </c>
      <c r="I15" s="14">
        <f>H15/B3</f>
        <v>1</v>
      </c>
      <c r="J15" s="2">
        <v>0.0</v>
      </c>
      <c r="K15" s="2">
        <v>0.0</v>
      </c>
      <c r="L15" s="2">
        <v>0.0</v>
      </c>
      <c r="M15" s="7"/>
      <c r="N15" s="7"/>
    </row>
    <row r="16">
      <c r="A16" s="12">
        <v>46266.0</v>
      </c>
      <c r="B16" s="6" t="s">
        <v>62</v>
      </c>
      <c r="C16" s="2">
        <v>0.0</v>
      </c>
      <c r="D16" s="16">
        <f t="shared" si="3"/>
        <v>20</v>
      </c>
      <c r="E16" s="17">
        <f>D16/B1</f>
        <v>1</v>
      </c>
      <c r="F16" s="16">
        <f t="shared" si="4"/>
        <v>20</v>
      </c>
      <c r="G16" s="17">
        <f>F16/B2</f>
        <v>1</v>
      </c>
      <c r="H16" s="15">
        <f t="shared" si="5"/>
        <v>20</v>
      </c>
      <c r="I16" s="14">
        <f>H16/B3</f>
        <v>1</v>
      </c>
      <c r="J16" s="2">
        <v>0.0</v>
      </c>
      <c r="K16" s="2">
        <v>0.0</v>
      </c>
      <c r="L16" s="2">
        <v>0.0</v>
      </c>
      <c r="M16" s="7"/>
      <c r="N16" s="7"/>
    </row>
    <row r="17">
      <c r="A17" s="12">
        <v>46266.0</v>
      </c>
      <c r="B17" s="6" t="s">
        <v>63</v>
      </c>
      <c r="C17" s="2">
        <v>0.0</v>
      </c>
      <c r="D17" s="16">
        <f t="shared" si="3"/>
        <v>20</v>
      </c>
      <c r="E17" s="17">
        <f>D17/B1</f>
        <v>1</v>
      </c>
      <c r="F17" s="16">
        <f t="shared" si="4"/>
        <v>20</v>
      </c>
      <c r="G17" s="17">
        <f>F17/B2</f>
        <v>1</v>
      </c>
      <c r="H17" s="15">
        <f t="shared" si="5"/>
        <v>20</v>
      </c>
      <c r="I17" s="14">
        <f>H17/B3</f>
        <v>1</v>
      </c>
      <c r="J17" s="2">
        <v>0.0</v>
      </c>
      <c r="K17" s="2">
        <v>0.0</v>
      </c>
      <c r="L17" s="2">
        <v>0.0</v>
      </c>
      <c r="M17" s="7"/>
      <c r="N17" s="7"/>
    </row>
    <row r="18">
      <c r="A18" s="12">
        <v>46267.0</v>
      </c>
      <c r="B18" s="6" t="s">
        <v>61</v>
      </c>
      <c r="C18" s="2">
        <v>0.0</v>
      </c>
      <c r="D18" s="16">
        <f t="shared" si="3"/>
        <v>20</v>
      </c>
      <c r="E18" s="17">
        <f>D18/B1</f>
        <v>1</v>
      </c>
      <c r="F18" s="16">
        <f t="shared" si="4"/>
        <v>20</v>
      </c>
      <c r="G18" s="17">
        <f>F18/B2</f>
        <v>1</v>
      </c>
      <c r="H18" s="15">
        <f t="shared" si="5"/>
        <v>20</v>
      </c>
      <c r="I18" s="14">
        <f>H18/B3</f>
        <v>1</v>
      </c>
      <c r="J18" s="2">
        <v>0.0</v>
      </c>
      <c r="K18" s="2">
        <v>0.0</v>
      </c>
      <c r="L18" s="2">
        <v>0.0</v>
      </c>
      <c r="M18" s="7"/>
      <c r="N18" s="7"/>
    </row>
    <row r="19">
      <c r="A19" s="12">
        <v>46267.0</v>
      </c>
      <c r="B19" s="6" t="s">
        <v>62</v>
      </c>
      <c r="C19" s="2">
        <v>0.0</v>
      </c>
      <c r="D19" s="16">
        <f t="shared" si="3"/>
        <v>20</v>
      </c>
      <c r="E19" s="17">
        <f>D19/B1</f>
        <v>1</v>
      </c>
      <c r="F19" s="16">
        <f t="shared" si="4"/>
        <v>20</v>
      </c>
      <c r="G19" s="17">
        <f>F19/B2</f>
        <v>1</v>
      </c>
      <c r="H19" s="15">
        <f t="shared" si="5"/>
        <v>20</v>
      </c>
      <c r="I19" s="14">
        <f>H19/B3</f>
        <v>1</v>
      </c>
      <c r="J19" s="2">
        <v>0.0</v>
      </c>
      <c r="K19" s="2">
        <v>0.0</v>
      </c>
      <c r="L19" s="2">
        <v>0.0</v>
      </c>
      <c r="M19" s="7"/>
      <c r="N19" s="7"/>
    </row>
    <row r="20">
      <c r="A20" s="12">
        <v>46267.0</v>
      </c>
      <c r="B20" s="6" t="s">
        <v>63</v>
      </c>
      <c r="C20" s="2">
        <v>0.0</v>
      </c>
      <c r="D20" s="16">
        <f t="shared" si="3"/>
        <v>20</v>
      </c>
      <c r="E20" s="17">
        <f>D20/B1</f>
        <v>1</v>
      </c>
      <c r="F20" s="16">
        <f t="shared" si="4"/>
        <v>20</v>
      </c>
      <c r="G20" s="17">
        <f>F20/B2</f>
        <v>1</v>
      </c>
      <c r="H20" s="15">
        <f t="shared" si="5"/>
        <v>20</v>
      </c>
      <c r="I20" s="14">
        <f>H20/B3</f>
        <v>1</v>
      </c>
      <c r="J20" s="2">
        <v>0.0</v>
      </c>
      <c r="K20" s="2">
        <v>0.0</v>
      </c>
      <c r="L20" s="2">
        <v>0.0</v>
      </c>
      <c r="M20" s="7"/>
      <c r="N20" s="7"/>
    </row>
    <row r="21">
      <c r="A21" s="12">
        <v>46268.0</v>
      </c>
      <c r="B21" s="6" t="s">
        <v>61</v>
      </c>
      <c r="C21" s="2">
        <v>0.0</v>
      </c>
      <c r="D21" s="16">
        <f t="shared" si="3"/>
        <v>20</v>
      </c>
      <c r="E21" s="17">
        <f>D21/B1</f>
        <v>1</v>
      </c>
      <c r="F21" s="16">
        <f t="shared" si="4"/>
        <v>20</v>
      </c>
      <c r="G21" s="17">
        <f>F21/B2</f>
        <v>1</v>
      </c>
      <c r="H21" s="15">
        <f t="shared" si="5"/>
        <v>20</v>
      </c>
      <c r="I21" s="14">
        <f>H21/B3</f>
        <v>1</v>
      </c>
      <c r="J21" s="2">
        <v>0.0</v>
      </c>
      <c r="K21" s="2">
        <v>0.0</v>
      </c>
      <c r="L21" s="2">
        <v>0.0</v>
      </c>
      <c r="M21" s="7"/>
      <c r="N21" s="7"/>
    </row>
    <row r="22">
      <c r="A22" s="12">
        <v>46268.0</v>
      </c>
      <c r="B22" s="6" t="s">
        <v>62</v>
      </c>
      <c r="C22" s="2">
        <v>0.0</v>
      </c>
      <c r="D22" s="16">
        <f t="shared" si="3"/>
        <v>20</v>
      </c>
      <c r="E22" s="17">
        <f>D22/B1</f>
        <v>1</v>
      </c>
      <c r="F22" s="16">
        <f t="shared" si="4"/>
        <v>20</v>
      </c>
      <c r="G22" s="17">
        <f>F22/B2</f>
        <v>1</v>
      </c>
      <c r="H22" s="15">
        <f t="shared" si="5"/>
        <v>20</v>
      </c>
      <c r="I22" s="14">
        <f>H22/B3</f>
        <v>1</v>
      </c>
      <c r="J22" s="2">
        <v>0.0</v>
      </c>
      <c r="K22" s="2">
        <v>0.0</v>
      </c>
      <c r="L22" s="2">
        <v>0.0</v>
      </c>
      <c r="M22" s="7"/>
      <c r="N22" s="7"/>
    </row>
    <row r="23">
      <c r="A23" s="12">
        <v>46268.0</v>
      </c>
      <c r="B23" s="6" t="s">
        <v>63</v>
      </c>
      <c r="C23" s="2">
        <v>0.0</v>
      </c>
      <c r="D23" s="16">
        <f t="shared" si="3"/>
        <v>20</v>
      </c>
      <c r="E23" s="17">
        <f>D23/B1</f>
        <v>1</v>
      </c>
      <c r="F23" s="16">
        <f t="shared" si="4"/>
        <v>20</v>
      </c>
      <c r="G23" s="17">
        <f>F23/B2</f>
        <v>1</v>
      </c>
      <c r="H23" s="15">
        <f t="shared" si="5"/>
        <v>20</v>
      </c>
      <c r="I23" s="14">
        <f>H23/B3</f>
        <v>1</v>
      </c>
      <c r="J23" s="2">
        <v>0.0</v>
      </c>
      <c r="K23" s="2">
        <v>0.0</v>
      </c>
      <c r="L23" s="2">
        <v>0.0</v>
      </c>
      <c r="M23" s="7"/>
      <c r="N23" s="7"/>
    </row>
    <row r="24">
      <c r="A24" s="12">
        <v>46269.0</v>
      </c>
      <c r="B24" s="6" t="s">
        <v>61</v>
      </c>
      <c r="C24" s="2">
        <v>0.0</v>
      </c>
      <c r="D24" s="16">
        <f t="shared" si="3"/>
        <v>20</v>
      </c>
      <c r="E24" s="17">
        <f>D24/B1</f>
        <v>1</v>
      </c>
      <c r="F24" s="16">
        <f t="shared" si="4"/>
        <v>20</v>
      </c>
      <c r="G24" s="17">
        <f>F24/B2</f>
        <v>1</v>
      </c>
      <c r="H24" s="15">
        <f t="shared" si="5"/>
        <v>20</v>
      </c>
      <c r="I24" s="14">
        <f>H24/B3</f>
        <v>1</v>
      </c>
      <c r="J24" s="2">
        <v>0.0</v>
      </c>
      <c r="K24" s="2">
        <v>0.0</v>
      </c>
      <c r="L24" s="2">
        <v>0.0</v>
      </c>
      <c r="M24" s="7"/>
      <c r="N24" s="7"/>
    </row>
    <row r="25">
      <c r="A25" s="12">
        <v>46269.0</v>
      </c>
      <c r="B25" s="6" t="s">
        <v>62</v>
      </c>
      <c r="C25" s="2">
        <v>0.0</v>
      </c>
      <c r="D25" s="16">
        <f t="shared" si="3"/>
        <v>20</v>
      </c>
      <c r="E25" s="17">
        <f>D25/B1</f>
        <v>1</v>
      </c>
      <c r="F25" s="16">
        <f t="shared" si="4"/>
        <v>20</v>
      </c>
      <c r="G25" s="17">
        <f>F25/B2</f>
        <v>1</v>
      </c>
      <c r="H25" s="15">
        <f t="shared" si="5"/>
        <v>20</v>
      </c>
      <c r="I25" s="14">
        <f>H25/B3</f>
        <v>1</v>
      </c>
      <c r="J25" s="2">
        <v>0.0</v>
      </c>
      <c r="K25" s="2">
        <v>0.0</v>
      </c>
      <c r="L25" s="2">
        <v>0.0</v>
      </c>
      <c r="M25" s="7"/>
      <c r="N25" s="7"/>
    </row>
    <row r="26">
      <c r="A26" s="12">
        <v>46269.0</v>
      </c>
      <c r="B26" s="6" t="s">
        <v>63</v>
      </c>
      <c r="C26" s="2">
        <v>0.0</v>
      </c>
      <c r="D26" s="16">
        <f t="shared" si="3"/>
        <v>20</v>
      </c>
      <c r="E26" s="17">
        <f>D26/B1</f>
        <v>1</v>
      </c>
      <c r="F26" s="16">
        <f t="shared" si="4"/>
        <v>20</v>
      </c>
      <c r="G26" s="17">
        <f>F26/B2</f>
        <v>1</v>
      </c>
      <c r="H26" s="15">
        <f t="shared" si="5"/>
        <v>20</v>
      </c>
      <c r="I26" s="14">
        <f>H26/B3</f>
        <v>1</v>
      </c>
      <c r="J26" s="2">
        <v>0.0</v>
      </c>
      <c r="K26" s="2">
        <v>0.0</v>
      </c>
      <c r="L26" s="2">
        <v>0.0</v>
      </c>
      <c r="M26" s="7"/>
      <c r="N26" s="7"/>
    </row>
    <row r="27">
      <c r="A27" s="12">
        <v>46270.0</v>
      </c>
      <c r="B27" s="6" t="s">
        <v>61</v>
      </c>
      <c r="C27" s="2">
        <v>0.0</v>
      </c>
      <c r="D27" s="16">
        <f t="shared" si="3"/>
        <v>20</v>
      </c>
      <c r="E27" s="17">
        <f>D27/B1</f>
        <v>1</v>
      </c>
      <c r="F27" s="16">
        <f t="shared" si="4"/>
        <v>20</v>
      </c>
      <c r="G27" s="17">
        <f>F27/B2</f>
        <v>1</v>
      </c>
      <c r="H27" s="15">
        <f t="shared" si="5"/>
        <v>20</v>
      </c>
      <c r="I27" s="14">
        <f>H27/B3</f>
        <v>1</v>
      </c>
      <c r="J27" s="2">
        <v>0.0</v>
      </c>
      <c r="K27" s="2">
        <v>0.0</v>
      </c>
      <c r="L27" s="2">
        <v>0.0</v>
      </c>
      <c r="M27" s="7"/>
      <c r="N27" s="7"/>
    </row>
    <row r="28">
      <c r="A28" s="12">
        <v>46270.0</v>
      </c>
      <c r="B28" s="6" t="s">
        <v>62</v>
      </c>
      <c r="C28" s="2">
        <v>0.0</v>
      </c>
      <c r="D28" s="16">
        <f t="shared" si="3"/>
        <v>20</v>
      </c>
      <c r="E28" s="17">
        <f>D28/B1</f>
        <v>1</v>
      </c>
      <c r="F28" s="16">
        <f t="shared" si="4"/>
        <v>20</v>
      </c>
      <c r="G28" s="17">
        <f>F28/B2</f>
        <v>1</v>
      </c>
      <c r="H28" s="15">
        <f t="shared" si="5"/>
        <v>20</v>
      </c>
      <c r="I28" s="14">
        <f>H28/B3</f>
        <v>1</v>
      </c>
      <c r="J28" s="2">
        <v>0.0</v>
      </c>
      <c r="K28" s="2">
        <v>0.0</v>
      </c>
      <c r="L28" s="2">
        <v>0.0</v>
      </c>
      <c r="M28" s="7"/>
      <c r="N28" s="7"/>
    </row>
    <row r="29">
      <c r="A29" s="12">
        <v>46270.0</v>
      </c>
      <c r="B29" s="6" t="s">
        <v>63</v>
      </c>
      <c r="C29" s="2">
        <v>0.0</v>
      </c>
      <c r="D29" s="16">
        <f t="shared" si="3"/>
        <v>20</v>
      </c>
      <c r="E29" s="17">
        <f>D29/B1</f>
        <v>1</v>
      </c>
      <c r="F29" s="16">
        <f t="shared" si="4"/>
        <v>20</v>
      </c>
      <c r="G29" s="17">
        <f>F29/B2</f>
        <v>1</v>
      </c>
      <c r="H29" s="15">
        <f t="shared" si="5"/>
        <v>20</v>
      </c>
      <c r="I29" s="14">
        <f>H29/B3</f>
        <v>1</v>
      </c>
      <c r="J29" s="2">
        <v>0.0</v>
      </c>
      <c r="K29" s="2">
        <v>0.0</v>
      </c>
      <c r="L29" s="2">
        <v>0.0</v>
      </c>
      <c r="M29" s="7"/>
      <c r="N29" s="7"/>
    </row>
    <row r="30">
      <c r="A30" s="12">
        <v>46271.0</v>
      </c>
      <c r="B30" s="6" t="s">
        <v>61</v>
      </c>
      <c r="C30" s="2">
        <v>0.0</v>
      </c>
      <c r="D30" s="16">
        <f t="shared" si="3"/>
        <v>20</v>
      </c>
      <c r="E30" s="17">
        <f>D30/B1</f>
        <v>1</v>
      </c>
      <c r="F30" s="16">
        <f t="shared" si="4"/>
        <v>20</v>
      </c>
      <c r="G30" s="17">
        <f>F30/B2</f>
        <v>1</v>
      </c>
      <c r="H30" s="15">
        <f t="shared" si="5"/>
        <v>20</v>
      </c>
      <c r="I30" s="14">
        <f>H30/B3</f>
        <v>1</v>
      </c>
      <c r="J30" s="2">
        <v>0.0</v>
      </c>
      <c r="K30" s="2">
        <v>0.0</v>
      </c>
      <c r="L30" s="2">
        <v>0.0</v>
      </c>
      <c r="M30" s="7"/>
      <c r="N30" s="7"/>
    </row>
    <row r="31">
      <c r="A31" s="12">
        <v>46271.0</v>
      </c>
      <c r="B31" s="6" t="s">
        <v>62</v>
      </c>
      <c r="C31" s="2">
        <v>0.0</v>
      </c>
      <c r="D31" s="16">
        <f t="shared" si="3"/>
        <v>20</v>
      </c>
      <c r="E31" s="17">
        <f>D31/B1</f>
        <v>1</v>
      </c>
      <c r="F31" s="16">
        <f t="shared" si="4"/>
        <v>20</v>
      </c>
      <c r="G31" s="17">
        <f>F31/B2</f>
        <v>1</v>
      </c>
      <c r="H31" s="15">
        <f t="shared" si="5"/>
        <v>20</v>
      </c>
      <c r="I31" s="14">
        <f>H31/B3</f>
        <v>1</v>
      </c>
      <c r="J31" s="2">
        <v>0.0</v>
      </c>
      <c r="K31" s="2">
        <v>0.0</v>
      </c>
      <c r="L31" s="2">
        <v>0.0</v>
      </c>
      <c r="M31" s="7"/>
      <c r="N31" s="7"/>
    </row>
    <row r="32">
      <c r="A32" s="12">
        <v>46271.0</v>
      </c>
      <c r="B32" s="6" t="s">
        <v>63</v>
      </c>
      <c r="C32" s="2">
        <v>0.0</v>
      </c>
      <c r="D32" s="16">
        <f t="shared" si="3"/>
        <v>20</v>
      </c>
      <c r="E32" s="17">
        <f>D32/B1</f>
        <v>1</v>
      </c>
      <c r="F32" s="16">
        <f t="shared" si="4"/>
        <v>20</v>
      </c>
      <c r="G32" s="17">
        <f>F32/B2</f>
        <v>1</v>
      </c>
      <c r="H32" s="15">
        <f t="shared" si="5"/>
        <v>20</v>
      </c>
      <c r="I32" s="14">
        <f>H32/B3</f>
        <v>1</v>
      </c>
      <c r="J32" s="2">
        <v>0.0</v>
      </c>
      <c r="K32" s="2">
        <v>0.0</v>
      </c>
      <c r="L32" s="2">
        <v>0.0</v>
      </c>
      <c r="M32" s="7"/>
      <c r="N32" s="7"/>
    </row>
    <row r="33">
      <c r="A33" s="12">
        <v>46272.0</v>
      </c>
      <c r="B33" s="6" t="s">
        <v>61</v>
      </c>
      <c r="C33" s="2">
        <v>0.0</v>
      </c>
      <c r="D33" s="16">
        <f t="shared" si="3"/>
        <v>20</v>
      </c>
      <c r="E33" s="17">
        <f>D33/B1</f>
        <v>1</v>
      </c>
      <c r="F33" s="16">
        <f t="shared" si="4"/>
        <v>20</v>
      </c>
      <c r="G33" s="17">
        <f>F33/B2</f>
        <v>1</v>
      </c>
      <c r="H33" s="15">
        <f t="shared" si="5"/>
        <v>20</v>
      </c>
      <c r="I33" s="14">
        <f>H33/B3</f>
        <v>1</v>
      </c>
      <c r="J33" s="2">
        <v>0.0</v>
      </c>
      <c r="K33" s="2">
        <v>0.0</v>
      </c>
      <c r="L33" s="2">
        <v>0.0</v>
      </c>
      <c r="M33" s="7"/>
      <c r="N33" s="7"/>
    </row>
    <row r="34">
      <c r="A34" s="12">
        <v>46272.0</v>
      </c>
      <c r="B34" s="6" t="s">
        <v>62</v>
      </c>
      <c r="C34" s="2">
        <v>0.0</v>
      </c>
      <c r="D34" s="16">
        <f t="shared" si="3"/>
        <v>20</v>
      </c>
      <c r="E34" s="17">
        <f>D34/B1</f>
        <v>1</v>
      </c>
      <c r="F34" s="16">
        <f t="shared" si="4"/>
        <v>20</v>
      </c>
      <c r="G34" s="17">
        <f>F34/B2</f>
        <v>1</v>
      </c>
      <c r="H34" s="15">
        <f t="shared" si="5"/>
        <v>20</v>
      </c>
      <c r="I34" s="14">
        <f>H34/B3</f>
        <v>1</v>
      </c>
      <c r="J34" s="2">
        <v>0.0</v>
      </c>
      <c r="K34" s="2">
        <v>0.0</v>
      </c>
      <c r="L34" s="2">
        <v>0.0</v>
      </c>
      <c r="M34" s="7"/>
      <c r="N34" s="7"/>
    </row>
    <row r="35">
      <c r="A35" s="12">
        <v>46272.0</v>
      </c>
      <c r="B35" s="6" t="s">
        <v>63</v>
      </c>
      <c r="C35" s="2">
        <v>0.0</v>
      </c>
      <c r="D35" s="16">
        <f t="shared" si="3"/>
        <v>20</v>
      </c>
      <c r="E35" s="17">
        <f>D35/B1</f>
        <v>1</v>
      </c>
      <c r="F35" s="16">
        <f t="shared" si="4"/>
        <v>20</v>
      </c>
      <c r="G35" s="17">
        <f>F35/B2</f>
        <v>1</v>
      </c>
      <c r="H35" s="15">
        <f t="shared" si="5"/>
        <v>20</v>
      </c>
      <c r="I35" s="14">
        <f>H35/B3</f>
        <v>1</v>
      </c>
      <c r="J35" s="2">
        <v>0.0</v>
      </c>
      <c r="K35" s="2">
        <v>0.0</v>
      </c>
      <c r="L35" s="2">
        <v>0.0</v>
      </c>
      <c r="M35" s="7"/>
      <c r="N35" s="7"/>
    </row>
    <row r="36">
      <c r="A36" s="12">
        <v>46273.0</v>
      </c>
      <c r="B36" s="6" t="s">
        <v>61</v>
      </c>
      <c r="C36" s="2">
        <v>0.0</v>
      </c>
      <c r="D36" s="16">
        <f t="shared" si="3"/>
        <v>20</v>
      </c>
      <c r="E36" s="17">
        <f>D36/B1</f>
        <v>1</v>
      </c>
      <c r="F36" s="16">
        <f t="shared" si="4"/>
        <v>20</v>
      </c>
      <c r="G36" s="17">
        <f>F36/B2</f>
        <v>1</v>
      </c>
      <c r="H36" s="15">
        <f t="shared" si="5"/>
        <v>20</v>
      </c>
      <c r="I36" s="14">
        <f>H36/B3</f>
        <v>1</v>
      </c>
      <c r="J36" s="2">
        <v>0.0</v>
      </c>
      <c r="K36" s="2">
        <v>0.0</v>
      </c>
      <c r="L36" s="2">
        <v>0.0</v>
      </c>
      <c r="M36" s="7"/>
      <c r="N36" s="7"/>
    </row>
    <row r="37">
      <c r="A37" s="12">
        <v>46273.0</v>
      </c>
      <c r="B37" s="6" t="s">
        <v>62</v>
      </c>
      <c r="C37" s="2">
        <v>0.0</v>
      </c>
      <c r="D37" s="16">
        <f t="shared" si="3"/>
        <v>20</v>
      </c>
      <c r="E37" s="17">
        <f>D37/B1</f>
        <v>1</v>
      </c>
      <c r="F37" s="16">
        <f t="shared" si="4"/>
        <v>20</v>
      </c>
      <c r="G37" s="17">
        <f>F37/B2</f>
        <v>1</v>
      </c>
      <c r="H37" s="15">
        <f t="shared" si="5"/>
        <v>20</v>
      </c>
      <c r="I37" s="14">
        <f>H37/B3</f>
        <v>1</v>
      </c>
      <c r="J37" s="2">
        <v>0.0</v>
      </c>
      <c r="K37" s="2">
        <v>0.0</v>
      </c>
      <c r="L37" s="2">
        <v>0.0</v>
      </c>
      <c r="M37" s="7"/>
      <c r="N37" s="7"/>
    </row>
    <row r="38">
      <c r="A38" s="12">
        <v>46273.0</v>
      </c>
      <c r="B38" s="6" t="s">
        <v>63</v>
      </c>
      <c r="C38" s="2">
        <v>0.0</v>
      </c>
      <c r="D38" s="16">
        <f t="shared" si="3"/>
        <v>20</v>
      </c>
      <c r="E38" s="17">
        <f>D38/B1</f>
        <v>1</v>
      </c>
      <c r="F38" s="16">
        <f t="shared" si="4"/>
        <v>20</v>
      </c>
      <c r="G38" s="17">
        <f>F38/B2</f>
        <v>1</v>
      </c>
      <c r="H38" s="15">
        <f t="shared" si="5"/>
        <v>20</v>
      </c>
      <c r="I38" s="14">
        <f>H38/B3</f>
        <v>1</v>
      </c>
      <c r="J38" s="2">
        <v>0.0</v>
      </c>
      <c r="K38" s="2">
        <v>0.0</v>
      </c>
      <c r="L38" s="2">
        <v>0.0</v>
      </c>
      <c r="M38" s="7"/>
      <c r="N38" s="7"/>
    </row>
    <row r="39">
      <c r="A39" s="12">
        <v>46274.0</v>
      </c>
      <c r="B39" s="6" t="s">
        <v>61</v>
      </c>
      <c r="C39" s="2">
        <v>0.0</v>
      </c>
      <c r="D39" s="16">
        <f t="shared" si="3"/>
        <v>20</v>
      </c>
      <c r="E39" s="17">
        <f>D39/B1</f>
        <v>1</v>
      </c>
      <c r="F39" s="16">
        <f t="shared" si="4"/>
        <v>20</v>
      </c>
      <c r="G39" s="17">
        <f>F39/B2</f>
        <v>1</v>
      </c>
      <c r="H39" s="15">
        <f t="shared" si="5"/>
        <v>20</v>
      </c>
      <c r="I39" s="14">
        <f>H39/B3</f>
        <v>1</v>
      </c>
      <c r="J39" s="2">
        <v>0.0</v>
      </c>
      <c r="K39" s="2">
        <v>0.0</v>
      </c>
      <c r="L39" s="2">
        <v>0.0</v>
      </c>
      <c r="M39" s="7"/>
      <c r="N39" s="7"/>
    </row>
    <row r="40">
      <c r="A40" s="12">
        <v>46274.0</v>
      </c>
      <c r="B40" s="6" t="s">
        <v>62</v>
      </c>
      <c r="C40" s="2">
        <v>0.0</v>
      </c>
      <c r="D40" s="16">
        <f t="shared" si="3"/>
        <v>20</v>
      </c>
      <c r="E40" s="17">
        <f>D40/B1</f>
        <v>1</v>
      </c>
      <c r="F40" s="16">
        <f t="shared" si="4"/>
        <v>20</v>
      </c>
      <c r="G40" s="17">
        <f>F40/B2</f>
        <v>1</v>
      </c>
      <c r="H40" s="15">
        <f t="shared" si="5"/>
        <v>20</v>
      </c>
      <c r="I40" s="14">
        <f>H40/B3</f>
        <v>1</v>
      </c>
      <c r="J40" s="2">
        <v>0.0</v>
      </c>
      <c r="K40" s="2">
        <v>0.0</v>
      </c>
      <c r="L40" s="2">
        <v>0.0</v>
      </c>
      <c r="M40" s="7"/>
      <c r="N40" s="7"/>
    </row>
    <row r="41">
      <c r="A41" s="12">
        <v>46274.0</v>
      </c>
      <c r="B41" s="6" t="s">
        <v>63</v>
      </c>
      <c r="C41" s="2">
        <v>0.0</v>
      </c>
      <c r="D41" s="16">
        <f t="shared" si="3"/>
        <v>20</v>
      </c>
      <c r="E41" s="17">
        <f>D41/B1</f>
        <v>1</v>
      </c>
      <c r="F41" s="16">
        <f t="shared" si="4"/>
        <v>20</v>
      </c>
      <c r="G41" s="17">
        <f>F41/B2</f>
        <v>1</v>
      </c>
      <c r="H41" s="15">
        <f t="shared" si="5"/>
        <v>20</v>
      </c>
      <c r="I41" s="14">
        <f>H41/B3</f>
        <v>1</v>
      </c>
      <c r="J41" s="2">
        <v>0.0</v>
      </c>
      <c r="K41" s="2">
        <v>0.0</v>
      </c>
      <c r="L41" s="2">
        <v>0.0</v>
      </c>
      <c r="M41" s="7"/>
      <c r="N41" s="7"/>
    </row>
    <row r="42">
      <c r="A42" s="12">
        <v>46275.0</v>
      </c>
      <c r="B42" s="6" t="s">
        <v>61</v>
      </c>
      <c r="C42" s="2">
        <v>0.0</v>
      </c>
      <c r="D42" s="16">
        <f t="shared" si="3"/>
        <v>20</v>
      </c>
      <c r="E42" s="17">
        <f>D42/B1</f>
        <v>1</v>
      </c>
      <c r="F42" s="16">
        <f t="shared" si="4"/>
        <v>20</v>
      </c>
      <c r="G42" s="17">
        <f>F42/B2</f>
        <v>1</v>
      </c>
      <c r="H42" s="15">
        <f t="shared" si="5"/>
        <v>20</v>
      </c>
      <c r="I42" s="14">
        <f>H42/B3</f>
        <v>1</v>
      </c>
      <c r="J42" s="2">
        <v>0.0</v>
      </c>
      <c r="K42" s="2">
        <v>0.0</v>
      </c>
      <c r="L42" s="2">
        <v>0.0</v>
      </c>
      <c r="M42" s="7"/>
      <c r="N42" s="7"/>
    </row>
    <row r="43">
      <c r="A43" s="12">
        <v>46275.0</v>
      </c>
      <c r="B43" s="6" t="s">
        <v>62</v>
      </c>
      <c r="C43" s="2">
        <v>0.0</v>
      </c>
      <c r="D43" s="16">
        <f t="shared" si="3"/>
        <v>20</v>
      </c>
      <c r="E43" s="17">
        <f>D43/B1</f>
        <v>1</v>
      </c>
      <c r="F43" s="16">
        <f t="shared" si="4"/>
        <v>20</v>
      </c>
      <c r="G43" s="17">
        <f>F43/B2</f>
        <v>1</v>
      </c>
      <c r="H43" s="15">
        <f t="shared" si="5"/>
        <v>20</v>
      </c>
      <c r="I43" s="14">
        <f>H43/B3</f>
        <v>1</v>
      </c>
      <c r="J43" s="2">
        <v>0.0</v>
      </c>
      <c r="K43" s="2">
        <v>0.0</v>
      </c>
      <c r="L43" s="2">
        <v>0.0</v>
      </c>
      <c r="M43" s="7"/>
      <c r="N43" s="7"/>
    </row>
    <row r="44">
      <c r="A44" s="12">
        <v>46275.0</v>
      </c>
      <c r="B44" s="6" t="s">
        <v>63</v>
      </c>
      <c r="C44" s="2">
        <v>0.0</v>
      </c>
      <c r="D44" s="16">
        <f t="shared" si="3"/>
        <v>20</v>
      </c>
      <c r="E44" s="17">
        <f>D44/B1</f>
        <v>1</v>
      </c>
      <c r="F44" s="16">
        <f t="shared" si="4"/>
        <v>20</v>
      </c>
      <c r="G44" s="17">
        <f>F44/B2</f>
        <v>1</v>
      </c>
      <c r="H44" s="15">
        <f t="shared" si="5"/>
        <v>20</v>
      </c>
      <c r="I44" s="14">
        <f>H44/B3</f>
        <v>1</v>
      </c>
      <c r="J44" s="2">
        <v>0.0</v>
      </c>
      <c r="K44" s="2">
        <v>0.0</v>
      </c>
      <c r="L44" s="2">
        <v>0.0</v>
      </c>
      <c r="M44" s="7"/>
      <c r="N44" s="7"/>
    </row>
    <row r="45">
      <c r="A45" s="12">
        <v>46276.0</v>
      </c>
      <c r="B45" s="6" t="s">
        <v>61</v>
      </c>
      <c r="C45" s="2">
        <v>0.0</v>
      </c>
      <c r="D45" s="16">
        <f t="shared" si="3"/>
        <v>20</v>
      </c>
      <c r="E45" s="17">
        <f>D45/B1</f>
        <v>1</v>
      </c>
      <c r="F45" s="16">
        <f t="shared" si="4"/>
        <v>20</v>
      </c>
      <c r="G45" s="17">
        <f>F45/B2</f>
        <v>1</v>
      </c>
      <c r="H45" s="15">
        <f t="shared" si="5"/>
        <v>20</v>
      </c>
      <c r="I45" s="14">
        <f>H45/B3</f>
        <v>1</v>
      </c>
      <c r="J45" s="2">
        <v>0.0</v>
      </c>
      <c r="K45" s="2">
        <v>0.0</v>
      </c>
      <c r="L45" s="2">
        <v>0.0</v>
      </c>
      <c r="M45" s="7"/>
      <c r="N45" s="7"/>
    </row>
    <row r="46">
      <c r="A46" s="12">
        <v>46276.0</v>
      </c>
      <c r="B46" s="6" t="s">
        <v>62</v>
      </c>
      <c r="C46" s="2">
        <v>0.0</v>
      </c>
      <c r="D46" s="16">
        <f t="shared" si="3"/>
        <v>20</v>
      </c>
      <c r="E46" s="17">
        <f>D46/B1</f>
        <v>1</v>
      </c>
      <c r="F46" s="16">
        <f t="shared" si="4"/>
        <v>20</v>
      </c>
      <c r="G46" s="17">
        <f>F46/B2</f>
        <v>1</v>
      </c>
      <c r="H46" s="15">
        <f t="shared" si="5"/>
        <v>20</v>
      </c>
      <c r="I46" s="14">
        <f>H46/B3</f>
        <v>1</v>
      </c>
      <c r="J46" s="2">
        <v>0.0</v>
      </c>
      <c r="K46" s="2">
        <v>0.0</v>
      </c>
      <c r="L46" s="2">
        <v>0.0</v>
      </c>
      <c r="M46" s="7"/>
      <c r="N46" s="7"/>
    </row>
    <row r="47">
      <c r="A47" s="12">
        <v>46276.0</v>
      </c>
      <c r="B47" s="6" t="s">
        <v>63</v>
      </c>
      <c r="C47" s="2">
        <v>0.0</v>
      </c>
      <c r="D47" s="16">
        <f t="shared" si="3"/>
        <v>20</v>
      </c>
      <c r="E47" s="17">
        <f>D47/B1</f>
        <v>1</v>
      </c>
      <c r="F47" s="16">
        <f t="shared" si="4"/>
        <v>20</v>
      </c>
      <c r="G47" s="17">
        <f>F47/B2</f>
        <v>1</v>
      </c>
      <c r="H47" s="15">
        <f t="shared" si="5"/>
        <v>20</v>
      </c>
      <c r="I47" s="14">
        <f>H47/B3</f>
        <v>1</v>
      </c>
      <c r="J47" s="2">
        <v>0.0</v>
      </c>
      <c r="K47" s="2">
        <v>0.0</v>
      </c>
      <c r="L47" s="2">
        <v>0.0</v>
      </c>
      <c r="M47" s="7"/>
      <c r="N47" s="7"/>
    </row>
    <row r="48">
      <c r="A48" s="12">
        <v>46277.0</v>
      </c>
      <c r="B48" s="6" t="s">
        <v>61</v>
      </c>
      <c r="C48" s="2">
        <v>0.0</v>
      </c>
      <c r="D48" s="16">
        <f t="shared" si="3"/>
        <v>20</v>
      </c>
      <c r="E48" s="17">
        <f>D48/B1</f>
        <v>1</v>
      </c>
      <c r="F48" s="16">
        <f t="shared" si="4"/>
        <v>20</v>
      </c>
      <c r="G48" s="17">
        <f>F48/B2</f>
        <v>1</v>
      </c>
      <c r="H48" s="15">
        <f t="shared" si="5"/>
        <v>20</v>
      </c>
      <c r="I48" s="14">
        <f>H48/B3</f>
        <v>1</v>
      </c>
      <c r="J48" s="2">
        <v>0.0</v>
      </c>
      <c r="K48" s="2">
        <v>0.0</v>
      </c>
      <c r="L48" s="2">
        <v>0.0</v>
      </c>
      <c r="M48" s="7"/>
      <c r="N48" s="7"/>
    </row>
    <row r="49">
      <c r="A49" s="12">
        <v>46277.0</v>
      </c>
      <c r="B49" s="6" t="s">
        <v>62</v>
      </c>
      <c r="C49" s="2">
        <v>0.0</v>
      </c>
      <c r="D49" s="16">
        <f t="shared" si="3"/>
        <v>20</v>
      </c>
      <c r="E49" s="17">
        <f>D49/B1</f>
        <v>1</v>
      </c>
      <c r="F49" s="16">
        <f t="shared" si="4"/>
        <v>20</v>
      </c>
      <c r="G49" s="17">
        <f>F49/B2</f>
        <v>1</v>
      </c>
      <c r="H49" s="15">
        <f t="shared" si="5"/>
        <v>20</v>
      </c>
      <c r="I49" s="14">
        <f>H49/B3</f>
        <v>1</v>
      </c>
      <c r="J49" s="2">
        <v>0.0</v>
      </c>
      <c r="K49" s="2">
        <v>0.0</v>
      </c>
      <c r="L49" s="2">
        <v>0.0</v>
      </c>
      <c r="M49" s="7"/>
      <c r="N49" s="7"/>
    </row>
    <row r="50">
      <c r="A50" s="12">
        <v>46277.0</v>
      </c>
      <c r="B50" s="6" t="s">
        <v>63</v>
      </c>
      <c r="C50" s="2">
        <v>0.0</v>
      </c>
      <c r="D50" s="16">
        <f t="shared" si="3"/>
        <v>20</v>
      </c>
      <c r="E50" s="17">
        <f>D50/B1</f>
        <v>1</v>
      </c>
      <c r="F50" s="16">
        <f t="shared" si="4"/>
        <v>20</v>
      </c>
      <c r="G50" s="17">
        <f>F50/B2</f>
        <v>1</v>
      </c>
      <c r="H50" s="15">
        <f t="shared" si="5"/>
        <v>20</v>
      </c>
      <c r="I50" s="14">
        <f>H50/B3</f>
        <v>1</v>
      </c>
      <c r="J50" s="2">
        <v>0.0</v>
      </c>
      <c r="K50" s="2">
        <v>0.0</v>
      </c>
      <c r="L50" s="2">
        <v>0.0</v>
      </c>
      <c r="M50" s="7"/>
      <c r="N50" s="7"/>
    </row>
    <row r="51">
      <c r="A51" s="12">
        <v>46278.0</v>
      </c>
      <c r="B51" s="6" t="s">
        <v>61</v>
      </c>
      <c r="C51" s="2">
        <v>0.0</v>
      </c>
      <c r="D51" s="16">
        <f t="shared" si="3"/>
        <v>20</v>
      </c>
      <c r="E51" s="17">
        <f>D51/B1</f>
        <v>1</v>
      </c>
      <c r="F51" s="16">
        <f t="shared" si="4"/>
        <v>20</v>
      </c>
      <c r="G51" s="17">
        <f>F51/B2</f>
        <v>1</v>
      </c>
      <c r="H51" s="15">
        <f t="shared" si="5"/>
        <v>20</v>
      </c>
      <c r="I51" s="14">
        <f>H51/B3</f>
        <v>1</v>
      </c>
      <c r="J51" s="2">
        <v>0.0</v>
      </c>
      <c r="K51" s="2">
        <v>0.0</v>
      </c>
      <c r="L51" s="2">
        <v>0.0</v>
      </c>
      <c r="M51" s="7"/>
      <c r="N51" s="7"/>
    </row>
    <row r="52">
      <c r="A52" s="12">
        <v>46278.0</v>
      </c>
      <c r="B52" s="6" t="s">
        <v>62</v>
      </c>
      <c r="C52" s="2">
        <v>0.0</v>
      </c>
      <c r="D52" s="16">
        <f t="shared" si="3"/>
        <v>20</v>
      </c>
      <c r="E52" s="17">
        <f>D52/B1</f>
        <v>1</v>
      </c>
      <c r="F52" s="16">
        <f t="shared" si="4"/>
        <v>20</v>
      </c>
      <c r="G52" s="17">
        <f>F52/B2</f>
        <v>1</v>
      </c>
      <c r="H52" s="15">
        <f t="shared" si="5"/>
        <v>20</v>
      </c>
      <c r="I52" s="14">
        <f>H52/B3</f>
        <v>1</v>
      </c>
      <c r="J52" s="2">
        <v>0.0</v>
      </c>
      <c r="K52" s="2">
        <v>0.0</v>
      </c>
      <c r="L52" s="2">
        <v>0.0</v>
      </c>
      <c r="M52" s="7"/>
      <c r="N52" s="7"/>
    </row>
    <row r="53">
      <c r="A53" s="12">
        <v>46278.0</v>
      </c>
      <c r="B53" s="6" t="s">
        <v>63</v>
      </c>
      <c r="C53" s="2">
        <v>0.0</v>
      </c>
      <c r="D53" s="16">
        <f t="shared" si="3"/>
        <v>20</v>
      </c>
      <c r="E53" s="17">
        <f>D53/B1</f>
        <v>1</v>
      </c>
      <c r="F53" s="16">
        <f t="shared" si="4"/>
        <v>20</v>
      </c>
      <c r="G53" s="17">
        <f>F53/B2</f>
        <v>1</v>
      </c>
      <c r="H53" s="15">
        <f t="shared" si="5"/>
        <v>20</v>
      </c>
      <c r="I53" s="14">
        <f>H53/B3</f>
        <v>1</v>
      </c>
      <c r="J53" s="2">
        <v>0.0</v>
      </c>
      <c r="K53" s="2">
        <v>0.0</v>
      </c>
      <c r="L53" s="2">
        <v>0.0</v>
      </c>
      <c r="M53" s="7"/>
      <c r="N53" s="7"/>
    </row>
    <row r="54">
      <c r="A54" s="12">
        <v>46279.0</v>
      </c>
      <c r="B54" s="6" t="s">
        <v>61</v>
      </c>
      <c r="C54" s="2">
        <v>0.0</v>
      </c>
      <c r="D54" s="16">
        <f t="shared" si="3"/>
        <v>20</v>
      </c>
      <c r="E54" s="17">
        <f>D54/B1</f>
        <v>1</v>
      </c>
      <c r="F54" s="16">
        <f t="shared" si="4"/>
        <v>20</v>
      </c>
      <c r="G54" s="17">
        <f>F54/B2</f>
        <v>1</v>
      </c>
      <c r="H54" s="15">
        <f t="shared" si="5"/>
        <v>20</v>
      </c>
      <c r="I54" s="14">
        <f>H54/B3</f>
        <v>1</v>
      </c>
      <c r="J54" s="2">
        <v>0.0</v>
      </c>
      <c r="K54" s="2">
        <v>0.0</v>
      </c>
      <c r="L54" s="2">
        <v>0.0</v>
      </c>
      <c r="M54" s="7"/>
      <c r="N54" s="7"/>
    </row>
    <row r="55">
      <c r="A55" s="12">
        <v>46279.0</v>
      </c>
      <c r="B55" s="6" t="s">
        <v>62</v>
      </c>
      <c r="C55" s="2">
        <v>0.0</v>
      </c>
      <c r="D55" s="16">
        <f t="shared" si="3"/>
        <v>20</v>
      </c>
      <c r="E55" s="17">
        <f>D55/B1</f>
        <v>1</v>
      </c>
      <c r="F55" s="16">
        <f t="shared" si="4"/>
        <v>20</v>
      </c>
      <c r="G55" s="17">
        <f>F55/B2</f>
        <v>1</v>
      </c>
      <c r="H55" s="15">
        <f t="shared" si="5"/>
        <v>20</v>
      </c>
      <c r="I55" s="14">
        <f>H55/B3</f>
        <v>1</v>
      </c>
      <c r="J55" s="2">
        <v>0.0</v>
      </c>
      <c r="K55" s="2">
        <v>0.0</v>
      </c>
      <c r="L55" s="2">
        <v>0.0</v>
      </c>
      <c r="M55" s="7"/>
      <c r="N55" s="7"/>
    </row>
    <row r="56">
      <c r="A56" s="12">
        <v>46279.0</v>
      </c>
      <c r="B56" s="6" t="s">
        <v>63</v>
      </c>
      <c r="C56" s="2">
        <v>0.0</v>
      </c>
      <c r="D56" s="16">
        <f t="shared" si="3"/>
        <v>20</v>
      </c>
      <c r="E56" s="17">
        <f>D56/B1</f>
        <v>1</v>
      </c>
      <c r="F56" s="16">
        <f t="shared" si="4"/>
        <v>20</v>
      </c>
      <c r="G56" s="17">
        <f>F56/B2</f>
        <v>1</v>
      </c>
      <c r="H56" s="15">
        <f t="shared" si="5"/>
        <v>20</v>
      </c>
      <c r="I56" s="14">
        <f>H56/B3</f>
        <v>1</v>
      </c>
      <c r="J56" s="2">
        <v>0.0</v>
      </c>
      <c r="K56" s="2">
        <v>0.0</v>
      </c>
      <c r="L56" s="2">
        <v>0.0</v>
      </c>
      <c r="M56" s="7"/>
      <c r="N56" s="7"/>
    </row>
    <row r="57">
      <c r="A57" s="12">
        <v>46280.0</v>
      </c>
      <c r="B57" s="6" t="s">
        <v>61</v>
      </c>
      <c r="C57" s="2">
        <v>0.0</v>
      </c>
      <c r="D57" s="16">
        <f t="shared" si="3"/>
        <v>20</v>
      </c>
      <c r="E57" s="17">
        <f>D57/B1</f>
        <v>1</v>
      </c>
      <c r="F57" s="16">
        <f t="shared" si="4"/>
        <v>20</v>
      </c>
      <c r="G57" s="17">
        <f>F57/B2</f>
        <v>1</v>
      </c>
      <c r="H57" s="15">
        <f t="shared" si="5"/>
        <v>20</v>
      </c>
      <c r="I57" s="14">
        <f>H57/B3</f>
        <v>1</v>
      </c>
      <c r="J57" s="2">
        <v>0.0</v>
      </c>
      <c r="K57" s="2">
        <v>0.0</v>
      </c>
      <c r="L57" s="2">
        <v>0.0</v>
      </c>
      <c r="M57" s="7"/>
      <c r="N57" s="7"/>
    </row>
    <row r="58">
      <c r="A58" s="12">
        <v>46280.0</v>
      </c>
      <c r="B58" s="6" t="s">
        <v>62</v>
      </c>
      <c r="C58" s="2">
        <v>0.0</v>
      </c>
      <c r="D58" s="16">
        <f t="shared" si="3"/>
        <v>20</v>
      </c>
      <c r="E58" s="17">
        <f>D58/B1</f>
        <v>1</v>
      </c>
      <c r="F58" s="16">
        <f t="shared" si="4"/>
        <v>20</v>
      </c>
      <c r="G58" s="17">
        <f>F58/B2</f>
        <v>1</v>
      </c>
      <c r="H58" s="15">
        <f t="shared" si="5"/>
        <v>20</v>
      </c>
      <c r="I58" s="14">
        <f>H58/B3</f>
        <v>1</v>
      </c>
      <c r="J58" s="2">
        <v>0.0</v>
      </c>
      <c r="K58" s="2">
        <v>0.0</v>
      </c>
      <c r="L58" s="2">
        <v>0.0</v>
      </c>
      <c r="M58" s="7"/>
      <c r="N58" s="7"/>
    </row>
    <row r="59">
      <c r="A59" s="12">
        <v>46280.0</v>
      </c>
      <c r="B59" s="6" t="s">
        <v>63</v>
      </c>
      <c r="C59" s="2">
        <v>0.0</v>
      </c>
      <c r="D59" s="16">
        <f t="shared" si="3"/>
        <v>20</v>
      </c>
      <c r="E59" s="17">
        <f>D59/B1</f>
        <v>1</v>
      </c>
      <c r="F59" s="16">
        <f t="shared" si="4"/>
        <v>20</v>
      </c>
      <c r="G59" s="17">
        <f>F59/B2</f>
        <v>1</v>
      </c>
      <c r="H59" s="15">
        <f t="shared" si="5"/>
        <v>20</v>
      </c>
      <c r="I59" s="14">
        <f>H59/B3</f>
        <v>1</v>
      </c>
      <c r="J59" s="2">
        <v>0.0</v>
      </c>
      <c r="K59" s="2">
        <v>0.0</v>
      </c>
      <c r="L59" s="2">
        <v>0.0</v>
      </c>
    </row>
    <row r="60">
      <c r="A60" s="12">
        <v>46281.0</v>
      </c>
      <c r="B60" s="6" t="s">
        <v>61</v>
      </c>
      <c r="C60" s="2">
        <v>0.0</v>
      </c>
      <c r="D60" s="16">
        <f t="shared" si="3"/>
        <v>20</v>
      </c>
      <c r="E60" s="17">
        <f>D60/B1</f>
        <v>1</v>
      </c>
      <c r="F60" s="16">
        <f t="shared" si="4"/>
        <v>20</v>
      </c>
      <c r="G60" s="17">
        <f>F60/B2</f>
        <v>1</v>
      </c>
      <c r="H60" s="15">
        <f t="shared" si="5"/>
        <v>20</v>
      </c>
      <c r="I60" s="14">
        <f>H60/B3</f>
        <v>1</v>
      </c>
      <c r="J60" s="2">
        <v>0.0</v>
      </c>
      <c r="K60" s="2">
        <v>0.0</v>
      </c>
      <c r="L60" s="2">
        <v>0.0</v>
      </c>
    </row>
    <row r="61">
      <c r="A61" s="12">
        <v>46281.0</v>
      </c>
      <c r="B61" s="6" t="s">
        <v>62</v>
      </c>
      <c r="C61" s="2">
        <v>0.0</v>
      </c>
      <c r="D61" s="16">
        <f t="shared" si="3"/>
        <v>20</v>
      </c>
      <c r="E61" s="17">
        <f>D61/B1</f>
        <v>1</v>
      </c>
      <c r="F61" s="16">
        <f t="shared" si="4"/>
        <v>20</v>
      </c>
      <c r="G61" s="17">
        <f>F61/B2</f>
        <v>1</v>
      </c>
      <c r="H61" s="15">
        <f t="shared" si="5"/>
        <v>20</v>
      </c>
      <c r="I61" s="14">
        <f>H61/B3</f>
        <v>1</v>
      </c>
      <c r="J61" s="2">
        <v>0.0</v>
      </c>
      <c r="K61" s="2">
        <v>0.0</v>
      </c>
      <c r="L61" s="2">
        <v>0.0</v>
      </c>
    </row>
    <row r="62">
      <c r="A62" s="12">
        <v>46281.0</v>
      </c>
      <c r="B62" s="6" t="s">
        <v>63</v>
      </c>
      <c r="C62" s="2">
        <v>0.0</v>
      </c>
      <c r="D62" s="16">
        <f t="shared" si="3"/>
        <v>20</v>
      </c>
      <c r="E62" s="17">
        <f>D62/B1</f>
        <v>1</v>
      </c>
      <c r="F62" s="16">
        <f t="shared" si="4"/>
        <v>20</v>
      </c>
      <c r="G62" s="17">
        <f>F62/B2</f>
        <v>1</v>
      </c>
      <c r="H62" s="15">
        <f t="shared" si="5"/>
        <v>20</v>
      </c>
      <c r="I62" s="14">
        <f>H62/B3</f>
        <v>1</v>
      </c>
      <c r="J62" s="2">
        <v>0.0</v>
      </c>
      <c r="K62" s="2">
        <v>0.0</v>
      </c>
      <c r="L62" s="2">
        <v>0.0</v>
      </c>
    </row>
    <row r="63">
      <c r="A63" s="12">
        <v>46282.0</v>
      </c>
      <c r="B63" s="6" t="s">
        <v>61</v>
      </c>
      <c r="C63" s="2">
        <v>0.0</v>
      </c>
      <c r="D63" s="16">
        <f t="shared" si="3"/>
        <v>20</v>
      </c>
      <c r="E63" s="17">
        <f>D63/B1</f>
        <v>1</v>
      </c>
      <c r="F63" s="16">
        <f t="shared" si="4"/>
        <v>20</v>
      </c>
      <c r="G63" s="17">
        <f>F63/B2</f>
        <v>1</v>
      </c>
      <c r="H63" s="15">
        <f t="shared" si="5"/>
        <v>20</v>
      </c>
      <c r="I63" s="14">
        <f>H63/B3</f>
        <v>1</v>
      </c>
      <c r="J63" s="2">
        <v>0.0</v>
      </c>
      <c r="K63" s="2">
        <v>0.0</v>
      </c>
      <c r="L63" s="2">
        <v>0.0</v>
      </c>
    </row>
    <row r="64">
      <c r="A64" s="12">
        <v>46282.0</v>
      </c>
      <c r="B64" s="6" t="s">
        <v>62</v>
      </c>
      <c r="C64" s="2">
        <v>0.0</v>
      </c>
      <c r="D64" s="16">
        <f t="shared" si="3"/>
        <v>20</v>
      </c>
      <c r="E64" s="17">
        <f>D64/B1</f>
        <v>1</v>
      </c>
      <c r="F64" s="16">
        <f t="shared" si="4"/>
        <v>20</v>
      </c>
      <c r="G64" s="17">
        <f>F64/B2</f>
        <v>1</v>
      </c>
      <c r="H64" s="15">
        <f t="shared" si="5"/>
        <v>20</v>
      </c>
      <c r="I64" s="14">
        <f>H64/B3</f>
        <v>1</v>
      </c>
      <c r="J64" s="2">
        <v>0.0</v>
      </c>
      <c r="K64" s="2">
        <v>0.0</v>
      </c>
      <c r="L64" s="2">
        <v>0.0</v>
      </c>
    </row>
    <row r="65">
      <c r="A65" s="12">
        <v>46282.0</v>
      </c>
      <c r="B65" s="6" t="s">
        <v>63</v>
      </c>
      <c r="C65" s="2">
        <v>0.0</v>
      </c>
      <c r="D65" s="16">
        <f t="shared" si="3"/>
        <v>20</v>
      </c>
      <c r="E65" s="17">
        <f>D65/B1</f>
        <v>1</v>
      </c>
      <c r="F65" s="16">
        <f t="shared" si="4"/>
        <v>20</v>
      </c>
      <c r="G65" s="17">
        <f>F65/B2</f>
        <v>1</v>
      </c>
      <c r="H65" s="15">
        <f t="shared" si="5"/>
        <v>20</v>
      </c>
      <c r="I65" s="14">
        <f>H65/B3</f>
        <v>1</v>
      </c>
      <c r="J65" s="2">
        <v>0.0</v>
      </c>
      <c r="K65" s="2">
        <v>0.0</v>
      </c>
      <c r="L65" s="2">
        <v>0.0</v>
      </c>
    </row>
    <row r="66">
      <c r="A66" s="12">
        <v>46283.0</v>
      </c>
      <c r="B66" s="6" t="s">
        <v>61</v>
      </c>
      <c r="C66" s="2">
        <v>0.0</v>
      </c>
      <c r="D66" s="16">
        <f t="shared" si="3"/>
        <v>20</v>
      </c>
      <c r="E66" s="17">
        <f>D66/B1</f>
        <v>1</v>
      </c>
      <c r="F66" s="16">
        <f t="shared" si="4"/>
        <v>20</v>
      </c>
      <c r="G66" s="17">
        <f>F66/B2</f>
        <v>1</v>
      </c>
      <c r="H66" s="15">
        <f t="shared" si="5"/>
        <v>20</v>
      </c>
      <c r="I66" s="14">
        <f>H66/B3</f>
        <v>1</v>
      </c>
      <c r="J66" s="2">
        <v>0.0</v>
      </c>
      <c r="K66" s="2">
        <v>0.0</v>
      </c>
      <c r="L66" s="2">
        <v>0.0</v>
      </c>
    </row>
    <row r="67">
      <c r="A67" s="12">
        <v>46283.0</v>
      </c>
      <c r="B67" s="6" t="s">
        <v>62</v>
      </c>
      <c r="C67" s="2">
        <v>0.0</v>
      </c>
      <c r="D67" s="16">
        <f t="shared" si="3"/>
        <v>20</v>
      </c>
      <c r="E67" s="17">
        <f>D67/B1</f>
        <v>1</v>
      </c>
      <c r="F67" s="16">
        <f t="shared" si="4"/>
        <v>20</v>
      </c>
      <c r="G67" s="17">
        <f>F67/B2</f>
        <v>1</v>
      </c>
      <c r="H67" s="15">
        <f t="shared" si="5"/>
        <v>20</v>
      </c>
      <c r="I67" s="14">
        <f>H67/B3</f>
        <v>1</v>
      </c>
      <c r="J67" s="2">
        <v>0.0</v>
      </c>
      <c r="K67" s="2">
        <v>0.0</v>
      </c>
      <c r="L67" s="2">
        <v>0.0</v>
      </c>
    </row>
    <row r="68">
      <c r="A68" s="12">
        <v>46283.0</v>
      </c>
      <c r="B68" s="6" t="s">
        <v>63</v>
      </c>
      <c r="C68" s="2">
        <v>0.0</v>
      </c>
      <c r="D68" s="16">
        <f t="shared" si="3"/>
        <v>20</v>
      </c>
      <c r="E68" s="17">
        <f>D68/B1</f>
        <v>1</v>
      </c>
      <c r="F68" s="16">
        <f t="shared" si="4"/>
        <v>20</v>
      </c>
      <c r="G68" s="17">
        <f>F68/B2</f>
        <v>1</v>
      </c>
      <c r="H68" s="15">
        <f t="shared" si="5"/>
        <v>20</v>
      </c>
      <c r="I68" s="14">
        <f>H68/B3</f>
        <v>1</v>
      </c>
      <c r="J68" s="2">
        <v>0.0</v>
      </c>
      <c r="K68" s="2">
        <v>0.0</v>
      </c>
      <c r="L68" s="2">
        <v>0.0</v>
      </c>
    </row>
    <row r="69">
      <c r="A69" s="12">
        <v>46284.0</v>
      </c>
      <c r="B69" s="6" t="s">
        <v>61</v>
      </c>
      <c r="C69" s="2">
        <v>0.0</v>
      </c>
      <c r="D69" s="16">
        <f t="shared" si="3"/>
        <v>20</v>
      </c>
      <c r="E69" s="17">
        <f>D69/B1</f>
        <v>1</v>
      </c>
      <c r="F69" s="16">
        <f t="shared" si="4"/>
        <v>20</v>
      </c>
      <c r="G69" s="17">
        <f>F69/B2</f>
        <v>1</v>
      </c>
      <c r="H69" s="15">
        <f t="shared" si="5"/>
        <v>20</v>
      </c>
      <c r="I69" s="14">
        <f>H69/B3</f>
        <v>1</v>
      </c>
      <c r="J69" s="2">
        <v>0.0</v>
      </c>
      <c r="K69" s="2">
        <v>0.0</v>
      </c>
      <c r="L69" s="2">
        <v>0.0</v>
      </c>
    </row>
    <row r="70">
      <c r="A70" s="12">
        <v>46284.0</v>
      </c>
      <c r="B70" s="6" t="s">
        <v>62</v>
      </c>
      <c r="C70" s="2">
        <v>0.0</v>
      </c>
      <c r="D70" s="16">
        <f t="shared" si="3"/>
        <v>20</v>
      </c>
      <c r="E70" s="17">
        <f>D70/B1</f>
        <v>1</v>
      </c>
      <c r="F70" s="16">
        <f t="shared" si="4"/>
        <v>20</v>
      </c>
      <c r="G70" s="17">
        <f>F70/B2</f>
        <v>1</v>
      </c>
      <c r="H70" s="15">
        <f t="shared" si="5"/>
        <v>20</v>
      </c>
      <c r="I70" s="14">
        <f>H70/B3</f>
        <v>1</v>
      </c>
      <c r="J70" s="2">
        <v>0.0</v>
      </c>
      <c r="K70" s="2">
        <v>0.0</v>
      </c>
      <c r="L70" s="2">
        <v>0.0</v>
      </c>
    </row>
    <row r="71">
      <c r="A71" s="12">
        <v>46284.0</v>
      </c>
      <c r="B71" s="6" t="s">
        <v>63</v>
      </c>
      <c r="C71" s="2">
        <v>0.0</v>
      </c>
      <c r="D71" s="16">
        <f t="shared" si="3"/>
        <v>20</v>
      </c>
      <c r="E71" s="17">
        <f>D71/B1</f>
        <v>1</v>
      </c>
      <c r="F71" s="16">
        <f t="shared" si="4"/>
        <v>20</v>
      </c>
      <c r="G71" s="17">
        <f>F71/B2</f>
        <v>1</v>
      </c>
      <c r="H71" s="15">
        <f t="shared" si="5"/>
        <v>20</v>
      </c>
      <c r="I71" s="14">
        <f>H71/B3</f>
        <v>1</v>
      </c>
      <c r="J71" s="2">
        <v>0.0</v>
      </c>
      <c r="K71" s="2">
        <v>0.0</v>
      </c>
      <c r="L71" s="2">
        <v>0.0</v>
      </c>
    </row>
    <row r="72">
      <c r="A72" s="12">
        <v>46285.0</v>
      </c>
      <c r="B72" s="6" t="s">
        <v>61</v>
      </c>
      <c r="C72" s="2">
        <v>0.0</v>
      </c>
      <c r="D72" s="16">
        <f t="shared" si="3"/>
        <v>20</v>
      </c>
      <c r="E72" s="17">
        <f>D72/B1</f>
        <v>1</v>
      </c>
      <c r="F72" s="16">
        <f t="shared" si="4"/>
        <v>20</v>
      </c>
      <c r="G72" s="17">
        <f>F72/B2</f>
        <v>1</v>
      </c>
      <c r="H72" s="15">
        <f t="shared" si="5"/>
        <v>20</v>
      </c>
      <c r="I72" s="14">
        <f>H72/B3</f>
        <v>1</v>
      </c>
      <c r="J72" s="2">
        <v>0.0</v>
      </c>
      <c r="K72" s="2">
        <v>0.0</v>
      </c>
      <c r="L72" s="2">
        <v>0.0</v>
      </c>
    </row>
    <row r="73">
      <c r="A73" s="12">
        <v>46285.0</v>
      </c>
      <c r="B73" s="6" t="s">
        <v>62</v>
      </c>
      <c r="C73" s="2">
        <v>0.0</v>
      </c>
      <c r="D73" s="16">
        <f t="shared" si="3"/>
        <v>20</v>
      </c>
      <c r="E73" s="17">
        <f>D73/B1</f>
        <v>1</v>
      </c>
      <c r="F73" s="16">
        <f t="shared" si="4"/>
        <v>20</v>
      </c>
      <c r="G73" s="17">
        <f>F73/B2</f>
        <v>1</v>
      </c>
      <c r="H73" s="15">
        <f t="shared" si="5"/>
        <v>20</v>
      </c>
      <c r="I73" s="14">
        <f>H73/B3</f>
        <v>1</v>
      </c>
      <c r="J73" s="2">
        <v>0.0</v>
      </c>
      <c r="K73" s="2">
        <v>0.0</v>
      </c>
      <c r="L73" s="2">
        <v>0.0</v>
      </c>
    </row>
    <row r="74">
      <c r="A74" s="12">
        <v>46285.0</v>
      </c>
      <c r="B74" s="6" t="s">
        <v>63</v>
      </c>
      <c r="C74" s="2">
        <v>0.0</v>
      </c>
      <c r="D74" s="16">
        <f t="shared" si="3"/>
        <v>20</v>
      </c>
      <c r="E74" s="17">
        <f>D74/B1</f>
        <v>1</v>
      </c>
      <c r="F74" s="16">
        <f t="shared" si="4"/>
        <v>20</v>
      </c>
      <c r="G74" s="17">
        <f>F74/B2</f>
        <v>1</v>
      </c>
      <c r="H74" s="15">
        <f t="shared" si="5"/>
        <v>20</v>
      </c>
      <c r="I74" s="14">
        <f>H74/B3</f>
        <v>1</v>
      </c>
      <c r="J74" s="2">
        <v>0.0</v>
      </c>
      <c r="K74" s="2">
        <v>0.0</v>
      </c>
      <c r="L74" s="2">
        <v>0.0</v>
      </c>
    </row>
    <row r="75">
      <c r="A75" s="12">
        <v>46286.0</v>
      </c>
      <c r="B75" s="6" t="s">
        <v>61</v>
      </c>
      <c r="C75" s="2">
        <v>0.0</v>
      </c>
      <c r="D75" s="16">
        <f t="shared" si="3"/>
        <v>20</v>
      </c>
      <c r="E75" s="17">
        <f>D75/B1</f>
        <v>1</v>
      </c>
      <c r="F75" s="16">
        <f t="shared" si="4"/>
        <v>20</v>
      </c>
      <c r="G75" s="17">
        <f>F75/B2</f>
        <v>1</v>
      </c>
      <c r="H75" s="15">
        <f t="shared" si="5"/>
        <v>20</v>
      </c>
      <c r="I75" s="14">
        <f>H75/B3</f>
        <v>1</v>
      </c>
      <c r="J75" s="2">
        <v>0.0</v>
      </c>
      <c r="K75" s="2">
        <v>0.0</v>
      </c>
      <c r="L75" s="2">
        <v>0.0</v>
      </c>
    </row>
    <row r="76">
      <c r="A76" s="12">
        <v>46286.0</v>
      </c>
      <c r="B76" s="6" t="s">
        <v>62</v>
      </c>
      <c r="C76" s="2">
        <v>0.0</v>
      </c>
      <c r="D76" s="16">
        <f t="shared" si="3"/>
        <v>20</v>
      </c>
      <c r="E76" s="17">
        <f>D76/B1</f>
        <v>1</v>
      </c>
      <c r="F76" s="16">
        <f t="shared" si="4"/>
        <v>20</v>
      </c>
      <c r="G76" s="17">
        <f>F76/B2</f>
        <v>1</v>
      </c>
      <c r="H76" s="15">
        <f t="shared" si="5"/>
        <v>20</v>
      </c>
      <c r="I76" s="14">
        <f>H76/B3</f>
        <v>1</v>
      </c>
      <c r="J76" s="2">
        <v>0.0</v>
      </c>
      <c r="K76" s="2">
        <v>0.0</v>
      </c>
      <c r="L76" s="2">
        <v>0.0</v>
      </c>
    </row>
    <row r="77">
      <c r="A77" s="12">
        <v>46286.0</v>
      </c>
      <c r="B77" s="6" t="s">
        <v>63</v>
      </c>
      <c r="C77" s="2">
        <v>0.0</v>
      </c>
      <c r="D77" s="16">
        <f t="shared" si="3"/>
        <v>20</v>
      </c>
      <c r="E77" s="17">
        <f>D77/B1</f>
        <v>1</v>
      </c>
      <c r="F77" s="16">
        <f t="shared" si="4"/>
        <v>20</v>
      </c>
      <c r="G77" s="17">
        <f>F77/B2</f>
        <v>1</v>
      </c>
      <c r="H77" s="15">
        <f t="shared" si="5"/>
        <v>20</v>
      </c>
      <c r="I77" s="14">
        <f>H77/B3</f>
        <v>1</v>
      </c>
      <c r="J77" s="2">
        <v>0.0</v>
      </c>
      <c r="K77" s="2">
        <v>0.0</v>
      </c>
      <c r="L77" s="2">
        <v>0.0</v>
      </c>
    </row>
    <row r="78">
      <c r="A78" s="12">
        <v>46287.0</v>
      </c>
      <c r="B78" s="6" t="s">
        <v>61</v>
      </c>
      <c r="C78" s="2">
        <v>0.0</v>
      </c>
      <c r="D78" s="16">
        <f t="shared" si="3"/>
        <v>20</v>
      </c>
      <c r="E78" s="17">
        <f>D78/B1</f>
        <v>1</v>
      </c>
      <c r="F78" s="16">
        <f t="shared" si="4"/>
        <v>20</v>
      </c>
      <c r="G78" s="17">
        <f>F78/B2</f>
        <v>1</v>
      </c>
      <c r="H78" s="15">
        <f t="shared" si="5"/>
        <v>20</v>
      </c>
      <c r="I78" s="14">
        <f>H78/B3</f>
        <v>1</v>
      </c>
      <c r="J78" s="2">
        <v>0.0</v>
      </c>
      <c r="K78" s="2">
        <v>0.0</v>
      </c>
      <c r="L78" s="2">
        <v>0.0</v>
      </c>
    </row>
    <row r="79">
      <c r="A79" s="12">
        <v>46287.0</v>
      </c>
      <c r="B79" s="6" t="s">
        <v>62</v>
      </c>
      <c r="C79" s="2">
        <v>0.0</v>
      </c>
      <c r="D79" s="16">
        <f t="shared" si="3"/>
        <v>20</v>
      </c>
      <c r="E79" s="17">
        <f>D79/B1</f>
        <v>1</v>
      </c>
      <c r="F79" s="16">
        <f t="shared" si="4"/>
        <v>20</v>
      </c>
      <c r="G79" s="17">
        <f>F79/B2</f>
        <v>1</v>
      </c>
      <c r="H79" s="15">
        <f t="shared" si="5"/>
        <v>20</v>
      </c>
      <c r="I79" s="14">
        <f>H79/B3</f>
        <v>1</v>
      </c>
      <c r="J79" s="2">
        <v>0.0</v>
      </c>
      <c r="K79" s="2">
        <v>0.0</v>
      </c>
      <c r="L79" s="2">
        <v>0.0</v>
      </c>
    </row>
    <row r="80">
      <c r="A80" s="12">
        <v>46287.0</v>
      </c>
      <c r="B80" s="6" t="s">
        <v>63</v>
      </c>
      <c r="C80" s="2">
        <v>0.0</v>
      </c>
      <c r="D80" s="16">
        <f t="shared" si="3"/>
        <v>20</v>
      </c>
      <c r="E80" s="17">
        <f>D80/B1</f>
        <v>1</v>
      </c>
      <c r="F80" s="16">
        <f t="shared" si="4"/>
        <v>20</v>
      </c>
      <c r="G80" s="17">
        <f>F80/B2</f>
        <v>1</v>
      </c>
      <c r="H80" s="15">
        <f t="shared" si="5"/>
        <v>20</v>
      </c>
      <c r="I80" s="14">
        <f>H80/B3</f>
        <v>1</v>
      </c>
      <c r="J80" s="2">
        <v>0.0</v>
      </c>
      <c r="K80" s="2">
        <v>0.0</v>
      </c>
      <c r="L80" s="2">
        <v>0.0</v>
      </c>
    </row>
    <row r="81">
      <c r="A81" s="12">
        <v>46288.0</v>
      </c>
      <c r="B81" s="6" t="s">
        <v>61</v>
      </c>
      <c r="C81" s="2">
        <v>0.0</v>
      </c>
      <c r="D81" s="16">
        <f t="shared" si="3"/>
        <v>20</v>
      </c>
      <c r="E81" s="17">
        <f>D81/B1</f>
        <v>1</v>
      </c>
      <c r="F81" s="16">
        <f t="shared" si="4"/>
        <v>20</v>
      </c>
      <c r="G81" s="17">
        <f>F81/B2</f>
        <v>1</v>
      </c>
      <c r="H81" s="15">
        <f t="shared" si="5"/>
        <v>20</v>
      </c>
      <c r="I81" s="14">
        <f>H81/B3</f>
        <v>1</v>
      </c>
      <c r="J81" s="2">
        <v>0.0</v>
      </c>
      <c r="K81" s="2">
        <v>0.0</v>
      </c>
      <c r="L81" s="2">
        <v>0.0</v>
      </c>
    </row>
    <row r="82">
      <c r="A82" s="12">
        <v>46288.0</v>
      </c>
      <c r="B82" s="6" t="s">
        <v>62</v>
      </c>
      <c r="C82" s="2">
        <v>0.0</v>
      </c>
      <c r="D82" s="16">
        <f t="shared" si="3"/>
        <v>20</v>
      </c>
      <c r="E82" s="17">
        <f>D82/B1</f>
        <v>1</v>
      </c>
      <c r="F82" s="16">
        <f t="shared" si="4"/>
        <v>20</v>
      </c>
      <c r="G82" s="17">
        <f>F82/B2</f>
        <v>1</v>
      </c>
      <c r="H82" s="15">
        <f t="shared" si="5"/>
        <v>20</v>
      </c>
      <c r="I82" s="14">
        <f>H82/B3</f>
        <v>1</v>
      </c>
      <c r="J82" s="2">
        <v>0.0</v>
      </c>
      <c r="K82" s="2">
        <v>0.0</v>
      </c>
      <c r="L82" s="2">
        <v>0.0</v>
      </c>
    </row>
    <row r="83">
      <c r="A83" s="12">
        <v>46288.0</v>
      </c>
      <c r="B83" s="6" t="s">
        <v>63</v>
      </c>
      <c r="C83" s="2">
        <v>0.0</v>
      </c>
      <c r="D83" s="16">
        <f t="shared" si="3"/>
        <v>20</v>
      </c>
      <c r="E83" s="17">
        <f>D83/B1</f>
        <v>1</v>
      </c>
      <c r="F83" s="16">
        <f t="shared" si="4"/>
        <v>20</v>
      </c>
      <c r="G83" s="17">
        <f>F83/B2</f>
        <v>1</v>
      </c>
      <c r="H83" s="15">
        <f t="shared" si="5"/>
        <v>20</v>
      </c>
      <c r="I83" s="14">
        <f>H83/B3</f>
        <v>1</v>
      </c>
      <c r="J83" s="2">
        <v>0.0</v>
      </c>
      <c r="K83" s="2">
        <v>0.0</v>
      </c>
      <c r="L83" s="2">
        <v>0.0</v>
      </c>
    </row>
    <row r="84">
      <c r="A84" s="12">
        <v>46289.0</v>
      </c>
      <c r="B84" s="6" t="s">
        <v>61</v>
      </c>
      <c r="C84" s="2">
        <v>0.0</v>
      </c>
      <c r="D84" s="16">
        <f t="shared" si="3"/>
        <v>20</v>
      </c>
      <c r="E84" s="17">
        <f>D84/B1</f>
        <v>1</v>
      </c>
      <c r="F84" s="16">
        <f t="shared" si="4"/>
        <v>20</v>
      </c>
      <c r="G84" s="17">
        <f>F84/B2</f>
        <v>1</v>
      </c>
      <c r="H84" s="15">
        <f t="shared" si="5"/>
        <v>20</v>
      </c>
      <c r="I84" s="14">
        <f>H84/B3</f>
        <v>1</v>
      </c>
      <c r="J84" s="2">
        <v>0.0</v>
      </c>
      <c r="K84" s="2">
        <v>0.0</v>
      </c>
      <c r="L84" s="2">
        <v>0.0</v>
      </c>
    </row>
    <row r="85">
      <c r="A85" s="12">
        <v>46289.0</v>
      </c>
      <c r="B85" s="6" t="s">
        <v>62</v>
      </c>
      <c r="C85" s="2">
        <v>0.0</v>
      </c>
      <c r="D85" s="16">
        <f t="shared" si="3"/>
        <v>20</v>
      </c>
      <c r="E85" s="17">
        <f>D85/B1</f>
        <v>1</v>
      </c>
      <c r="F85" s="16">
        <f t="shared" si="4"/>
        <v>20</v>
      </c>
      <c r="G85" s="17">
        <f>F85/B2</f>
        <v>1</v>
      </c>
      <c r="H85" s="15">
        <f t="shared" si="5"/>
        <v>20</v>
      </c>
      <c r="I85" s="14">
        <f>H85/B3</f>
        <v>1</v>
      </c>
      <c r="J85" s="2">
        <v>0.0</v>
      </c>
      <c r="K85" s="2">
        <v>0.0</v>
      </c>
      <c r="L85" s="2">
        <v>0.0</v>
      </c>
    </row>
    <row r="86">
      <c r="A86" s="12">
        <v>46289.0</v>
      </c>
      <c r="B86" s="6" t="s">
        <v>63</v>
      </c>
      <c r="C86" s="2">
        <v>0.0</v>
      </c>
      <c r="D86" s="16">
        <f t="shared" si="3"/>
        <v>20</v>
      </c>
      <c r="E86" s="17">
        <f>D86/B1</f>
        <v>1</v>
      </c>
      <c r="F86" s="16">
        <f t="shared" si="4"/>
        <v>20</v>
      </c>
      <c r="G86" s="17">
        <f>F86/B2</f>
        <v>1</v>
      </c>
      <c r="H86" s="15">
        <f t="shared" si="5"/>
        <v>20</v>
      </c>
      <c r="I86" s="14">
        <f>H86/B3</f>
        <v>1</v>
      </c>
      <c r="J86" s="2">
        <v>0.0</v>
      </c>
      <c r="K86" s="2">
        <v>0.0</v>
      </c>
      <c r="L86" s="2">
        <v>0.0</v>
      </c>
    </row>
    <row r="87">
      <c r="A87" s="12">
        <v>46290.0</v>
      </c>
      <c r="B87" s="6" t="s">
        <v>61</v>
      </c>
      <c r="C87" s="2">
        <v>0.0</v>
      </c>
      <c r="D87" s="16">
        <f t="shared" si="3"/>
        <v>20</v>
      </c>
      <c r="E87" s="17">
        <f>D87/B1</f>
        <v>1</v>
      </c>
      <c r="F87" s="16">
        <f t="shared" si="4"/>
        <v>20</v>
      </c>
      <c r="G87" s="17">
        <f>F87/B2</f>
        <v>1</v>
      </c>
      <c r="H87" s="15">
        <f t="shared" si="5"/>
        <v>20</v>
      </c>
      <c r="I87" s="14">
        <f>H87/B3</f>
        <v>1</v>
      </c>
      <c r="J87" s="2">
        <v>0.0</v>
      </c>
      <c r="K87" s="2">
        <v>0.0</v>
      </c>
      <c r="L87" s="2">
        <v>0.0</v>
      </c>
    </row>
    <row r="88">
      <c r="A88" s="12">
        <v>46290.0</v>
      </c>
      <c r="B88" s="6" t="s">
        <v>62</v>
      </c>
      <c r="C88" s="2">
        <v>0.0</v>
      </c>
      <c r="D88" s="16">
        <f t="shared" si="3"/>
        <v>20</v>
      </c>
      <c r="E88" s="17">
        <f>D88/B1</f>
        <v>1</v>
      </c>
      <c r="F88" s="16">
        <f t="shared" si="4"/>
        <v>20</v>
      </c>
      <c r="G88" s="17">
        <f>F88/B2</f>
        <v>1</v>
      </c>
      <c r="H88" s="15">
        <f t="shared" si="5"/>
        <v>20</v>
      </c>
      <c r="I88" s="14">
        <f>H88/B3</f>
        <v>1</v>
      </c>
      <c r="J88" s="2">
        <v>0.0</v>
      </c>
      <c r="K88" s="2">
        <v>0.0</v>
      </c>
      <c r="L88" s="2">
        <v>0.0</v>
      </c>
    </row>
    <row r="89">
      <c r="A89" s="12">
        <v>46290.0</v>
      </c>
      <c r="B89" s="6" t="s">
        <v>63</v>
      </c>
      <c r="C89" s="2">
        <v>0.0</v>
      </c>
      <c r="D89" s="16">
        <f t="shared" si="3"/>
        <v>20</v>
      </c>
      <c r="E89" s="17">
        <f>D89/B1</f>
        <v>1</v>
      </c>
      <c r="F89" s="16">
        <f t="shared" si="4"/>
        <v>20</v>
      </c>
      <c r="G89" s="17">
        <f>F89/B2</f>
        <v>1</v>
      </c>
      <c r="H89" s="15">
        <f t="shared" si="5"/>
        <v>20</v>
      </c>
      <c r="I89" s="14">
        <f>H89/B3</f>
        <v>1</v>
      </c>
      <c r="J89" s="2">
        <v>0.0</v>
      </c>
      <c r="K89" s="2">
        <v>0.0</v>
      </c>
      <c r="L89" s="2">
        <v>0.0</v>
      </c>
    </row>
    <row r="90">
      <c r="A90" s="12">
        <v>46291.0</v>
      </c>
      <c r="B90" s="6" t="s">
        <v>61</v>
      </c>
      <c r="C90" s="2">
        <v>0.0</v>
      </c>
      <c r="D90" s="16">
        <f t="shared" si="3"/>
        <v>20</v>
      </c>
      <c r="E90" s="17">
        <f>D90/B1</f>
        <v>1</v>
      </c>
      <c r="F90" s="16">
        <f t="shared" si="4"/>
        <v>20</v>
      </c>
      <c r="G90" s="17">
        <f>F90/B2</f>
        <v>1</v>
      </c>
      <c r="H90" s="15">
        <f t="shared" si="5"/>
        <v>20</v>
      </c>
      <c r="I90" s="14">
        <f>H90/B3</f>
        <v>1</v>
      </c>
      <c r="J90" s="2">
        <v>0.0</v>
      </c>
      <c r="K90" s="2">
        <v>0.0</v>
      </c>
      <c r="L90" s="2">
        <v>0.0</v>
      </c>
    </row>
    <row r="91">
      <c r="A91" s="12">
        <v>46291.0</v>
      </c>
      <c r="B91" s="6" t="s">
        <v>62</v>
      </c>
      <c r="C91" s="2">
        <v>0.0</v>
      </c>
      <c r="D91" s="16">
        <f t="shared" si="3"/>
        <v>20</v>
      </c>
      <c r="E91" s="17">
        <f>D91/B1</f>
        <v>1</v>
      </c>
      <c r="F91" s="16">
        <f t="shared" si="4"/>
        <v>20</v>
      </c>
      <c r="G91" s="17">
        <f>F91/B2</f>
        <v>1</v>
      </c>
      <c r="H91" s="15">
        <f t="shared" si="5"/>
        <v>20</v>
      </c>
      <c r="I91" s="14">
        <f>H91/B3</f>
        <v>1</v>
      </c>
      <c r="J91" s="2">
        <v>0.0</v>
      </c>
      <c r="K91" s="2">
        <v>0.0</v>
      </c>
      <c r="L91" s="2">
        <v>0.0</v>
      </c>
    </row>
    <row r="92">
      <c r="A92" s="12">
        <v>46291.0</v>
      </c>
      <c r="B92" s="6" t="s">
        <v>63</v>
      </c>
      <c r="C92" s="2">
        <v>0.0</v>
      </c>
      <c r="D92" s="16">
        <f t="shared" si="3"/>
        <v>20</v>
      </c>
      <c r="E92" s="17">
        <f>D92/B1</f>
        <v>1</v>
      </c>
      <c r="F92" s="16">
        <f t="shared" si="4"/>
        <v>20</v>
      </c>
      <c r="G92" s="17">
        <f>F92/B2</f>
        <v>1</v>
      </c>
      <c r="H92" s="15">
        <f t="shared" si="5"/>
        <v>20</v>
      </c>
      <c r="I92" s="14">
        <f>H92/B3</f>
        <v>1</v>
      </c>
      <c r="J92" s="2">
        <v>0.0</v>
      </c>
      <c r="K92" s="2">
        <v>0.0</v>
      </c>
      <c r="L92" s="2">
        <v>0.0</v>
      </c>
    </row>
    <row r="93">
      <c r="A93" s="12">
        <v>46292.0</v>
      </c>
      <c r="B93" s="6" t="s">
        <v>61</v>
      </c>
      <c r="C93" s="2">
        <v>0.0</v>
      </c>
      <c r="D93" s="16">
        <f t="shared" si="3"/>
        <v>20</v>
      </c>
      <c r="E93" s="17">
        <f>D93/B1</f>
        <v>1</v>
      </c>
      <c r="F93" s="16">
        <f t="shared" si="4"/>
        <v>20</v>
      </c>
      <c r="G93" s="17">
        <f>F93/B2</f>
        <v>1</v>
      </c>
      <c r="H93" s="15">
        <f t="shared" si="5"/>
        <v>20</v>
      </c>
      <c r="I93" s="14">
        <f>H93/B3</f>
        <v>1</v>
      </c>
      <c r="J93" s="2">
        <v>0.0</v>
      </c>
      <c r="K93" s="2">
        <v>0.0</v>
      </c>
      <c r="L93" s="2">
        <v>0.0</v>
      </c>
    </row>
    <row r="94">
      <c r="A94" s="12">
        <v>46292.0</v>
      </c>
      <c r="B94" s="6" t="s">
        <v>62</v>
      </c>
      <c r="C94" s="2">
        <v>0.0</v>
      </c>
      <c r="D94" s="16">
        <f t="shared" si="3"/>
        <v>20</v>
      </c>
      <c r="E94" s="17">
        <f>D94/B1</f>
        <v>1</v>
      </c>
      <c r="F94" s="16">
        <f t="shared" si="4"/>
        <v>20</v>
      </c>
      <c r="G94" s="17">
        <f>F94/B2</f>
        <v>1</v>
      </c>
      <c r="H94" s="15">
        <f t="shared" si="5"/>
        <v>20</v>
      </c>
      <c r="I94" s="14">
        <f>H94/B3</f>
        <v>1</v>
      </c>
      <c r="J94" s="2">
        <v>0.0</v>
      </c>
      <c r="K94" s="2">
        <v>0.0</v>
      </c>
      <c r="L94" s="2">
        <v>0.0</v>
      </c>
    </row>
    <row r="95">
      <c r="A95" s="12">
        <v>46292.0</v>
      </c>
      <c r="B95" s="6" t="s">
        <v>63</v>
      </c>
      <c r="C95" s="2">
        <v>0.0</v>
      </c>
      <c r="D95" s="16">
        <f t="shared" si="3"/>
        <v>20</v>
      </c>
      <c r="E95" s="17">
        <f>D95/B1</f>
        <v>1</v>
      </c>
      <c r="F95" s="16">
        <f t="shared" si="4"/>
        <v>20</v>
      </c>
      <c r="G95" s="17">
        <f>F95/B2</f>
        <v>1</v>
      </c>
      <c r="H95" s="15">
        <f t="shared" si="5"/>
        <v>20</v>
      </c>
      <c r="I95" s="14">
        <f>H95/B3</f>
        <v>1</v>
      </c>
      <c r="J95" s="2">
        <v>0.0</v>
      </c>
      <c r="K95" s="2">
        <v>0.0</v>
      </c>
      <c r="L95" s="2">
        <v>0.0</v>
      </c>
    </row>
    <row r="96">
      <c r="A96" s="12">
        <v>46293.0</v>
      </c>
      <c r="B96" s="6" t="s">
        <v>61</v>
      </c>
      <c r="C96" s="2">
        <v>0.0</v>
      </c>
      <c r="D96" s="16">
        <f t="shared" si="3"/>
        <v>20</v>
      </c>
      <c r="E96" s="17">
        <f>D96/B1</f>
        <v>1</v>
      </c>
      <c r="F96" s="16">
        <f t="shared" si="4"/>
        <v>20</v>
      </c>
      <c r="G96" s="17">
        <f>F96/B2</f>
        <v>1</v>
      </c>
      <c r="H96" s="15">
        <f t="shared" si="5"/>
        <v>20</v>
      </c>
      <c r="I96" s="14">
        <f>H96/B3</f>
        <v>1</v>
      </c>
      <c r="J96" s="2">
        <v>0.0</v>
      </c>
      <c r="K96" s="2">
        <v>0.0</v>
      </c>
      <c r="L96" s="2">
        <v>0.0</v>
      </c>
    </row>
    <row r="97">
      <c r="A97" s="12">
        <v>46293.0</v>
      </c>
      <c r="B97" s="6" t="s">
        <v>62</v>
      </c>
      <c r="C97" s="2">
        <v>0.0</v>
      </c>
      <c r="D97" s="16">
        <f t="shared" si="3"/>
        <v>20</v>
      </c>
      <c r="E97" s="17">
        <f>D97/B1</f>
        <v>1</v>
      </c>
      <c r="F97" s="16">
        <f t="shared" si="4"/>
        <v>20</v>
      </c>
      <c r="G97" s="17">
        <f>F97/B2</f>
        <v>1</v>
      </c>
      <c r="H97" s="15">
        <f t="shared" si="5"/>
        <v>20</v>
      </c>
      <c r="I97" s="14">
        <f>H97/B3</f>
        <v>1</v>
      </c>
      <c r="J97" s="2">
        <v>0.0</v>
      </c>
      <c r="K97" s="2">
        <v>0.0</v>
      </c>
      <c r="L97" s="2">
        <v>0.0</v>
      </c>
    </row>
    <row r="98">
      <c r="A98" s="12">
        <v>46293.0</v>
      </c>
      <c r="B98" s="6" t="s">
        <v>63</v>
      </c>
      <c r="C98" s="2">
        <v>1.34</v>
      </c>
      <c r="D98" s="16">
        <f t="shared" si="3"/>
        <v>20</v>
      </c>
      <c r="E98" s="17">
        <f>D98/B1</f>
        <v>1</v>
      </c>
      <c r="F98" s="16">
        <f t="shared" si="4"/>
        <v>20</v>
      </c>
      <c r="G98" s="17">
        <f>F98/B2</f>
        <v>1</v>
      </c>
      <c r="H98" s="15">
        <f t="shared" si="5"/>
        <v>18.66</v>
      </c>
      <c r="I98" s="14">
        <f>H98/B3</f>
        <v>0.933</v>
      </c>
      <c r="J98" s="2">
        <v>0.0</v>
      </c>
      <c r="K98" s="2">
        <v>0.0</v>
      </c>
      <c r="L98" s="2">
        <v>0.0</v>
      </c>
    </row>
    <row r="99">
      <c r="A99" s="12">
        <v>46294.0</v>
      </c>
      <c r="B99" s="6" t="s">
        <v>61</v>
      </c>
      <c r="C99" s="2">
        <v>1.32</v>
      </c>
      <c r="D99" s="16">
        <f t="shared" si="3"/>
        <v>18.68</v>
      </c>
      <c r="E99" s="17">
        <f>D99/B1</f>
        <v>0.934</v>
      </c>
      <c r="F99" s="16">
        <f t="shared" si="4"/>
        <v>20</v>
      </c>
      <c r="G99" s="17">
        <f>F99/B2</f>
        <v>1</v>
      </c>
      <c r="H99" s="15">
        <f t="shared" si="5"/>
        <v>18.66</v>
      </c>
      <c r="I99" s="14">
        <f>H99/B3</f>
        <v>0.933</v>
      </c>
      <c r="J99" s="2">
        <v>0.0</v>
      </c>
      <c r="K99" s="2">
        <v>0.0</v>
      </c>
      <c r="L99" s="2">
        <v>0.0</v>
      </c>
    </row>
    <row r="100">
      <c r="A100" s="12">
        <v>46294.0</v>
      </c>
      <c r="B100" s="6" t="s">
        <v>62</v>
      </c>
      <c r="C100" s="2">
        <v>1.47</v>
      </c>
      <c r="D100" s="16">
        <f t="shared" si="3"/>
        <v>18.68</v>
      </c>
      <c r="E100" s="17">
        <f>D100/B1</f>
        <v>0.934</v>
      </c>
      <c r="F100" s="16">
        <f t="shared" si="4"/>
        <v>18.53</v>
      </c>
      <c r="G100" s="17">
        <f>F100/B2</f>
        <v>0.9265</v>
      </c>
      <c r="H100" s="15">
        <f t="shared" si="5"/>
        <v>18.66</v>
      </c>
      <c r="I100" s="14">
        <f>H100/B3</f>
        <v>0.933</v>
      </c>
      <c r="J100" s="2">
        <v>0.0</v>
      </c>
      <c r="K100" s="2">
        <v>0.0</v>
      </c>
      <c r="L100" s="2">
        <v>0.0</v>
      </c>
    </row>
    <row r="101">
      <c r="A101" s="12">
        <v>46294.0</v>
      </c>
      <c r="B101" s="6" t="s">
        <v>63</v>
      </c>
      <c r="C101" s="2">
        <v>0.0</v>
      </c>
      <c r="D101" s="16">
        <f t="shared" si="3"/>
        <v>18.68</v>
      </c>
      <c r="E101" s="17">
        <f>D101/B1</f>
        <v>0.934</v>
      </c>
      <c r="F101" s="16">
        <f t="shared" si="4"/>
        <v>18.53</v>
      </c>
      <c r="G101" s="17">
        <f>F101/B2</f>
        <v>0.9265</v>
      </c>
      <c r="H101" s="15">
        <f t="shared" si="5"/>
        <v>18.66</v>
      </c>
      <c r="I101" s="14">
        <f>H101/B3</f>
        <v>0.933</v>
      </c>
      <c r="J101" s="2">
        <v>0.0</v>
      </c>
      <c r="K101" s="2">
        <v>0.0</v>
      </c>
      <c r="L101" s="2">
        <v>0.0</v>
      </c>
    </row>
    <row r="102">
      <c r="A102" s="12">
        <v>46295.0</v>
      </c>
      <c r="B102" s="21" t="s">
        <v>61</v>
      </c>
      <c r="C102" s="2">
        <v>1.26</v>
      </c>
      <c r="D102" s="23">
        <f t="shared" si="3"/>
        <v>17.42</v>
      </c>
      <c r="E102" s="24">
        <f>D102/B1</f>
        <v>0.871</v>
      </c>
      <c r="F102" s="23">
        <f t="shared" si="4"/>
        <v>18.53</v>
      </c>
      <c r="G102" s="24">
        <f>F102/B2</f>
        <v>0.9265</v>
      </c>
      <c r="H102" s="25">
        <f t="shared" si="5"/>
        <v>18.66</v>
      </c>
      <c r="I102" s="26">
        <f>H102/B3</f>
        <v>0.933</v>
      </c>
      <c r="J102" s="22">
        <v>0.0</v>
      </c>
      <c r="K102" s="22">
        <v>0.0</v>
      </c>
      <c r="L102" s="22">
        <v>0.0</v>
      </c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</row>
    <row r="103">
      <c r="A103" s="12">
        <v>46295.0</v>
      </c>
      <c r="B103" s="21" t="s">
        <v>62</v>
      </c>
      <c r="C103" s="2">
        <v>1.34</v>
      </c>
      <c r="D103" s="23">
        <f t="shared" si="3"/>
        <v>17.42</v>
      </c>
      <c r="E103" s="24">
        <f>D103/B1</f>
        <v>0.871</v>
      </c>
      <c r="F103" s="23">
        <f t="shared" si="4"/>
        <v>17.19</v>
      </c>
      <c r="G103" s="24">
        <f>F103/B2</f>
        <v>0.8595</v>
      </c>
      <c r="H103" s="25">
        <f t="shared" si="5"/>
        <v>18.66</v>
      </c>
      <c r="I103" s="26">
        <f>H103/B3</f>
        <v>0.933</v>
      </c>
      <c r="J103" s="22">
        <v>0.0</v>
      </c>
      <c r="K103" s="22">
        <v>0.0</v>
      </c>
      <c r="L103" s="22">
        <v>0.0</v>
      </c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</row>
    <row r="104">
      <c r="A104" s="12">
        <v>46295.0</v>
      </c>
      <c r="B104" s="21" t="s">
        <v>63</v>
      </c>
      <c r="C104" s="2">
        <v>1.2</v>
      </c>
      <c r="D104" s="23">
        <f t="shared" si="3"/>
        <v>17.42</v>
      </c>
      <c r="E104" s="24">
        <f>D104/B1</f>
        <v>0.871</v>
      </c>
      <c r="F104" s="23">
        <f t="shared" si="4"/>
        <v>17.19</v>
      </c>
      <c r="G104" s="24">
        <f>F104/B2</f>
        <v>0.8595</v>
      </c>
      <c r="H104" s="25">
        <f t="shared" si="5"/>
        <v>17.46</v>
      </c>
      <c r="I104" s="26">
        <f>H104/B3</f>
        <v>0.873</v>
      </c>
      <c r="J104" s="22">
        <v>0.0</v>
      </c>
      <c r="K104" s="22">
        <v>0.0</v>
      </c>
      <c r="L104" s="22">
        <v>0.0</v>
      </c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</row>
    <row r="105">
      <c r="A105" s="12">
        <v>46296.0</v>
      </c>
      <c r="B105" s="21" t="s">
        <v>61</v>
      </c>
      <c r="C105" s="2">
        <v>0.0</v>
      </c>
      <c r="D105" s="23">
        <f t="shared" si="3"/>
        <v>17.42</v>
      </c>
      <c r="E105" s="24">
        <f>D105/B1</f>
        <v>0.871</v>
      </c>
      <c r="F105" s="23">
        <f t="shared" si="4"/>
        <v>17.19</v>
      </c>
      <c r="G105" s="24">
        <f>F105/B2</f>
        <v>0.8595</v>
      </c>
      <c r="H105" s="25">
        <f t="shared" si="5"/>
        <v>17.46</v>
      </c>
      <c r="I105" s="26">
        <f>H105/B3</f>
        <v>0.873</v>
      </c>
      <c r="J105" s="22">
        <v>0.0</v>
      </c>
      <c r="K105" s="22">
        <v>0.0</v>
      </c>
      <c r="L105" s="22">
        <v>0.0</v>
      </c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</row>
    <row r="106">
      <c r="A106" s="12">
        <v>46296.0</v>
      </c>
      <c r="B106" s="21" t="s">
        <v>62</v>
      </c>
      <c r="C106" s="2">
        <v>0.0</v>
      </c>
      <c r="D106" s="23">
        <f t="shared" si="3"/>
        <v>17.42</v>
      </c>
      <c r="E106" s="24">
        <f>D106/B1</f>
        <v>0.871</v>
      </c>
      <c r="F106" s="23">
        <f t="shared" si="4"/>
        <v>17.19</v>
      </c>
      <c r="G106" s="24">
        <f>F106/B2</f>
        <v>0.8595</v>
      </c>
      <c r="H106" s="25">
        <f t="shared" si="5"/>
        <v>17.46</v>
      </c>
      <c r="I106" s="26">
        <f>H106/B3</f>
        <v>0.873</v>
      </c>
      <c r="J106" s="22">
        <v>0.0</v>
      </c>
      <c r="K106" s="22">
        <v>0.0</v>
      </c>
      <c r="L106" s="22">
        <v>0.0</v>
      </c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</row>
    <row r="107">
      <c r="A107" s="12">
        <v>46296.0</v>
      </c>
      <c r="B107" s="21" t="s">
        <v>63</v>
      </c>
      <c r="C107" s="2">
        <v>0.0</v>
      </c>
      <c r="D107" s="23">
        <f t="shared" si="3"/>
        <v>17.42</v>
      </c>
      <c r="E107" s="24">
        <f>D107/B1</f>
        <v>0.871</v>
      </c>
      <c r="F107" s="23">
        <f t="shared" si="4"/>
        <v>17.19</v>
      </c>
      <c r="G107" s="24">
        <f>F107/B2</f>
        <v>0.8595</v>
      </c>
      <c r="H107" s="25">
        <f t="shared" si="5"/>
        <v>17.46</v>
      </c>
      <c r="I107" s="26">
        <f>H107/B3</f>
        <v>0.873</v>
      </c>
      <c r="J107" s="22">
        <v>0.0</v>
      </c>
      <c r="K107" s="22">
        <v>0.0</v>
      </c>
      <c r="L107" s="22">
        <v>0.0</v>
      </c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</row>
    <row r="108">
      <c r="A108" s="12">
        <v>46297.0</v>
      </c>
      <c r="B108" s="21" t="s">
        <v>61</v>
      </c>
      <c r="C108" s="2">
        <v>0.0</v>
      </c>
      <c r="D108" s="23">
        <f t="shared" si="3"/>
        <v>17.42</v>
      </c>
      <c r="E108" s="24">
        <f>D108/B1</f>
        <v>0.871</v>
      </c>
      <c r="F108" s="23">
        <f t="shared" si="4"/>
        <v>17.19</v>
      </c>
      <c r="G108" s="24">
        <f>F108/B2</f>
        <v>0.8595</v>
      </c>
      <c r="H108" s="25">
        <f t="shared" si="5"/>
        <v>17.46</v>
      </c>
      <c r="I108" s="26">
        <f>H108/B3</f>
        <v>0.873</v>
      </c>
      <c r="J108" s="22">
        <v>0.0</v>
      </c>
      <c r="K108" s="22">
        <v>0.0</v>
      </c>
      <c r="L108" s="22">
        <v>0.0</v>
      </c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</row>
    <row r="109">
      <c r="A109" s="12">
        <v>46297.0</v>
      </c>
      <c r="B109" s="21" t="s">
        <v>62</v>
      </c>
      <c r="C109" s="2">
        <v>0.0</v>
      </c>
      <c r="D109" s="23">
        <f t="shared" si="3"/>
        <v>17.42</v>
      </c>
      <c r="E109" s="24">
        <f>D109/B1</f>
        <v>0.871</v>
      </c>
      <c r="F109" s="23">
        <f t="shared" si="4"/>
        <v>17.19</v>
      </c>
      <c r="G109" s="24">
        <f>F109/B2</f>
        <v>0.8595</v>
      </c>
      <c r="H109" s="25">
        <f t="shared" si="5"/>
        <v>17.46</v>
      </c>
      <c r="I109" s="26">
        <f>H109/B3</f>
        <v>0.873</v>
      </c>
      <c r="J109" s="22">
        <v>0.0</v>
      </c>
      <c r="K109" s="22">
        <v>0.0</v>
      </c>
      <c r="L109" s="22">
        <v>0.0</v>
      </c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</row>
    <row r="110">
      <c r="A110" s="12">
        <v>46297.0</v>
      </c>
      <c r="B110" s="21" t="s">
        <v>63</v>
      </c>
      <c r="C110" s="2">
        <v>0.0</v>
      </c>
      <c r="D110" s="23">
        <f t="shared" si="3"/>
        <v>17.42</v>
      </c>
      <c r="E110" s="24">
        <f>D110/B1</f>
        <v>0.871</v>
      </c>
      <c r="F110" s="23">
        <f t="shared" si="4"/>
        <v>17.19</v>
      </c>
      <c r="G110" s="24">
        <f>F110/B2</f>
        <v>0.8595</v>
      </c>
      <c r="H110" s="25">
        <f t="shared" si="5"/>
        <v>17.46</v>
      </c>
      <c r="I110" s="26">
        <f>H110/B3</f>
        <v>0.873</v>
      </c>
      <c r="J110" s="22">
        <v>0.0</v>
      </c>
      <c r="K110" s="22">
        <v>0.0</v>
      </c>
      <c r="L110" s="22">
        <v>0.0</v>
      </c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</row>
    <row r="111">
      <c r="A111" s="12">
        <v>46298.0</v>
      </c>
      <c r="B111" s="21" t="s">
        <v>61</v>
      </c>
      <c r="C111" s="2">
        <v>0.0</v>
      </c>
      <c r="D111" s="23">
        <f t="shared" si="3"/>
        <v>17.42</v>
      </c>
      <c r="E111" s="24">
        <f>D111/B1</f>
        <v>0.871</v>
      </c>
      <c r="F111" s="23">
        <f t="shared" si="4"/>
        <v>17.19</v>
      </c>
      <c r="G111" s="24">
        <f>F111/B2</f>
        <v>0.8595</v>
      </c>
      <c r="H111" s="25">
        <f t="shared" si="5"/>
        <v>17.46</v>
      </c>
      <c r="I111" s="26">
        <f>H111/B3</f>
        <v>0.873</v>
      </c>
      <c r="J111" s="22">
        <v>0.0</v>
      </c>
      <c r="K111" s="22">
        <v>0.0</v>
      </c>
      <c r="L111" s="22">
        <v>0.0</v>
      </c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</row>
    <row r="112">
      <c r="A112" s="12">
        <v>46298.0</v>
      </c>
      <c r="B112" s="21" t="s">
        <v>62</v>
      </c>
      <c r="C112" s="2">
        <v>0.0</v>
      </c>
      <c r="D112" s="23">
        <f t="shared" si="3"/>
        <v>17.42</v>
      </c>
      <c r="E112" s="24">
        <f>D112/B1</f>
        <v>0.871</v>
      </c>
      <c r="F112" s="23">
        <f t="shared" si="4"/>
        <v>17.19</v>
      </c>
      <c r="G112" s="24">
        <f>F112/B2</f>
        <v>0.8595</v>
      </c>
      <c r="H112" s="25">
        <f t="shared" si="5"/>
        <v>17.46</v>
      </c>
      <c r="I112" s="26">
        <f>H112/B3</f>
        <v>0.873</v>
      </c>
      <c r="J112" s="22">
        <v>0.0</v>
      </c>
      <c r="K112" s="22">
        <v>0.0</v>
      </c>
      <c r="L112" s="22">
        <v>0.0</v>
      </c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</row>
    <row r="113">
      <c r="A113" s="12">
        <v>46298.0</v>
      </c>
      <c r="B113" s="21" t="s">
        <v>63</v>
      </c>
      <c r="C113" s="2">
        <v>0.0</v>
      </c>
      <c r="D113" s="23">
        <f t="shared" si="3"/>
        <v>17.42</v>
      </c>
      <c r="E113" s="24">
        <f>D113/B1</f>
        <v>0.871</v>
      </c>
      <c r="F113" s="23">
        <f t="shared" si="4"/>
        <v>17.19</v>
      </c>
      <c r="G113" s="24">
        <f>F113/B2</f>
        <v>0.8595</v>
      </c>
      <c r="H113" s="25">
        <f t="shared" si="5"/>
        <v>17.46</v>
      </c>
      <c r="I113" s="26">
        <f>H113/B3</f>
        <v>0.873</v>
      </c>
      <c r="J113" s="22">
        <v>0.0</v>
      </c>
      <c r="K113" s="22">
        <v>0.0</v>
      </c>
      <c r="L113" s="22">
        <v>0.0</v>
      </c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</row>
    <row r="114">
      <c r="A114" s="12">
        <v>46299.0</v>
      </c>
      <c r="B114" s="21" t="s">
        <v>61</v>
      </c>
      <c r="C114" s="2">
        <v>0.0</v>
      </c>
      <c r="D114" s="23">
        <f t="shared" si="3"/>
        <v>17.42</v>
      </c>
      <c r="E114" s="24">
        <f>D114/B1</f>
        <v>0.871</v>
      </c>
      <c r="F114" s="23">
        <f t="shared" si="4"/>
        <v>17.19</v>
      </c>
      <c r="G114" s="24">
        <f>F114/B2</f>
        <v>0.8595</v>
      </c>
      <c r="H114" s="25">
        <f t="shared" si="5"/>
        <v>17.46</v>
      </c>
      <c r="I114" s="26">
        <f>H114/B3</f>
        <v>0.873</v>
      </c>
      <c r="J114" s="22">
        <v>0.0</v>
      </c>
      <c r="K114" s="22">
        <v>0.0</v>
      </c>
      <c r="L114" s="22">
        <v>0.0</v>
      </c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</row>
    <row r="115">
      <c r="A115" s="12">
        <v>46299.0</v>
      </c>
      <c r="B115" s="21" t="s">
        <v>62</v>
      </c>
      <c r="C115" s="2">
        <v>0.0</v>
      </c>
      <c r="D115" s="23">
        <f t="shared" si="3"/>
        <v>17.42</v>
      </c>
      <c r="E115" s="24">
        <f>D115/B1</f>
        <v>0.871</v>
      </c>
      <c r="F115" s="23">
        <f t="shared" si="4"/>
        <v>17.19</v>
      </c>
      <c r="G115" s="24">
        <f>F115/B2</f>
        <v>0.8595</v>
      </c>
      <c r="H115" s="25">
        <f t="shared" si="5"/>
        <v>17.46</v>
      </c>
      <c r="I115" s="26">
        <f>H115/B3</f>
        <v>0.873</v>
      </c>
      <c r="J115" s="22">
        <v>0.0</v>
      </c>
      <c r="K115" s="22">
        <v>0.0</v>
      </c>
      <c r="L115" s="22">
        <v>0.0</v>
      </c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</row>
    <row r="116">
      <c r="A116" s="12">
        <v>46299.0</v>
      </c>
      <c r="B116" s="21" t="s">
        <v>63</v>
      </c>
      <c r="C116" s="2">
        <v>0.0</v>
      </c>
      <c r="D116" s="23">
        <f t="shared" si="3"/>
        <v>17.42</v>
      </c>
      <c r="E116" s="24">
        <f>D116/B1</f>
        <v>0.871</v>
      </c>
      <c r="F116" s="23">
        <f t="shared" si="4"/>
        <v>17.19</v>
      </c>
      <c r="G116" s="24">
        <f>F116/B2</f>
        <v>0.8595</v>
      </c>
      <c r="H116" s="25">
        <f t="shared" si="5"/>
        <v>17.46</v>
      </c>
      <c r="I116" s="26">
        <f>H116/B3</f>
        <v>0.873</v>
      </c>
      <c r="J116" s="22">
        <v>0.0</v>
      </c>
      <c r="K116" s="22">
        <v>0.0</v>
      </c>
      <c r="L116" s="22">
        <v>0.0</v>
      </c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</row>
    <row r="117">
      <c r="A117" s="12">
        <v>46300.0</v>
      </c>
      <c r="B117" s="21" t="s">
        <v>61</v>
      </c>
      <c r="C117" s="2">
        <v>0.0</v>
      </c>
      <c r="D117" s="23">
        <f t="shared" si="3"/>
        <v>17.42</v>
      </c>
      <c r="E117" s="24">
        <f>D117/B1</f>
        <v>0.871</v>
      </c>
      <c r="F117" s="23">
        <f t="shared" si="4"/>
        <v>17.19</v>
      </c>
      <c r="G117" s="24">
        <f>F117/B2</f>
        <v>0.8595</v>
      </c>
      <c r="H117" s="25">
        <f t="shared" si="5"/>
        <v>17.46</v>
      </c>
      <c r="I117" s="26">
        <f>H117/B3</f>
        <v>0.873</v>
      </c>
      <c r="J117" s="22">
        <v>0.0</v>
      </c>
      <c r="K117" s="22">
        <v>0.0</v>
      </c>
      <c r="L117" s="22">
        <v>0.0</v>
      </c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</row>
    <row r="118">
      <c r="A118" s="12">
        <v>46300.0</v>
      </c>
      <c r="B118" s="21" t="s">
        <v>62</v>
      </c>
      <c r="C118" s="2">
        <v>0.0</v>
      </c>
      <c r="D118" s="23">
        <f t="shared" si="3"/>
        <v>17.42</v>
      </c>
      <c r="E118" s="24">
        <f>D118/B1</f>
        <v>0.871</v>
      </c>
      <c r="F118" s="23">
        <f t="shared" si="4"/>
        <v>17.19</v>
      </c>
      <c r="G118" s="24">
        <f>F118/B2</f>
        <v>0.8595</v>
      </c>
      <c r="H118" s="25">
        <f t="shared" si="5"/>
        <v>17.46</v>
      </c>
      <c r="I118" s="26">
        <f>H118/B3</f>
        <v>0.873</v>
      </c>
      <c r="J118" s="22">
        <v>0.0</v>
      </c>
      <c r="K118" s="22">
        <v>0.0</v>
      </c>
      <c r="L118" s="22">
        <v>0.0</v>
      </c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</row>
    <row r="119">
      <c r="A119" s="12">
        <v>46300.0</v>
      </c>
      <c r="B119" s="21" t="s">
        <v>63</v>
      </c>
      <c r="C119" s="2">
        <v>0.0</v>
      </c>
      <c r="D119" s="23">
        <f t="shared" si="3"/>
        <v>17.42</v>
      </c>
      <c r="E119" s="24">
        <f>D119/B1</f>
        <v>0.871</v>
      </c>
      <c r="F119" s="23">
        <f t="shared" si="4"/>
        <v>17.19</v>
      </c>
      <c r="G119" s="24">
        <f>F119/B2</f>
        <v>0.8595</v>
      </c>
      <c r="H119" s="25">
        <f t="shared" si="5"/>
        <v>17.46</v>
      </c>
      <c r="I119" s="26">
        <f>H119/B3</f>
        <v>0.873</v>
      </c>
      <c r="J119" s="22">
        <v>0.0</v>
      </c>
      <c r="K119" s="22">
        <v>0.0</v>
      </c>
      <c r="L119" s="22">
        <v>0.0</v>
      </c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</row>
    <row r="120">
      <c r="A120" s="12">
        <v>46301.0</v>
      </c>
      <c r="B120" s="21" t="s">
        <v>61</v>
      </c>
      <c r="C120" s="2">
        <v>0.0</v>
      </c>
      <c r="D120" s="23">
        <f t="shared" si="3"/>
        <v>17.42</v>
      </c>
      <c r="E120" s="24">
        <f>D120/B1</f>
        <v>0.871</v>
      </c>
      <c r="F120" s="23">
        <f t="shared" si="4"/>
        <v>17.19</v>
      </c>
      <c r="G120" s="24">
        <f>F120/B2</f>
        <v>0.8595</v>
      </c>
      <c r="H120" s="25">
        <f t="shared" si="5"/>
        <v>17.46</v>
      </c>
      <c r="I120" s="26">
        <f>H120/B3</f>
        <v>0.873</v>
      </c>
      <c r="J120" s="22">
        <v>0.0</v>
      </c>
      <c r="K120" s="22">
        <v>0.0</v>
      </c>
      <c r="L120" s="22">
        <v>0.0</v>
      </c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</row>
    <row r="121">
      <c r="A121" s="12">
        <v>46301.0</v>
      </c>
      <c r="B121" s="21" t="s">
        <v>62</v>
      </c>
      <c r="C121" s="2">
        <v>0.0</v>
      </c>
      <c r="D121" s="23">
        <f t="shared" si="3"/>
        <v>17.42</v>
      </c>
      <c r="E121" s="24">
        <f>D121/B1</f>
        <v>0.871</v>
      </c>
      <c r="F121" s="23">
        <f t="shared" si="4"/>
        <v>17.19</v>
      </c>
      <c r="G121" s="24">
        <f>F121/B2</f>
        <v>0.8595</v>
      </c>
      <c r="H121" s="25">
        <f t="shared" si="5"/>
        <v>17.46</v>
      </c>
      <c r="I121" s="26">
        <f>H121/B3</f>
        <v>0.873</v>
      </c>
      <c r="J121" s="22">
        <v>0.0</v>
      </c>
      <c r="K121" s="22">
        <v>0.0</v>
      </c>
      <c r="L121" s="22">
        <v>0.0</v>
      </c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</row>
    <row r="122">
      <c r="A122" s="12">
        <v>46301.0</v>
      </c>
      <c r="B122" s="21" t="s">
        <v>63</v>
      </c>
      <c r="C122" s="2">
        <v>0.0</v>
      </c>
      <c r="D122" s="23">
        <f t="shared" si="3"/>
        <v>17.42</v>
      </c>
      <c r="E122" s="24">
        <f>D122/B1</f>
        <v>0.871</v>
      </c>
      <c r="F122" s="23">
        <f t="shared" si="4"/>
        <v>17.19</v>
      </c>
      <c r="G122" s="24">
        <f>F122/B2</f>
        <v>0.8595</v>
      </c>
      <c r="H122" s="25">
        <f t="shared" si="5"/>
        <v>17.46</v>
      </c>
      <c r="I122" s="26">
        <f>H122/B3</f>
        <v>0.873</v>
      </c>
      <c r="J122" s="22">
        <v>0.0</v>
      </c>
      <c r="K122" s="22">
        <v>0.0</v>
      </c>
      <c r="L122" s="22">
        <v>0.0</v>
      </c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</row>
    <row r="123">
      <c r="A123" s="12">
        <v>46302.0</v>
      </c>
      <c r="B123" s="21" t="s">
        <v>61</v>
      </c>
      <c r="C123" s="2">
        <v>0.0</v>
      </c>
      <c r="D123" s="23">
        <f t="shared" si="3"/>
        <v>17.42</v>
      </c>
      <c r="E123" s="24">
        <f>D123/B1</f>
        <v>0.871</v>
      </c>
      <c r="F123" s="23">
        <f t="shared" si="4"/>
        <v>17.19</v>
      </c>
      <c r="G123" s="24">
        <f>F123/B2</f>
        <v>0.8595</v>
      </c>
      <c r="H123" s="25">
        <f t="shared" si="5"/>
        <v>17.46</v>
      </c>
      <c r="I123" s="26">
        <f>H123/B3</f>
        <v>0.873</v>
      </c>
      <c r="J123" s="22">
        <v>0.0</v>
      </c>
      <c r="K123" s="22">
        <v>0.0</v>
      </c>
      <c r="L123" s="22">
        <v>0.0</v>
      </c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</row>
    <row r="124">
      <c r="A124" s="12">
        <v>46302.0</v>
      </c>
      <c r="B124" s="21" t="s">
        <v>62</v>
      </c>
      <c r="C124" s="2">
        <v>0.0</v>
      </c>
      <c r="D124" s="23">
        <f t="shared" si="3"/>
        <v>17.42</v>
      </c>
      <c r="E124" s="24">
        <f>D124/B1</f>
        <v>0.871</v>
      </c>
      <c r="F124" s="23">
        <f t="shared" si="4"/>
        <v>17.19</v>
      </c>
      <c r="G124" s="24">
        <f>F124/B2</f>
        <v>0.8595</v>
      </c>
      <c r="H124" s="25">
        <f t="shared" si="5"/>
        <v>17.46</v>
      </c>
      <c r="I124" s="26">
        <f>H124/B3</f>
        <v>0.873</v>
      </c>
      <c r="J124" s="22">
        <v>0.0</v>
      </c>
      <c r="K124" s="22">
        <v>0.0</v>
      </c>
      <c r="L124" s="22">
        <v>0.0</v>
      </c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</row>
    <row r="125">
      <c r="A125" s="12">
        <v>46302.0</v>
      </c>
      <c r="B125" s="21" t="s">
        <v>63</v>
      </c>
      <c r="C125" s="2">
        <v>0.0</v>
      </c>
      <c r="D125" s="23">
        <f t="shared" si="3"/>
        <v>17.42</v>
      </c>
      <c r="E125" s="24">
        <f>D125/B1</f>
        <v>0.871</v>
      </c>
      <c r="F125" s="23">
        <f t="shared" si="4"/>
        <v>17.19</v>
      </c>
      <c r="G125" s="24">
        <f>F125/B2</f>
        <v>0.8595</v>
      </c>
      <c r="H125" s="25">
        <f t="shared" si="5"/>
        <v>17.46</v>
      </c>
      <c r="I125" s="26">
        <f>H125/B3</f>
        <v>0.873</v>
      </c>
      <c r="J125" s="22">
        <v>0.0</v>
      </c>
      <c r="K125" s="22">
        <v>0.0</v>
      </c>
      <c r="L125" s="22">
        <v>0.0</v>
      </c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</row>
    <row r="126">
      <c r="A126" s="12">
        <v>46303.0</v>
      </c>
      <c r="B126" s="21" t="s">
        <v>61</v>
      </c>
      <c r="C126" s="2">
        <v>0.0</v>
      </c>
      <c r="D126" s="23">
        <f t="shared" si="3"/>
        <v>17.42</v>
      </c>
      <c r="E126" s="24">
        <f>D126/B1</f>
        <v>0.871</v>
      </c>
      <c r="F126" s="23">
        <f t="shared" si="4"/>
        <v>17.19</v>
      </c>
      <c r="G126" s="24">
        <f>F126/B2</f>
        <v>0.8595</v>
      </c>
      <c r="H126" s="25">
        <f t="shared" si="5"/>
        <v>17.46</v>
      </c>
      <c r="I126" s="26">
        <f>H126/B3</f>
        <v>0.873</v>
      </c>
      <c r="J126" s="22">
        <v>0.0</v>
      </c>
      <c r="K126" s="22">
        <v>0.0</v>
      </c>
      <c r="L126" s="22">
        <v>0.0</v>
      </c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</row>
    <row r="127">
      <c r="A127" s="12">
        <v>46303.0</v>
      </c>
      <c r="B127" s="21" t="s">
        <v>62</v>
      </c>
      <c r="C127" s="2">
        <v>0.0</v>
      </c>
      <c r="D127" s="23">
        <f t="shared" si="3"/>
        <v>17.42</v>
      </c>
      <c r="E127" s="24">
        <f>D127/B1</f>
        <v>0.871</v>
      </c>
      <c r="F127" s="23">
        <f t="shared" si="4"/>
        <v>17.19</v>
      </c>
      <c r="G127" s="24">
        <f>F127/B2</f>
        <v>0.8595</v>
      </c>
      <c r="H127" s="25">
        <f t="shared" si="5"/>
        <v>17.46</v>
      </c>
      <c r="I127" s="26">
        <f>H127/B3</f>
        <v>0.873</v>
      </c>
      <c r="J127" s="22">
        <v>0.0</v>
      </c>
      <c r="K127" s="22">
        <v>0.0</v>
      </c>
      <c r="L127" s="22">
        <v>0.0</v>
      </c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</row>
    <row r="128">
      <c r="A128" s="12">
        <v>46303.0</v>
      </c>
      <c r="B128" s="21" t="s">
        <v>63</v>
      </c>
      <c r="C128" s="2">
        <v>1.54</v>
      </c>
      <c r="D128" s="23">
        <f t="shared" si="3"/>
        <v>17.42</v>
      </c>
      <c r="E128" s="24">
        <f>D128/B1</f>
        <v>0.871</v>
      </c>
      <c r="F128" s="23">
        <f t="shared" si="4"/>
        <v>17.19</v>
      </c>
      <c r="G128" s="24">
        <f>F128/B2</f>
        <v>0.8595</v>
      </c>
      <c r="H128" s="25">
        <f t="shared" si="5"/>
        <v>15.92</v>
      </c>
      <c r="I128" s="26">
        <f>H128/B3</f>
        <v>0.796</v>
      </c>
      <c r="J128" s="22">
        <v>0.0</v>
      </c>
      <c r="K128" s="22">
        <v>0.0</v>
      </c>
      <c r="L128" s="22">
        <v>0.0</v>
      </c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</row>
    <row r="129">
      <c r="A129" s="12">
        <v>46304.0</v>
      </c>
      <c r="B129" s="6" t="s">
        <v>61</v>
      </c>
      <c r="C129" s="2">
        <v>0.0</v>
      </c>
      <c r="D129" s="16">
        <f t="shared" si="3"/>
        <v>17.42</v>
      </c>
      <c r="E129" s="17">
        <f>D129/B1</f>
        <v>0.871</v>
      </c>
      <c r="F129" s="16">
        <f t="shared" si="4"/>
        <v>17.19</v>
      </c>
      <c r="G129" s="17">
        <f>F129/B2</f>
        <v>0.8595</v>
      </c>
      <c r="H129" s="15">
        <f t="shared" si="5"/>
        <v>15.92</v>
      </c>
      <c r="I129" s="14">
        <f>H129/B3</f>
        <v>0.796</v>
      </c>
      <c r="J129" s="2">
        <v>0.0</v>
      </c>
      <c r="K129" s="2">
        <v>0.0</v>
      </c>
      <c r="L129" s="2">
        <v>0.0</v>
      </c>
    </row>
    <row r="130">
      <c r="A130" s="12">
        <v>46304.0</v>
      </c>
      <c r="B130" s="6" t="s">
        <v>62</v>
      </c>
      <c r="C130" s="2">
        <v>1.63</v>
      </c>
      <c r="D130" s="16">
        <f t="shared" si="3"/>
        <v>17.42</v>
      </c>
      <c r="E130" s="17">
        <f>D130/B1</f>
        <v>0.871</v>
      </c>
      <c r="F130" s="16">
        <f t="shared" si="4"/>
        <v>15.56</v>
      </c>
      <c r="G130" s="17">
        <f>F130/B2</f>
        <v>0.778</v>
      </c>
      <c r="H130" s="15">
        <f t="shared" si="5"/>
        <v>15.92</v>
      </c>
      <c r="I130" s="14">
        <f>H130/B3</f>
        <v>0.796</v>
      </c>
      <c r="J130" s="2">
        <v>0.0</v>
      </c>
      <c r="K130" s="2">
        <v>0.0</v>
      </c>
      <c r="L130" s="2">
        <v>0.0</v>
      </c>
    </row>
    <row r="131">
      <c r="A131" s="12">
        <v>46304.0</v>
      </c>
      <c r="B131" s="6" t="s">
        <v>63</v>
      </c>
      <c r="C131" s="2">
        <v>0.0</v>
      </c>
      <c r="D131" s="16">
        <f t="shared" si="3"/>
        <v>17.42</v>
      </c>
      <c r="E131" s="17">
        <f>D131/B1</f>
        <v>0.871</v>
      </c>
      <c r="F131" s="16">
        <f t="shared" si="4"/>
        <v>15.56</v>
      </c>
      <c r="G131" s="17">
        <f>F131/B2</f>
        <v>0.778</v>
      </c>
      <c r="H131" s="15">
        <f t="shared" si="5"/>
        <v>15.92</v>
      </c>
      <c r="I131" s="14">
        <f>H131/B3</f>
        <v>0.796</v>
      </c>
      <c r="J131" s="2">
        <v>0.0</v>
      </c>
      <c r="K131" s="2">
        <v>0.0</v>
      </c>
      <c r="L131" s="2">
        <v>0.0</v>
      </c>
    </row>
    <row r="132">
      <c r="A132" s="12">
        <v>46305.0</v>
      </c>
      <c r="B132" s="6" t="s">
        <v>61</v>
      </c>
      <c r="C132" s="2">
        <v>1.69</v>
      </c>
      <c r="D132" s="16">
        <f t="shared" si="3"/>
        <v>15.73</v>
      </c>
      <c r="E132" s="17">
        <f>D132/B1</f>
        <v>0.7865</v>
      </c>
      <c r="F132" s="16">
        <f t="shared" si="4"/>
        <v>15.56</v>
      </c>
      <c r="G132" s="17">
        <f>F132/B2</f>
        <v>0.778</v>
      </c>
      <c r="H132" s="15">
        <f t="shared" si="5"/>
        <v>15.92</v>
      </c>
      <c r="I132" s="14">
        <f>H132/B3</f>
        <v>0.796</v>
      </c>
      <c r="J132" s="2">
        <v>0.0</v>
      </c>
      <c r="K132" s="2">
        <v>0.0</v>
      </c>
      <c r="L132" s="2">
        <v>0.0</v>
      </c>
    </row>
    <row r="133">
      <c r="A133" s="12">
        <v>46305.0</v>
      </c>
      <c r="B133" s="6" t="s">
        <v>62</v>
      </c>
      <c r="C133" s="2">
        <v>0.0</v>
      </c>
      <c r="D133" s="16">
        <f t="shared" si="3"/>
        <v>15.73</v>
      </c>
      <c r="E133" s="17">
        <f>D133/B1</f>
        <v>0.7865</v>
      </c>
      <c r="F133" s="16">
        <f t="shared" si="4"/>
        <v>15.56</v>
      </c>
      <c r="G133" s="17">
        <f>F133/B2</f>
        <v>0.778</v>
      </c>
      <c r="H133" s="15">
        <f t="shared" si="5"/>
        <v>15.92</v>
      </c>
      <c r="I133" s="14">
        <f>H133/B3</f>
        <v>0.796</v>
      </c>
      <c r="J133" s="2">
        <v>0.0</v>
      </c>
      <c r="K133" s="2">
        <v>0.0</v>
      </c>
      <c r="L133" s="2">
        <v>0.0</v>
      </c>
    </row>
    <row r="134">
      <c r="A134" s="12">
        <v>46305.0</v>
      </c>
      <c r="B134" s="6" t="s">
        <v>63</v>
      </c>
      <c r="C134" s="2">
        <v>0.0</v>
      </c>
      <c r="D134" s="16">
        <f t="shared" si="3"/>
        <v>15.73</v>
      </c>
      <c r="E134" s="17">
        <f>D134/B1</f>
        <v>0.7865</v>
      </c>
      <c r="F134" s="16">
        <f t="shared" si="4"/>
        <v>15.56</v>
      </c>
      <c r="G134" s="17">
        <f>F134/B2</f>
        <v>0.778</v>
      </c>
      <c r="H134" s="15">
        <f t="shared" si="5"/>
        <v>15.92</v>
      </c>
      <c r="I134" s="14">
        <f>H134/B3</f>
        <v>0.796</v>
      </c>
      <c r="J134" s="2">
        <v>0.0</v>
      </c>
      <c r="K134" s="2">
        <v>0.0</v>
      </c>
      <c r="L134" s="2">
        <v>0.0</v>
      </c>
    </row>
    <row r="135">
      <c r="A135" s="12">
        <v>46306.0</v>
      </c>
      <c r="B135" s="6" t="s">
        <v>61</v>
      </c>
      <c r="C135" s="2">
        <v>0.0</v>
      </c>
      <c r="D135" s="16">
        <f t="shared" si="3"/>
        <v>15.73</v>
      </c>
      <c r="E135" s="17">
        <f>D135/B1</f>
        <v>0.7865</v>
      </c>
      <c r="F135" s="16">
        <f t="shared" si="4"/>
        <v>15.56</v>
      </c>
      <c r="G135" s="17">
        <f>F135/B2</f>
        <v>0.778</v>
      </c>
      <c r="H135" s="15">
        <f t="shared" si="5"/>
        <v>15.92</v>
      </c>
      <c r="I135" s="14">
        <f>H135/B3</f>
        <v>0.796</v>
      </c>
      <c r="J135" s="2">
        <v>0.0</v>
      </c>
      <c r="K135" s="2">
        <v>0.0</v>
      </c>
      <c r="L135" s="2">
        <v>0.0</v>
      </c>
    </row>
    <row r="136">
      <c r="A136" s="12">
        <v>46306.0</v>
      </c>
      <c r="B136" s="6" t="s">
        <v>62</v>
      </c>
      <c r="C136" s="2">
        <v>1.69</v>
      </c>
      <c r="D136" s="16">
        <f t="shared" si="3"/>
        <v>15.73</v>
      </c>
      <c r="E136" s="17">
        <f>D136/B1</f>
        <v>0.7865</v>
      </c>
      <c r="F136" s="16">
        <f t="shared" si="4"/>
        <v>13.87</v>
      </c>
      <c r="G136" s="17">
        <f>F136/B2</f>
        <v>0.6935</v>
      </c>
      <c r="H136" s="15">
        <f t="shared" si="5"/>
        <v>15.92</v>
      </c>
      <c r="I136" s="14">
        <f>H136/B3</f>
        <v>0.796</v>
      </c>
      <c r="J136" s="2">
        <v>0.0</v>
      </c>
      <c r="K136" s="2">
        <v>0.0</v>
      </c>
      <c r="L136" s="2">
        <v>0.0</v>
      </c>
    </row>
    <row r="137">
      <c r="A137" s="12">
        <v>46306.0</v>
      </c>
      <c r="B137" s="6" t="s">
        <v>63</v>
      </c>
      <c r="C137" s="2">
        <v>0.0</v>
      </c>
      <c r="D137" s="16">
        <f t="shared" si="3"/>
        <v>15.73</v>
      </c>
      <c r="E137" s="17">
        <f>D137/B1</f>
        <v>0.7865</v>
      </c>
      <c r="F137" s="16">
        <f t="shared" si="4"/>
        <v>13.87</v>
      </c>
      <c r="G137" s="17">
        <f>F137/B2</f>
        <v>0.6935</v>
      </c>
      <c r="H137" s="15">
        <f t="shared" si="5"/>
        <v>15.92</v>
      </c>
      <c r="I137" s="14">
        <f>H137/B3</f>
        <v>0.796</v>
      </c>
      <c r="J137" s="2">
        <v>0.0</v>
      </c>
      <c r="K137" s="2">
        <v>0.0</v>
      </c>
      <c r="L137" s="2">
        <v>0.0</v>
      </c>
    </row>
    <row r="138">
      <c r="A138" s="12">
        <v>46307.0</v>
      </c>
      <c r="B138" s="6" t="s">
        <v>61</v>
      </c>
      <c r="C138" s="2">
        <v>1.4</v>
      </c>
      <c r="D138" s="16">
        <f t="shared" si="3"/>
        <v>14.33</v>
      </c>
      <c r="E138" s="17">
        <f>D138/B1</f>
        <v>0.7165</v>
      </c>
      <c r="F138" s="16">
        <f t="shared" si="4"/>
        <v>13.87</v>
      </c>
      <c r="G138" s="17">
        <f>F138/B2</f>
        <v>0.6935</v>
      </c>
      <c r="H138" s="15">
        <f t="shared" si="5"/>
        <v>15.92</v>
      </c>
      <c r="I138" s="14">
        <f>H138/B3</f>
        <v>0.796</v>
      </c>
      <c r="J138" s="2">
        <v>0.0</v>
      </c>
      <c r="K138" s="2">
        <v>0.0</v>
      </c>
      <c r="L138" s="2">
        <v>0.0</v>
      </c>
    </row>
    <row r="139">
      <c r="A139" s="12">
        <v>46307.0</v>
      </c>
      <c r="B139" s="6" t="s">
        <v>62</v>
      </c>
      <c r="C139" s="2">
        <v>0.0</v>
      </c>
      <c r="D139" s="16">
        <f t="shared" si="3"/>
        <v>14.33</v>
      </c>
      <c r="E139" s="17">
        <f>D139/B1</f>
        <v>0.7165</v>
      </c>
      <c r="F139" s="16">
        <f t="shared" si="4"/>
        <v>13.87</v>
      </c>
      <c r="G139" s="17">
        <f>F139/B2</f>
        <v>0.6935</v>
      </c>
      <c r="H139" s="15">
        <f t="shared" si="5"/>
        <v>15.92</v>
      </c>
      <c r="I139" s="14">
        <f>H139/B3</f>
        <v>0.796</v>
      </c>
      <c r="J139" s="2">
        <v>0.0</v>
      </c>
      <c r="K139" s="2">
        <v>0.0</v>
      </c>
      <c r="L139" s="2">
        <v>0.0</v>
      </c>
    </row>
    <row r="140">
      <c r="A140" s="12">
        <v>46307.0</v>
      </c>
      <c r="B140" s="6" t="s">
        <v>63</v>
      </c>
      <c r="C140" s="2">
        <v>0.0</v>
      </c>
      <c r="D140" s="16">
        <f t="shared" si="3"/>
        <v>14.33</v>
      </c>
      <c r="E140" s="17">
        <f>D140/B1</f>
        <v>0.7165</v>
      </c>
      <c r="F140" s="16">
        <f t="shared" si="4"/>
        <v>13.87</v>
      </c>
      <c r="G140" s="17">
        <f>F140/B2</f>
        <v>0.6935</v>
      </c>
      <c r="H140" s="15">
        <f t="shared" si="5"/>
        <v>15.92</v>
      </c>
      <c r="I140" s="14">
        <f>H140/B3</f>
        <v>0.796</v>
      </c>
      <c r="J140" s="2">
        <v>0.0</v>
      </c>
      <c r="K140" s="2">
        <v>0.0</v>
      </c>
      <c r="L140" s="2">
        <v>0.0</v>
      </c>
    </row>
    <row r="141">
      <c r="A141" s="12">
        <v>46308.0</v>
      </c>
      <c r="B141" s="21" t="s">
        <v>61</v>
      </c>
      <c r="C141" s="2">
        <v>0.0</v>
      </c>
      <c r="D141" s="23">
        <f t="shared" si="3"/>
        <v>14.33</v>
      </c>
      <c r="E141" s="24">
        <f>D141/B1</f>
        <v>0.7165</v>
      </c>
      <c r="F141" s="23">
        <f t="shared" si="4"/>
        <v>13.87</v>
      </c>
      <c r="G141" s="24">
        <f>F141/B2</f>
        <v>0.6935</v>
      </c>
      <c r="H141" s="25">
        <f t="shared" si="5"/>
        <v>15.92</v>
      </c>
      <c r="I141" s="26">
        <f>H141/B3</f>
        <v>0.796</v>
      </c>
      <c r="J141" s="22">
        <v>0.0</v>
      </c>
      <c r="K141" s="22">
        <v>0.0</v>
      </c>
      <c r="L141" s="22">
        <v>0.0</v>
      </c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</row>
    <row r="142">
      <c r="A142" s="12">
        <v>46308.0</v>
      </c>
      <c r="B142" s="21" t="s">
        <v>62</v>
      </c>
      <c r="C142" s="2">
        <v>0.0</v>
      </c>
      <c r="D142" s="23">
        <f t="shared" si="3"/>
        <v>14.33</v>
      </c>
      <c r="E142" s="24">
        <f>D142/B1</f>
        <v>0.7165</v>
      </c>
      <c r="F142" s="23">
        <f t="shared" si="4"/>
        <v>13.87</v>
      </c>
      <c r="G142" s="24">
        <f>F142/B2</f>
        <v>0.6935</v>
      </c>
      <c r="H142" s="25">
        <f t="shared" si="5"/>
        <v>15.92</v>
      </c>
      <c r="I142" s="26">
        <f>H142/B3</f>
        <v>0.796</v>
      </c>
      <c r="J142" s="22">
        <v>0.0</v>
      </c>
      <c r="K142" s="22">
        <v>0.0</v>
      </c>
      <c r="L142" s="22">
        <v>0.0</v>
      </c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</row>
    <row r="143">
      <c r="A143" s="12">
        <v>46308.0</v>
      </c>
      <c r="B143" s="21" t="s">
        <v>63</v>
      </c>
      <c r="C143" s="2">
        <v>0.0</v>
      </c>
      <c r="D143" s="23">
        <f t="shared" si="3"/>
        <v>14.33</v>
      </c>
      <c r="E143" s="24">
        <f>D143/B1</f>
        <v>0.7165</v>
      </c>
      <c r="F143" s="23">
        <f t="shared" si="4"/>
        <v>13.87</v>
      </c>
      <c r="G143" s="24">
        <f>F143/B2</f>
        <v>0.6935</v>
      </c>
      <c r="H143" s="25">
        <f t="shared" si="5"/>
        <v>15.92</v>
      </c>
      <c r="I143" s="26">
        <f>H143/B3</f>
        <v>0.796</v>
      </c>
      <c r="J143" s="22">
        <v>0.0</v>
      </c>
      <c r="K143" s="22">
        <v>0.0</v>
      </c>
      <c r="L143" s="22">
        <v>0.0</v>
      </c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</row>
    <row r="144">
      <c r="A144" s="12">
        <v>46309.0</v>
      </c>
      <c r="B144" s="21" t="s">
        <v>61</v>
      </c>
      <c r="C144" s="2">
        <v>0.0</v>
      </c>
      <c r="D144" s="23">
        <f t="shared" si="3"/>
        <v>14.33</v>
      </c>
      <c r="E144" s="24">
        <f>D144/B1</f>
        <v>0.7165</v>
      </c>
      <c r="F144" s="23">
        <f t="shared" si="4"/>
        <v>13.87</v>
      </c>
      <c r="G144" s="24">
        <f>F144/B2</f>
        <v>0.6935</v>
      </c>
      <c r="H144" s="25">
        <f t="shared" si="5"/>
        <v>15.92</v>
      </c>
      <c r="I144" s="26">
        <f>H144/B3</f>
        <v>0.796</v>
      </c>
      <c r="J144" s="22">
        <v>0.0</v>
      </c>
      <c r="K144" s="22">
        <v>0.0</v>
      </c>
      <c r="L144" s="22">
        <v>0.0</v>
      </c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</row>
    <row r="145">
      <c r="A145" s="12">
        <v>46309.0</v>
      </c>
      <c r="B145" s="21" t="s">
        <v>62</v>
      </c>
      <c r="C145" s="2">
        <v>0.0</v>
      </c>
      <c r="D145" s="23">
        <f t="shared" si="3"/>
        <v>14.33</v>
      </c>
      <c r="E145" s="24">
        <f>D145/B1</f>
        <v>0.7165</v>
      </c>
      <c r="F145" s="23">
        <f t="shared" si="4"/>
        <v>13.87</v>
      </c>
      <c r="G145" s="24">
        <f>F145/B2</f>
        <v>0.6935</v>
      </c>
      <c r="H145" s="25">
        <f t="shared" si="5"/>
        <v>15.92</v>
      </c>
      <c r="I145" s="26">
        <f>H145/B3</f>
        <v>0.796</v>
      </c>
      <c r="J145" s="22">
        <v>0.0</v>
      </c>
      <c r="K145" s="22">
        <v>0.0</v>
      </c>
      <c r="L145" s="22">
        <v>0.0</v>
      </c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</row>
    <row r="146">
      <c r="A146" s="12">
        <v>46309.0</v>
      </c>
      <c r="B146" s="21" t="s">
        <v>63</v>
      </c>
      <c r="C146" s="2">
        <v>0.0</v>
      </c>
      <c r="D146" s="23">
        <f t="shared" si="3"/>
        <v>14.33</v>
      </c>
      <c r="E146" s="24">
        <f>D146/B1</f>
        <v>0.7165</v>
      </c>
      <c r="F146" s="23">
        <f t="shared" si="4"/>
        <v>13.87</v>
      </c>
      <c r="G146" s="24">
        <f>F146/B2</f>
        <v>0.6935</v>
      </c>
      <c r="H146" s="25">
        <f t="shared" si="5"/>
        <v>15.92</v>
      </c>
      <c r="I146" s="26">
        <f>H146/B3</f>
        <v>0.796</v>
      </c>
      <c r="J146" s="22">
        <v>0.0</v>
      </c>
      <c r="K146" s="22">
        <v>0.0</v>
      </c>
      <c r="L146" s="22">
        <v>0.0</v>
      </c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</row>
    <row r="147">
      <c r="A147" s="12">
        <v>46310.0</v>
      </c>
      <c r="B147" s="21" t="s">
        <v>61</v>
      </c>
      <c r="C147" s="2">
        <v>0.0</v>
      </c>
      <c r="D147" s="23">
        <f t="shared" si="3"/>
        <v>14.33</v>
      </c>
      <c r="E147" s="24">
        <f>D147/B1</f>
        <v>0.7165</v>
      </c>
      <c r="F147" s="23">
        <f t="shared" si="4"/>
        <v>13.87</v>
      </c>
      <c r="G147" s="24">
        <f>F147/B2</f>
        <v>0.6935</v>
      </c>
      <c r="H147" s="25">
        <f t="shared" si="5"/>
        <v>15.92</v>
      </c>
      <c r="I147" s="26">
        <f>H147/B3</f>
        <v>0.796</v>
      </c>
      <c r="J147" s="22">
        <v>0.0</v>
      </c>
      <c r="K147" s="22">
        <v>0.0</v>
      </c>
      <c r="L147" s="22">
        <v>0.0</v>
      </c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</row>
    <row r="148">
      <c r="A148" s="12">
        <v>46310.0</v>
      </c>
      <c r="B148" s="21" t="s">
        <v>62</v>
      </c>
      <c r="C148" s="2">
        <v>0.0</v>
      </c>
      <c r="D148" s="23">
        <f t="shared" si="3"/>
        <v>14.33</v>
      </c>
      <c r="E148" s="24">
        <f>D148/B1</f>
        <v>0.7165</v>
      </c>
      <c r="F148" s="23">
        <f t="shared" si="4"/>
        <v>13.87</v>
      </c>
      <c r="G148" s="24">
        <f>F148/B2</f>
        <v>0.6935</v>
      </c>
      <c r="H148" s="25">
        <f t="shared" si="5"/>
        <v>15.92</v>
      </c>
      <c r="I148" s="26">
        <f>H148/B3</f>
        <v>0.796</v>
      </c>
      <c r="J148" s="22">
        <v>0.0</v>
      </c>
      <c r="K148" s="22">
        <v>0.0</v>
      </c>
      <c r="L148" s="22">
        <v>0.0</v>
      </c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</row>
    <row r="149">
      <c r="A149" s="12">
        <v>46310.0</v>
      </c>
      <c r="B149" s="21" t="s">
        <v>63</v>
      </c>
      <c r="C149" s="2">
        <v>0.0</v>
      </c>
      <c r="D149" s="23">
        <f t="shared" si="3"/>
        <v>14.33</v>
      </c>
      <c r="E149" s="24">
        <f>D149/B1</f>
        <v>0.7165</v>
      </c>
      <c r="F149" s="23">
        <f t="shared" si="4"/>
        <v>13.87</v>
      </c>
      <c r="G149" s="24">
        <f>F149/B2</f>
        <v>0.6935</v>
      </c>
      <c r="H149" s="25">
        <f t="shared" si="5"/>
        <v>15.92</v>
      </c>
      <c r="I149" s="26">
        <f>H149/B3</f>
        <v>0.796</v>
      </c>
      <c r="J149" s="22">
        <v>0.0</v>
      </c>
      <c r="K149" s="22">
        <v>0.0</v>
      </c>
      <c r="L149" s="22">
        <v>0.0</v>
      </c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</row>
    <row r="150">
      <c r="A150" s="12">
        <v>46311.0</v>
      </c>
      <c r="B150" s="21" t="s">
        <v>61</v>
      </c>
      <c r="C150" s="2">
        <v>0.0</v>
      </c>
      <c r="D150" s="23">
        <f t="shared" si="3"/>
        <v>14.33</v>
      </c>
      <c r="E150" s="24">
        <f>D150/B1</f>
        <v>0.7165</v>
      </c>
      <c r="F150" s="23">
        <f t="shared" si="4"/>
        <v>13.87</v>
      </c>
      <c r="G150" s="24">
        <f>F150/B2</f>
        <v>0.6935</v>
      </c>
      <c r="H150" s="25">
        <f t="shared" si="5"/>
        <v>15.92</v>
      </c>
      <c r="I150" s="26">
        <f>H150/B3</f>
        <v>0.796</v>
      </c>
      <c r="J150" s="22">
        <v>0.0</v>
      </c>
      <c r="K150" s="22">
        <v>0.0</v>
      </c>
      <c r="L150" s="22">
        <v>0.0</v>
      </c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</row>
    <row r="151">
      <c r="A151" s="12">
        <v>46311.0</v>
      </c>
      <c r="B151" s="21" t="s">
        <v>62</v>
      </c>
      <c r="C151" s="2">
        <v>0.0</v>
      </c>
      <c r="D151" s="23">
        <f t="shared" si="3"/>
        <v>14.33</v>
      </c>
      <c r="E151" s="24">
        <f>D151/B1</f>
        <v>0.7165</v>
      </c>
      <c r="F151" s="23">
        <f t="shared" si="4"/>
        <v>13.87</v>
      </c>
      <c r="G151" s="24">
        <f>F151/B2</f>
        <v>0.6935</v>
      </c>
      <c r="H151" s="25">
        <f t="shared" si="5"/>
        <v>15.92</v>
      </c>
      <c r="I151" s="26">
        <f>H151/B3</f>
        <v>0.796</v>
      </c>
      <c r="J151" s="22">
        <v>0.0</v>
      </c>
      <c r="K151" s="22">
        <v>0.0</v>
      </c>
      <c r="L151" s="22">
        <v>0.0</v>
      </c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</row>
    <row r="152">
      <c r="A152" s="12">
        <v>46311.0</v>
      </c>
      <c r="B152" s="21" t="s">
        <v>63</v>
      </c>
      <c r="C152" s="2">
        <v>0.0</v>
      </c>
      <c r="D152" s="23">
        <f t="shared" si="3"/>
        <v>14.33</v>
      </c>
      <c r="E152" s="24">
        <f>D152/B1</f>
        <v>0.7165</v>
      </c>
      <c r="F152" s="23">
        <f t="shared" si="4"/>
        <v>13.87</v>
      </c>
      <c r="G152" s="24">
        <f>F152/B2</f>
        <v>0.6935</v>
      </c>
      <c r="H152" s="25">
        <f t="shared" si="5"/>
        <v>15.92</v>
      </c>
      <c r="I152" s="26">
        <f>H152/B3</f>
        <v>0.796</v>
      </c>
      <c r="J152" s="22">
        <v>0.0</v>
      </c>
      <c r="K152" s="22">
        <v>0.0</v>
      </c>
      <c r="L152" s="22">
        <v>0.0</v>
      </c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</row>
    <row r="153">
      <c r="A153" s="12">
        <v>46312.0</v>
      </c>
      <c r="B153" s="21" t="s">
        <v>61</v>
      </c>
      <c r="C153" s="2">
        <v>1.46</v>
      </c>
      <c r="D153" s="23">
        <f t="shared" si="3"/>
        <v>12.87</v>
      </c>
      <c r="E153" s="24">
        <f>D153/B1</f>
        <v>0.6435</v>
      </c>
      <c r="F153" s="23">
        <f t="shared" si="4"/>
        <v>13.87</v>
      </c>
      <c r="G153" s="24">
        <f>F153/B2</f>
        <v>0.6935</v>
      </c>
      <c r="H153" s="25">
        <f t="shared" si="5"/>
        <v>15.92</v>
      </c>
      <c r="I153" s="26">
        <f>H153/B3</f>
        <v>0.796</v>
      </c>
      <c r="J153" s="22">
        <v>0.0</v>
      </c>
      <c r="K153" s="22">
        <v>0.0</v>
      </c>
      <c r="L153" s="22">
        <v>0.0</v>
      </c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</row>
    <row r="154">
      <c r="A154" s="12">
        <v>46312.0</v>
      </c>
      <c r="B154" s="21" t="s">
        <v>62</v>
      </c>
      <c r="C154" s="2">
        <v>0.0</v>
      </c>
      <c r="D154" s="23">
        <f t="shared" si="3"/>
        <v>12.87</v>
      </c>
      <c r="E154" s="24">
        <f>D154/B1</f>
        <v>0.6435</v>
      </c>
      <c r="F154" s="23">
        <f t="shared" si="4"/>
        <v>13.87</v>
      </c>
      <c r="G154" s="24">
        <f>F154/B2</f>
        <v>0.6935</v>
      </c>
      <c r="H154" s="25">
        <f t="shared" si="5"/>
        <v>15.92</v>
      </c>
      <c r="I154" s="26">
        <f>H154/B3</f>
        <v>0.796</v>
      </c>
      <c r="J154" s="22">
        <v>0.0</v>
      </c>
      <c r="K154" s="22">
        <v>0.0</v>
      </c>
      <c r="L154" s="22">
        <v>0.0</v>
      </c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</row>
    <row r="155">
      <c r="A155" s="12">
        <v>46312.0</v>
      </c>
      <c r="B155" s="21" t="s">
        <v>63</v>
      </c>
      <c r="C155" s="2">
        <v>1.57</v>
      </c>
      <c r="D155" s="23">
        <f t="shared" si="3"/>
        <v>12.87</v>
      </c>
      <c r="E155" s="24">
        <f>D155/B1</f>
        <v>0.6435</v>
      </c>
      <c r="F155" s="23">
        <f t="shared" si="4"/>
        <v>13.87</v>
      </c>
      <c r="G155" s="24">
        <f>F155/B2</f>
        <v>0.6935</v>
      </c>
      <c r="H155" s="25">
        <f t="shared" si="5"/>
        <v>14.35</v>
      </c>
      <c r="I155" s="26">
        <f>H155/B3</f>
        <v>0.7175</v>
      </c>
      <c r="J155" s="22">
        <v>0.0</v>
      </c>
      <c r="K155" s="22">
        <v>0.0</v>
      </c>
      <c r="L155" s="22">
        <v>0.0</v>
      </c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</row>
    <row r="156">
      <c r="A156" s="12">
        <v>46313.0</v>
      </c>
      <c r="B156" s="21" t="s">
        <v>61</v>
      </c>
      <c r="C156" s="2">
        <v>0.0</v>
      </c>
      <c r="D156" s="23">
        <f t="shared" si="3"/>
        <v>12.87</v>
      </c>
      <c r="E156" s="24">
        <f>D156/B1</f>
        <v>0.6435</v>
      </c>
      <c r="F156" s="23">
        <f t="shared" si="4"/>
        <v>13.87</v>
      </c>
      <c r="G156" s="24">
        <f>F156/B2</f>
        <v>0.6935</v>
      </c>
      <c r="H156" s="25">
        <f t="shared" si="5"/>
        <v>14.35</v>
      </c>
      <c r="I156" s="26">
        <f>H156/B3</f>
        <v>0.7175</v>
      </c>
      <c r="J156" s="22">
        <v>0.0</v>
      </c>
      <c r="K156" s="22">
        <v>0.0</v>
      </c>
      <c r="L156" s="22">
        <v>0.0</v>
      </c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</row>
    <row r="157">
      <c r="A157" s="12">
        <v>46313.0</v>
      </c>
      <c r="B157" s="21" t="s">
        <v>62</v>
      </c>
      <c r="C157" s="2">
        <v>0.0</v>
      </c>
      <c r="D157" s="23">
        <f t="shared" si="3"/>
        <v>12.87</v>
      </c>
      <c r="E157" s="24">
        <f>D157/B1</f>
        <v>0.6435</v>
      </c>
      <c r="F157" s="23">
        <f t="shared" si="4"/>
        <v>13.87</v>
      </c>
      <c r="G157" s="24">
        <f>F157/B2</f>
        <v>0.6935</v>
      </c>
      <c r="H157" s="25">
        <f t="shared" si="5"/>
        <v>14.35</v>
      </c>
      <c r="I157" s="26">
        <f>H157/B3</f>
        <v>0.7175</v>
      </c>
      <c r="J157" s="22">
        <v>0.0</v>
      </c>
      <c r="K157" s="22">
        <v>0.0</v>
      </c>
      <c r="L157" s="22">
        <v>0.0</v>
      </c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</row>
    <row r="158">
      <c r="A158" s="12">
        <v>46313.0</v>
      </c>
      <c r="B158" s="21" t="s">
        <v>63</v>
      </c>
      <c r="C158" s="2">
        <v>0.0</v>
      </c>
      <c r="D158" s="23">
        <f t="shared" si="3"/>
        <v>12.87</v>
      </c>
      <c r="E158" s="24">
        <f>D158/B1</f>
        <v>0.6435</v>
      </c>
      <c r="F158" s="23">
        <f t="shared" si="4"/>
        <v>13.87</v>
      </c>
      <c r="G158" s="24">
        <f>F158/B2</f>
        <v>0.6935</v>
      </c>
      <c r="H158" s="25">
        <f t="shared" si="5"/>
        <v>14.35</v>
      </c>
      <c r="I158" s="26">
        <f>H158/B3</f>
        <v>0.7175</v>
      </c>
      <c r="J158" s="22">
        <v>0.0</v>
      </c>
      <c r="K158" s="22">
        <v>0.0</v>
      </c>
      <c r="L158" s="22">
        <v>0.0</v>
      </c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</row>
    <row r="159">
      <c r="A159" s="12">
        <v>46314.0</v>
      </c>
      <c r="B159" s="21" t="s">
        <v>61</v>
      </c>
      <c r="C159" s="2">
        <v>0.0</v>
      </c>
      <c r="D159" s="23">
        <f t="shared" si="3"/>
        <v>12.87</v>
      </c>
      <c r="E159" s="24">
        <f>D159/B1</f>
        <v>0.6435</v>
      </c>
      <c r="F159" s="23">
        <f t="shared" si="4"/>
        <v>13.87</v>
      </c>
      <c r="G159" s="24">
        <f>F159/B2</f>
        <v>0.6935</v>
      </c>
      <c r="H159" s="25">
        <f t="shared" si="5"/>
        <v>14.35</v>
      </c>
      <c r="I159" s="26">
        <f>H159/B3</f>
        <v>0.7175</v>
      </c>
      <c r="J159" s="22">
        <v>0.0</v>
      </c>
      <c r="K159" s="22">
        <v>0.0</v>
      </c>
      <c r="L159" s="22">
        <v>0.0</v>
      </c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</row>
    <row r="160">
      <c r="A160" s="12">
        <v>46314.0</v>
      </c>
      <c r="B160" s="21" t="s">
        <v>62</v>
      </c>
      <c r="C160" s="2">
        <v>0.0</v>
      </c>
      <c r="D160" s="23">
        <f t="shared" si="3"/>
        <v>12.87</v>
      </c>
      <c r="E160" s="24">
        <f>D160/B1</f>
        <v>0.6435</v>
      </c>
      <c r="F160" s="23">
        <f t="shared" si="4"/>
        <v>13.87</v>
      </c>
      <c r="G160" s="24">
        <f>F160/B2</f>
        <v>0.6935</v>
      </c>
      <c r="H160" s="25">
        <f t="shared" si="5"/>
        <v>14.35</v>
      </c>
      <c r="I160" s="26">
        <f>H160/B3</f>
        <v>0.7175</v>
      </c>
      <c r="J160" s="22">
        <v>0.0</v>
      </c>
      <c r="K160" s="22">
        <v>0.0</v>
      </c>
      <c r="L160" s="22">
        <v>0.0</v>
      </c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</row>
    <row r="161">
      <c r="A161" s="12">
        <v>46314.0</v>
      </c>
      <c r="B161" s="21" t="s">
        <v>63</v>
      </c>
      <c r="C161" s="2">
        <v>0.0</v>
      </c>
      <c r="D161" s="23">
        <f t="shared" si="3"/>
        <v>12.87</v>
      </c>
      <c r="E161" s="24">
        <f>D161/B1</f>
        <v>0.6435</v>
      </c>
      <c r="F161" s="23">
        <f t="shared" si="4"/>
        <v>13.87</v>
      </c>
      <c r="G161" s="24">
        <f>F161/B2</f>
        <v>0.6935</v>
      </c>
      <c r="H161" s="25">
        <f t="shared" si="5"/>
        <v>14.35</v>
      </c>
      <c r="I161" s="26">
        <f>H161/B3</f>
        <v>0.7175</v>
      </c>
      <c r="J161" s="22">
        <v>0.0</v>
      </c>
      <c r="K161" s="22">
        <v>0.0</v>
      </c>
      <c r="L161" s="22">
        <v>0.0</v>
      </c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</row>
    <row r="162">
      <c r="A162" s="12">
        <v>46315.0</v>
      </c>
      <c r="B162" s="21" t="s">
        <v>61</v>
      </c>
      <c r="C162" s="2">
        <v>0.0</v>
      </c>
      <c r="D162" s="23">
        <f t="shared" si="3"/>
        <v>12.87</v>
      </c>
      <c r="E162" s="24">
        <f>D162/B1</f>
        <v>0.6435</v>
      </c>
      <c r="F162" s="23">
        <f t="shared" si="4"/>
        <v>13.87</v>
      </c>
      <c r="G162" s="24">
        <f>F162/B2</f>
        <v>0.6935</v>
      </c>
      <c r="H162" s="25">
        <f t="shared" si="5"/>
        <v>14.35</v>
      </c>
      <c r="I162" s="26">
        <f>H162/B3</f>
        <v>0.7175</v>
      </c>
      <c r="J162" s="22">
        <v>0.0</v>
      </c>
      <c r="K162" s="22">
        <v>0.0</v>
      </c>
      <c r="L162" s="22">
        <v>0.0</v>
      </c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</row>
    <row r="163">
      <c r="A163" s="12">
        <v>46315.0</v>
      </c>
      <c r="B163" s="21" t="s">
        <v>62</v>
      </c>
      <c r="C163" s="2">
        <v>0.0</v>
      </c>
      <c r="D163" s="23">
        <f t="shared" si="3"/>
        <v>12.87</v>
      </c>
      <c r="E163" s="24">
        <f>D163/B1</f>
        <v>0.6435</v>
      </c>
      <c r="F163" s="23">
        <f t="shared" si="4"/>
        <v>13.87</v>
      </c>
      <c r="G163" s="24">
        <f>F163/B2</f>
        <v>0.6935</v>
      </c>
      <c r="H163" s="25">
        <f t="shared" si="5"/>
        <v>14.35</v>
      </c>
      <c r="I163" s="26">
        <f>H163/B3</f>
        <v>0.7175</v>
      </c>
      <c r="J163" s="22">
        <v>0.0</v>
      </c>
      <c r="K163" s="22">
        <v>0.0</v>
      </c>
      <c r="L163" s="22">
        <v>0.0</v>
      </c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</row>
    <row r="164">
      <c r="A164" s="12">
        <v>46315.0</v>
      </c>
      <c r="B164" s="21" t="s">
        <v>63</v>
      </c>
      <c r="C164" s="2">
        <v>1.41</v>
      </c>
      <c r="D164" s="23">
        <f t="shared" si="3"/>
        <v>12.87</v>
      </c>
      <c r="E164" s="24">
        <f>D164/B1</f>
        <v>0.6435</v>
      </c>
      <c r="F164" s="23">
        <f t="shared" si="4"/>
        <v>13.87</v>
      </c>
      <c r="G164" s="24">
        <f>F164/B2</f>
        <v>0.6935</v>
      </c>
      <c r="H164" s="25">
        <f t="shared" si="5"/>
        <v>12.94</v>
      </c>
      <c r="I164" s="26">
        <f>H164/B3</f>
        <v>0.647</v>
      </c>
      <c r="J164" s="22">
        <v>0.0</v>
      </c>
      <c r="K164" s="22">
        <v>0.0</v>
      </c>
      <c r="L164" s="22">
        <v>0.0</v>
      </c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</row>
    <row r="165">
      <c r="A165" s="12">
        <v>46316.0</v>
      </c>
      <c r="B165" s="21" t="s">
        <v>61</v>
      </c>
      <c r="C165" s="2">
        <v>0.0</v>
      </c>
      <c r="D165" s="23">
        <f t="shared" si="3"/>
        <v>12.87</v>
      </c>
      <c r="E165" s="24">
        <f>D165/B1</f>
        <v>0.6435</v>
      </c>
      <c r="F165" s="23">
        <f t="shared" si="4"/>
        <v>13.87</v>
      </c>
      <c r="G165" s="24">
        <f>F165/B2</f>
        <v>0.6935</v>
      </c>
      <c r="H165" s="25">
        <f t="shared" si="5"/>
        <v>12.94</v>
      </c>
      <c r="I165" s="26">
        <f>H165/B3</f>
        <v>0.647</v>
      </c>
      <c r="J165" s="22">
        <v>0.0</v>
      </c>
      <c r="K165" s="22">
        <v>0.0</v>
      </c>
      <c r="L165" s="22">
        <v>0.0</v>
      </c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</row>
    <row r="166">
      <c r="A166" s="12">
        <v>46316.0</v>
      </c>
      <c r="B166" s="21" t="s">
        <v>62</v>
      </c>
      <c r="C166" s="2">
        <v>0.0</v>
      </c>
      <c r="D166" s="23">
        <f t="shared" si="3"/>
        <v>12.87</v>
      </c>
      <c r="E166" s="24">
        <f>D166/B1</f>
        <v>0.6435</v>
      </c>
      <c r="F166" s="23">
        <f t="shared" si="4"/>
        <v>13.87</v>
      </c>
      <c r="G166" s="24">
        <f>F166/B2</f>
        <v>0.6935</v>
      </c>
      <c r="H166" s="25">
        <f t="shared" si="5"/>
        <v>12.94</v>
      </c>
      <c r="I166" s="26">
        <f>H166/B3</f>
        <v>0.647</v>
      </c>
      <c r="J166" s="22">
        <v>0.0</v>
      </c>
      <c r="K166" s="22">
        <v>0.0</v>
      </c>
      <c r="L166" s="22">
        <v>0.0</v>
      </c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</row>
    <row r="167">
      <c r="A167" s="12">
        <v>46316.0</v>
      </c>
      <c r="B167" s="21" t="s">
        <v>63</v>
      </c>
      <c r="C167" s="2">
        <v>0.0</v>
      </c>
      <c r="D167" s="23">
        <f t="shared" si="3"/>
        <v>12.87</v>
      </c>
      <c r="E167" s="24">
        <f>D167/B1</f>
        <v>0.6435</v>
      </c>
      <c r="F167" s="23">
        <f t="shared" si="4"/>
        <v>13.87</v>
      </c>
      <c r="G167" s="24">
        <f>F167/B2</f>
        <v>0.6935</v>
      </c>
      <c r="H167" s="25">
        <f t="shared" si="5"/>
        <v>12.94</v>
      </c>
      <c r="I167" s="26">
        <f>H167/B3</f>
        <v>0.647</v>
      </c>
      <c r="J167" s="22">
        <v>0.0</v>
      </c>
      <c r="K167" s="22">
        <v>0.0</v>
      </c>
      <c r="L167" s="22">
        <v>0.0</v>
      </c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</row>
    <row r="168">
      <c r="A168" s="12">
        <v>46317.0</v>
      </c>
      <c r="B168" s="21" t="s">
        <v>61</v>
      </c>
      <c r="C168" s="2">
        <v>0.0</v>
      </c>
      <c r="D168" s="23">
        <f t="shared" si="3"/>
        <v>12.87</v>
      </c>
      <c r="E168" s="24">
        <f>D168/B1</f>
        <v>0.6435</v>
      </c>
      <c r="F168" s="23">
        <f t="shared" si="4"/>
        <v>13.87</v>
      </c>
      <c r="G168" s="24">
        <f>F168/B2</f>
        <v>0.6935</v>
      </c>
      <c r="H168" s="25">
        <f t="shared" si="5"/>
        <v>12.94</v>
      </c>
      <c r="I168" s="26">
        <f>H168/B3</f>
        <v>0.647</v>
      </c>
      <c r="J168" s="22">
        <v>0.0</v>
      </c>
      <c r="K168" s="22">
        <v>0.0</v>
      </c>
      <c r="L168" s="22">
        <v>0.0</v>
      </c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</row>
    <row r="169">
      <c r="A169" s="12">
        <v>46317.0</v>
      </c>
      <c r="B169" s="21" t="s">
        <v>62</v>
      </c>
      <c r="C169" s="2">
        <v>1.45</v>
      </c>
      <c r="D169" s="23">
        <f t="shared" si="3"/>
        <v>12.87</v>
      </c>
      <c r="E169" s="24">
        <f>D169/B1</f>
        <v>0.6435</v>
      </c>
      <c r="F169" s="23">
        <f t="shared" si="4"/>
        <v>12.42</v>
      </c>
      <c r="G169" s="24">
        <f>F169/B2</f>
        <v>0.621</v>
      </c>
      <c r="H169" s="25">
        <f t="shared" si="5"/>
        <v>12.94</v>
      </c>
      <c r="I169" s="26">
        <f>H169/B3</f>
        <v>0.647</v>
      </c>
      <c r="J169" s="22">
        <v>0.0</v>
      </c>
      <c r="K169" s="22">
        <v>0.0</v>
      </c>
      <c r="L169" s="22">
        <v>0.0</v>
      </c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</row>
    <row r="170">
      <c r="A170" s="12">
        <v>46317.0</v>
      </c>
      <c r="B170" s="21" t="s">
        <v>63</v>
      </c>
      <c r="C170" s="2">
        <v>0.0</v>
      </c>
      <c r="D170" s="23">
        <f t="shared" si="3"/>
        <v>12.87</v>
      </c>
      <c r="E170" s="24">
        <f>D170/B1</f>
        <v>0.6435</v>
      </c>
      <c r="F170" s="23">
        <f t="shared" si="4"/>
        <v>12.42</v>
      </c>
      <c r="G170" s="24">
        <f>F170/B2</f>
        <v>0.621</v>
      </c>
      <c r="H170" s="25">
        <f t="shared" si="5"/>
        <v>12.94</v>
      </c>
      <c r="I170" s="26">
        <f>H170/B3</f>
        <v>0.647</v>
      </c>
      <c r="J170" s="22">
        <v>0.0</v>
      </c>
      <c r="K170" s="22">
        <v>0.0</v>
      </c>
      <c r="L170" s="22">
        <v>0.0</v>
      </c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</row>
    <row r="171">
      <c r="A171" s="12">
        <v>46318.0</v>
      </c>
      <c r="B171" s="21" t="s">
        <v>61</v>
      </c>
      <c r="C171" s="2">
        <v>1.5</v>
      </c>
      <c r="D171" s="23">
        <f t="shared" si="3"/>
        <v>11.37</v>
      </c>
      <c r="E171" s="24">
        <f>D171/B1</f>
        <v>0.5685</v>
      </c>
      <c r="F171" s="23">
        <f t="shared" si="4"/>
        <v>12.42</v>
      </c>
      <c r="G171" s="24">
        <f>F171/B2</f>
        <v>0.621</v>
      </c>
      <c r="H171" s="25">
        <f t="shared" si="5"/>
        <v>12.94</v>
      </c>
      <c r="I171" s="26">
        <f>H171/B3</f>
        <v>0.647</v>
      </c>
      <c r="J171" s="22">
        <v>0.0</v>
      </c>
      <c r="K171" s="22">
        <v>0.0</v>
      </c>
      <c r="L171" s="22">
        <v>0.0</v>
      </c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</row>
    <row r="172">
      <c r="A172" s="12">
        <v>46318.0</v>
      </c>
      <c r="B172" s="21" t="s">
        <v>62</v>
      </c>
      <c r="C172" s="2">
        <v>0.0</v>
      </c>
      <c r="D172" s="23">
        <f t="shared" si="3"/>
        <v>11.37</v>
      </c>
      <c r="E172" s="24">
        <f>D172/B1</f>
        <v>0.5685</v>
      </c>
      <c r="F172" s="23">
        <f t="shared" si="4"/>
        <v>12.42</v>
      </c>
      <c r="G172" s="24">
        <f>F172/B2</f>
        <v>0.621</v>
      </c>
      <c r="H172" s="25">
        <f t="shared" si="5"/>
        <v>12.94</v>
      </c>
      <c r="I172" s="26">
        <f>H172/B3</f>
        <v>0.647</v>
      </c>
      <c r="J172" s="22">
        <v>0.0</v>
      </c>
      <c r="K172" s="22">
        <v>0.0</v>
      </c>
      <c r="L172" s="22">
        <v>0.0</v>
      </c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</row>
    <row r="173">
      <c r="A173" s="12">
        <v>46318.0</v>
      </c>
      <c r="B173" s="21" t="s">
        <v>63</v>
      </c>
      <c r="C173" s="2">
        <v>0.0</v>
      </c>
      <c r="D173" s="23">
        <f t="shared" si="3"/>
        <v>11.37</v>
      </c>
      <c r="E173" s="24">
        <f>D173/B1</f>
        <v>0.5685</v>
      </c>
      <c r="F173" s="23">
        <f t="shared" si="4"/>
        <v>12.42</v>
      </c>
      <c r="G173" s="24">
        <f>F173/B2</f>
        <v>0.621</v>
      </c>
      <c r="H173" s="25">
        <f t="shared" si="5"/>
        <v>12.94</v>
      </c>
      <c r="I173" s="26">
        <f>H173/B3</f>
        <v>0.647</v>
      </c>
      <c r="J173" s="22">
        <v>0.0</v>
      </c>
      <c r="K173" s="22">
        <v>0.0</v>
      </c>
      <c r="L173" s="22">
        <v>0.0</v>
      </c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</row>
    <row r="174">
      <c r="A174" s="12">
        <v>46319.0</v>
      </c>
      <c r="B174" s="21" t="s">
        <v>61</v>
      </c>
      <c r="C174" s="2">
        <v>0.0</v>
      </c>
      <c r="D174" s="23">
        <f t="shared" si="3"/>
        <v>11.37</v>
      </c>
      <c r="E174" s="24">
        <f>D174/B1</f>
        <v>0.5685</v>
      </c>
      <c r="F174" s="23">
        <f t="shared" si="4"/>
        <v>12.42</v>
      </c>
      <c r="G174" s="24">
        <f>F174/B2</f>
        <v>0.621</v>
      </c>
      <c r="H174" s="25">
        <f t="shared" si="5"/>
        <v>12.94</v>
      </c>
      <c r="I174" s="26">
        <f>H174/B3</f>
        <v>0.647</v>
      </c>
      <c r="J174" s="22">
        <v>0.0</v>
      </c>
      <c r="K174" s="22">
        <v>0.0</v>
      </c>
      <c r="L174" s="22">
        <v>0.0</v>
      </c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</row>
    <row r="175">
      <c r="A175" s="12">
        <v>46319.0</v>
      </c>
      <c r="B175" s="21" t="s">
        <v>62</v>
      </c>
      <c r="C175" s="2">
        <v>0.0</v>
      </c>
      <c r="D175" s="23">
        <f t="shared" si="3"/>
        <v>11.37</v>
      </c>
      <c r="E175" s="24">
        <f>D175/B1</f>
        <v>0.5685</v>
      </c>
      <c r="F175" s="23">
        <f t="shared" si="4"/>
        <v>12.42</v>
      </c>
      <c r="G175" s="24">
        <f>F175/B2</f>
        <v>0.621</v>
      </c>
      <c r="H175" s="25">
        <f t="shared" si="5"/>
        <v>12.94</v>
      </c>
      <c r="I175" s="26">
        <f>H175/B3</f>
        <v>0.647</v>
      </c>
      <c r="J175" s="22">
        <v>0.0</v>
      </c>
      <c r="K175" s="22">
        <v>0.0</v>
      </c>
      <c r="L175" s="22">
        <v>0.0</v>
      </c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</row>
    <row r="176">
      <c r="A176" s="12">
        <v>46319.0</v>
      </c>
      <c r="B176" s="21" t="s">
        <v>63</v>
      </c>
      <c r="C176" s="2">
        <v>0.0</v>
      </c>
      <c r="D176" s="23">
        <f t="shared" si="3"/>
        <v>11.37</v>
      </c>
      <c r="E176" s="24">
        <f>D176/B1</f>
        <v>0.5685</v>
      </c>
      <c r="F176" s="23">
        <f t="shared" si="4"/>
        <v>12.42</v>
      </c>
      <c r="G176" s="24">
        <f>F176/B2</f>
        <v>0.621</v>
      </c>
      <c r="H176" s="25">
        <f t="shared" si="5"/>
        <v>12.94</v>
      </c>
      <c r="I176" s="26">
        <f>H176/B3</f>
        <v>0.647</v>
      </c>
      <c r="J176" s="22">
        <v>0.0</v>
      </c>
      <c r="K176" s="22">
        <v>0.0</v>
      </c>
      <c r="L176" s="22">
        <v>0.0</v>
      </c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</row>
    <row r="177">
      <c r="A177" s="12">
        <v>46320.0</v>
      </c>
      <c r="B177" s="21" t="s">
        <v>61</v>
      </c>
      <c r="C177" s="2">
        <v>0.0</v>
      </c>
      <c r="D177" s="23">
        <f t="shared" si="3"/>
        <v>11.37</v>
      </c>
      <c r="E177" s="24">
        <f>D177/B1</f>
        <v>0.5685</v>
      </c>
      <c r="F177" s="23">
        <f t="shared" si="4"/>
        <v>12.42</v>
      </c>
      <c r="G177" s="24">
        <f>F177/B2</f>
        <v>0.621</v>
      </c>
      <c r="H177" s="25">
        <f t="shared" si="5"/>
        <v>12.94</v>
      </c>
      <c r="I177" s="26">
        <f>H177/B3</f>
        <v>0.647</v>
      </c>
      <c r="J177" s="22">
        <v>0.0</v>
      </c>
      <c r="K177" s="22">
        <v>0.0</v>
      </c>
      <c r="L177" s="22">
        <v>0.0</v>
      </c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</row>
    <row r="178">
      <c r="A178" s="12">
        <v>46320.0</v>
      </c>
      <c r="B178" s="21" t="s">
        <v>62</v>
      </c>
      <c r="C178" s="2">
        <v>0.0</v>
      </c>
      <c r="D178" s="23">
        <f t="shared" si="3"/>
        <v>11.37</v>
      </c>
      <c r="E178" s="24">
        <f>D178/B1</f>
        <v>0.5685</v>
      </c>
      <c r="F178" s="23">
        <f t="shared" si="4"/>
        <v>12.42</v>
      </c>
      <c r="G178" s="24">
        <f>F178/B2</f>
        <v>0.621</v>
      </c>
      <c r="H178" s="25">
        <f t="shared" si="5"/>
        <v>12.94</v>
      </c>
      <c r="I178" s="26">
        <f>H178/B3</f>
        <v>0.647</v>
      </c>
      <c r="J178" s="22">
        <v>0.0</v>
      </c>
      <c r="K178" s="22">
        <v>0.0</v>
      </c>
      <c r="L178" s="22">
        <v>0.0</v>
      </c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</row>
    <row r="179">
      <c r="A179" s="12">
        <v>46320.0</v>
      </c>
      <c r="B179" s="21" t="s">
        <v>63</v>
      </c>
      <c r="C179" s="2">
        <v>0.0</v>
      </c>
      <c r="D179" s="23">
        <f t="shared" si="3"/>
        <v>11.37</v>
      </c>
      <c r="E179" s="24">
        <f>D179/B1</f>
        <v>0.5685</v>
      </c>
      <c r="F179" s="23">
        <f t="shared" si="4"/>
        <v>12.42</v>
      </c>
      <c r="G179" s="24">
        <f>F179/B2</f>
        <v>0.621</v>
      </c>
      <c r="H179" s="25">
        <f t="shared" si="5"/>
        <v>12.94</v>
      </c>
      <c r="I179" s="26">
        <f>H179/B3</f>
        <v>0.647</v>
      </c>
      <c r="J179" s="22">
        <v>0.0</v>
      </c>
      <c r="K179" s="22">
        <v>0.0</v>
      </c>
      <c r="L179" s="22">
        <v>0.0</v>
      </c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</row>
    <row r="180">
      <c r="A180" s="12">
        <v>46321.0</v>
      </c>
      <c r="B180" s="21" t="s">
        <v>61</v>
      </c>
      <c r="C180" s="2">
        <v>0.0</v>
      </c>
      <c r="D180" s="23">
        <f t="shared" si="3"/>
        <v>11.37</v>
      </c>
      <c r="E180" s="24">
        <f>D180/B1</f>
        <v>0.5685</v>
      </c>
      <c r="F180" s="23">
        <f t="shared" si="4"/>
        <v>12.42</v>
      </c>
      <c r="G180" s="24">
        <f>F180/B2</f>
        <v>0.621</v>
      </c>
      <c r="H180" s="25">
        <f t="shared" si="5"/>
        <v>12.94</v>
      </c>
      <c r="I180" s="26">
        <f>H180/B3</f>
        <v>0.647</v>
      </c>
      <c r="J180" s="22">
        <v>0.0</v>
      </c>
      <c r="K180" s="22">
        <v>0.0</v>
      </c>
      <c r="L180" s="22">
        <v>0.0</v>
      </c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</row>
    <row r="181">
      <c r="A181" s="12">
        <v>46321.0</v>
      </c>
      <c r="B181" s="21" t="s">
        <v>62</v>
      </c>
      <c r="C181" s="2">
        <v>0.0</v>
      </c>
      <c r="D181" s="23">
        <f t="shared" si="3"/>
        <v>11.37</v>
      </c>
      <c r="E181" s="24">
        <f>D181/B1</f>
        <v>0.5685</v>
      </c>
      <c r="F181" s="23">
        <f t="shared" si="4"/>
        <v>12.42</v>
      </c>
      <c r="G181" s="24">
        <f>F181/B2</f>
        <v>0.621</v>
      </c>
      <c r="H181" s="25">
        <f t="shared" si="5"/>
        <v>12.94</v>
      </c>
      <c r="I181" s="26">
        <f>H181/B3</f>
        <v>0.647</v>
      </c>
      <c r="J181" s="22">
        <v>0.0</v>
      </c>
      <c r="K181" s="22">
        <v>0.0</v>
      </c>
      <c r="L181" s="22">
        <v>0.0</v>
      </c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</row>
    <row r="182">
      <c r="A182" s="12">
        <v>46321.0</v>
      </c>
      <c r="B182" s="21" t="s">
        <v>63</v>
      </c>
      <c r="C182" s="2">
        <v>0.0</v>
      </c>
      <c r="D182" s="23">
        <f t="shared" si="3"/>
        <v>11.37</v>
      </c>
      <c r="E182" s="24">
        <f>D182/B1</f>
        <v>0.5685</v>
      </c>
      <c r="F182" s="23">
        <f t="shared" si="4"/>
        <v>12.42</v>
      </c>
      <c r="G182" s="24">
        <f>F182/B2</f>
        <v>0.621</v>
      </c>
      <c r="H182" s="25">
        <f t="shared" si="5"/>
        <v>12.94</v>
      </c>
      <c r="I182" s="26">
        <f>H182/B3</f>
        <v>0.647</v>
      </c>
      <c r="J182" s="22">
        <v>0.0</v>
      </c>
      <c r="K182" s="22">
        <v>0.0</v>
      </c>
      <c r="L182" s="22">
        <v>0.0</v>
      </c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</row>
    <row r="183">
      <c r="A183" s="12">
        <v>46322.0</v>
      </c>
      <c r="B183" s="21" t="s">
        <v>61</v>
      </c>
      <c r="C183" s="2">
        <v>0.0</v>
      </c>
      <c r="D183" s="23">
        <f t="shared" si="3"/>
        <v>11.37</v>
      </c>
      <c r="E183" s="24">
        <f>D183/B1</f>
        <v>0.5685</v>
      </c>
      <c r="F183" s="23">
        <f t="shared" si="4"/>
        <v>12.42</v>
      </c>
      <c r="G183" s="24">
        <f>F183/B2</f>
        <v>0.621</v>
      </c>
      <c r="H183" s="25">
        <f t="shared" si="5"/>
        <v>12.94</v>
      </c>
      <c r="I183" s="26">
        <f>H183/B3</f>
        <v>0.647</v>
      </c>
      <c r="J183" s="22">
        <v>0.0</v>
      </c>
      <c r="K183" s="22">
        <v>0.0</v>
      </c>
      <c r="L183" s="22">
        <v>0.0</v>
      </c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</row>
    <row r="184">
      <c r="A184" s="12">
        <v>46322.0</v>
      </c>
      <c r="B184" s="21" t="s">
        <v>62</v>
      </c>
      <c r="C184" s="2">
        <v>0.0</v>
      </c>
      <c r="D184" s="23">
        <f t="shared" si="3"/>
        <v>11.37</v>
      </c>
      <c r="E184" s="24">
        <f>D184/B1</f>
        <v>0.5685</v>
      </c>
      <c r="F184" s="23">
        <f t="shared" si="4"/>
        <v>12.42</v>
      </c>
      <c r="G184" s="24">
        <f>F184/B2</f>
        <v>0.621</v>
      </c>
      <c r="H184" s="25">
        <f t="shared" si="5"/>
        <v>12.94</v>
      </c>
      <c r="I184" s="26">
        <f>H184/B3</f>
        <v>0.647</v>
      </c>
      <c r="J184" s="22">
        <v>0.0</v>
      </c>
      <c r="K184" s="22">
        <v>0.0</v>
      </c>
      <c r="L184" s="22">
        <v>0.0</v>
      </c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</row>
    <row r="185">
      <c r="A185" s="12">
        <v>46322.0</v>
      </c>
      <c r="B185" s="21" t="s">
        <v>63</v>
      </c>
      <c r="C185" s="2">
        <v>0.0</v>
      </c>
      <c r="D185" s="23">
        <f t="shared" si="3"/>
        <v>11.37</v>
      </c>
      <c r="E185" s="24">
        <f>D185/B1</f>
        <v>0.5685</v>
      </c>
      <c r="F185" s="23">
        <f t="shared" si="4"/>
        <v>12.42</v>
      </c>
      <c r="G185" s="24">
        <f>F185/B2</f>
        <v>0.621</v>
      </c>
      <c r="H185" s="25">
        <f t="shared" si="5"/>
        <v>12.94</v>
      </c>
      <c r="I185" s="26">
        <f>H185/B3</f>
        <v>0.647</v>
      </c>
      <c r="J185" s="22">
        <v>0.0</v>
      </c>
      <c r="K185" s="22">
        <v>0.0</v>
      </c>
      <c r="L185" s="22">
        <v>0.0</v>
      </c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</row>
    <row r="186">
      <c r="A186" s="12">
        <v>46323.0</v>
      </c>
      <c r="B186" s="21" t="s">
        <v>61</v>
      </c>
      <c r="C186" s="2">
        <v>0.0</v>
      </c>
      <c r="D186" s="23">
        <f t="shared" si="3"/>
        <v>11.37</v>
      </c>
      <c r="E186" s="24">
        <f>D186/B1</f>
        <v>0.5685</v>
      </c>
      <c r="F186" s="23">
        <f t="shared" si="4"/>
        <v>12.42</v>
      </c>
      <c r="G186" s="24">
        <f>F186/B2</f>
        <v>0.621</v>
      </c>
      <c r="H186" s="25">
        <f t="shared" si="5"/>
        <v>12.94</v>
      </c>
      <c r="I186" s="26">
        <f>H186/B3</f>
        <v>0.647</v>
      </c>
      <c r="J186" s="22">
        <v>0.0</v>
      </c>
      <c r="K186" s="22">
        <v>0.0</v>
      </c>
      <c r="L186" s="22">
        <v>0.0</v>
      </c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</row>
    <row r="187">
      <c r="A187" s="12">
        <v>46323.0</v>
      </c>
      <c r="B187" s="21" t="s">
        <v>62</v>
      </c>
      <c r="C187" s="2">
        <v>0.0</v>
      </c>
      <c r="D187" s="23">
        <f t="shared" si="3"/>
        <v>11.37</v>
      </c>
      <c r="E187" s="24">
        <f>D187/B1</f>
        <v>0.5685</v>
      </c>
      <c r="F187" s="23">
        <f t="shared" si="4"/>
        <v>12.42</v>
      </c>
      <c r="G187" s="24">
        <f>F187/B2</f>
        <v>0.621</v>
      </c>
      <c r="H187" s="25">
        <f t="shared" si="5"/>
        <v>12.94</v>
      </c>
      <c r="I187" s="26">
        <f>H187/B3</f>
        <v>0.647</v>
      </c>
      <c r="J187" s="22">
        <v>0.0</v>
      </c>
      <c r="K187" s="22">
        <v>0.0</v>
      </c>
      <c r="L187" s="22">
        <v>0.0</v>
      </c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</row>
    <row r="188">
      <c r="A188" s="12">
        <v>46323.0</v>
      </c>
      <c r="B188" s="21" t="s">
        <v>63</v>
      </c>
      <c r="C188" s="2">
        <v>0.0</v>
      </c>
      <c r="D188" s="23">
        <f t="shared" si="3"/>
        <v>11.37</v>
      </c>
      <c r="E188" s="24">
        <f>D188/B1</f>
        <v>0.5685</v>
      </c>
      <c r="F188" s="23">
        <f t="shared" si="4"/>
        <v>12.42</v>
      </c>
      <c r="G188" s="24">
        <f>F188/B2</f>
        <v>0.621</v>
      </c>
      <c r="H188" s="25">
        <f t="shared" si="5"/>
        <v>12.94</v>
      </c>
      <c r="I188" s="26">
        <f>H188/B3</f>
        <v>0.647</v>
      </c>
      <c r="J188" s="22">
        <v>0.0</v>
      </c>
      <c r="K188" s="22">
        <v>0.0</v>
      </c>
      <c r="L188" s="22">
        <v>0.0</v>
      </c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</row>
  </sheetData>
  <dataValidations>
    <dataValidation type="list" allowBlank="1" showErrorMessage="1" sqref="B6:B188">
      <formula1>"WW,FLA,MAC1+"</formula1>
    </dataValidation>
  </dataValidations>
  <drawing r:id="rId1"/>
</worksheet>
</file>